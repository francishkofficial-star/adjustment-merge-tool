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7680" tabRatio="600" firstSheet="0" activeTab="0" autoFilterDateGrouping="1"/>
  </bookViews>
  <sheets>
    <sheet name="Sheet1" sheetId="1" state="visible" r:id="rId1"/>
    <sheet name="對照表" sheetId="2" state="visible" r:id="rId2"/>
  </sheets>
  <definedNames/>
  <calcPr calcId="191029" fullCalcOnLoad="1"/>
</workbook>
</file>

<file path=xl/styles.xml><?xml version="1.0" encoding="utf-8"?>
<styleSheet xmlns="http://schemas.openxmlformats.org/spreadsheetml/2006/main">
  <numFmts count="0"/>
  <fonts count="23">
    <font>
      <name val="宋体"/>
      <charset val="134"/>
      <color indexed="8"/>
      <sz val="11"/>
      <scheme val="minor"/>
    </font>
    <font>
      <name val="宋体"/>
      <charset val="134"/>
      <b val="1"/>
      <sz val="11"/>
    </font>
    <font>
      <name val="宋体"/>
      <charset val="134"/>
      <color indexed="8"/>
      <sz val="11"/>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3" fillId="0" borderId="0" applyAlignment="1">
      <alignment vertical="center"/>
    </xf>
    <xf numFmtId="44" fontId="3" fillId="0" borderId="0" applyAlignment="1">
      <alignment vertical="center"/>
    </xf>
    <xf numFmtId="9" fontId="3" fillId="0" borderId="0" applyAlignment="1">
      <alignment vertical="center"/>
    </xf>
    <xf numFmtId="41" fontId="3" fillId="0" borderId="0" applyAlignment="1">
      <alignment vertical="center"/>
    </xf>
    <xf numFmtId="42" fontId="3" fillId="0" borderId="0" applyAlignment="1">
      <alignment vertical="center"/>
    </xf>
    <xf numFmtId="0" fontId="4" fillId="0" borderId="0" applyAlignment="1">
      <alignment vertical="center"/>
    </xf>
    <xf numFmtId="0" fontId="5" fillId="0" borderId="0" applyAlignment="1">
      <alignment vertical="center"/>
    </xf>
    <xf numFmtId="0" fontId="3" fillId="2" borderId="1"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2" applyAlignment="1">
      <alignment vertical="center"/>
    </xf>
    <xf numFmtId="0" fontId="10" fillId="0" borderId="2" applyAlignment="1">
      <alignment vertical="center"/>
    </xf>
    <xf numFmtId="0" fontId="11" fillId="0" borderId="3" applyAlignment="1">
      <alignment vertical="center"/>
    </xf>
    <xf numFmtId="0" fontId="11" fillId="0" borderId="0" applyAlignment="1">
      <alignment vertical="center"/>
    </xf>
    <xf numFmtId="0" fontId="12" fillId="3" borderId="4" applyAlignment="1">
      <alignment vertical="center"/>
    </xf>
    <xf numFmtId="0" fontId="13" fillId="4" borderId="5" applyAlignment="1">
      <alignment vertical="center"/>
    </xf>
    <xf numFmtId="0" fontId="14" fillId="4" borderId="4" applyAlignment="1">
      <alignment vertical="center"/>
    </xf>
    <xf numFmtId="0" fontId="15" fillId="5" borderId="6" applyAlignment="1">
      <alignment vertical="center"/>
    </xf>
    <xf numFmtId="0" fontId="16" fillId="0" borderId="7" applyAlignment="1">
      <alignment vertical="center"/>
    </xf>
    <xf numFmtId="0" fontId="17" fillId="0" borderId="8" applyAlignment="1">
      <alignment vertical="center"/>
    </xf>
    <xf numFmtId="0" fontId="18" fillId="6" borderId="0"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2" fillId="11" borderId="0" applyAlignment="1">
      <alignment vertical="center"/>
    </xf>
    <xf numFmtId="0" fontId="21" fillId="12" borderId="0" applyAlignment="1">
      <alignment vertical="center"/>
    </xf>
    <xf numFmtId="0" fontId="21" fillId="13" borderId="0" applyAlignment="1">
      <alignment vertical="center"/>
    </xf>
    <xf numFmtId="0" fontId="22" fillId="14" borderId="0" applyAlignment="1">
      <alignment vertical="center"/>
    </xf>
    <xf numFmtId="0" fontId="22" fillId="15" borderId="0" applyAlignment="1">
      <alignment vertical="center"/>
    </xf>
    <xf numFmtId="0" fontId="21" fillId="16" borderId="0" applyAlignment="1">
      <alignment vertical="center"/>
    </xf>
    <xf numFmtId="0" fontId="21" fillId="17" borderId="0" applyAlignment="1">
      <alignment vertical="center"/>
    </xf>
    <xf numFmtId="0" fontId="22" fillId="18" borderId="0" applyAlignment="1">
      <alignment vertical="center"/>
    </xf>
    <xf numFmtId="0" fontId="22" fillId="19" borderId="0" applyAlignment="1">
      <alignment vertical="center"/>
    </xf>
    <xf numFmtId="0" fontId="21" fillId="20" borderId="0" applyAlignment="1">
      <alignment vertical="center"/>
    </xf>
    <xf numFmtId="0" fontId="21" fillId="21" borderId="0" applyAlignment="1">
      <alignment vertical="center"/>
    </xf>
    <xf numFmtId="0" fontId="22" fillId="22" borderId="0" applyAlignment="1">
      <alignment vertical="center"/>
    </xf>
    <xf numFmtId="0" fontId="22" fillId="23" borderId="0" applyAlignment="1">
      <alignment vertical="center"/>
    </xf>
    <xf numFmtId="0" fontId="21" fillId="24" borderId="0" applyAlignment="1">
      <alignment vertical="center"/>
    </xf>
    <xf numFmtId="0" fontId="21" fillId="25" borderId="0" applyAlignment="1">
      <alignment vertical="center"/>
    </xf>
    <xf numFmtId="0" fontId="22" fillId="26" borderId="0" applyAlignment="1">
      <alignment vertical="center"/>
    </xf>
    <xf numFmtId="0" fontId="22" fillId="27" borderId="0" applyAlignment="1">
      <alignment vertical="center"/>
    </xf>
    <xf numFmtId="0" fontId="21" fillId="28" borderId="0" applyAlignment="1">
      <alignment vertical="center"/>
    </xf>
    <xf numFmtId="0" fontId="21" fillId="29" borderId="0" applyAlignment="1">
      <alignment vertical="center"/>
    </xf>
    <xf numFmtId="0" fontId="22" fillId="30" borderId="0" applyAlignment="1">
      <alignment vertical="center"/>
    </xf>
    <xf numFmtId="0" fontId="22" fillId="31" borderId="0" applyAlignment="1">
      <alignment vertical="center"/>
    </xf>
    <xf numFmtId="0" fontId="21" fillId="32" borderId="0" applyAlignment="1">
      <alignment vertical="center"/>
    </xf>
  </cellStyleXfs>
  <cellXfs count="5">
    <xf numFmtId="0" fontId="0" fillId="0" borderId="0" applyAlignment="1" pivotButton="0" quotePrefix="0" xfId="0">
      <alignment vertical="center"/>
    </xf>
    <xf numFmtId="0" fontId="1" fillId="0" borderId="0" pivotButton="0" quotePrefix="0" xfId="0"/>
    <xf numFmtId="0" fontId="2" fillId="0" borderId="0" pivotButton="0" quotePrefix="0" xfId="0"/>
    <xf numFmtId="0" fontId="2" fillId="0" borderId="0" pivotButton="0" quotePrefix="0" xfId="0"/>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C1253"/>
  <sheetViews>
    <sheetView tabSelected="1" workbookViewId="0">
      <pane ySplit="1" topLeftCell="A2" activePane="bottomLeft" state="frozen"/>
      <selection activeCell="A1" sqref="A1"/>
      <selection pane="bottomLeft" activeCell="AB2" sqref="AB2"/>
    </sheetView>
  </sheetViews>
  <sheetFormatPr baseColWidth="8" defaultColWidth="19" defaultRowHeight="14"/>
  <cols>
    <col hidden="1" width="19" customWidth="1" style="4" min="2" max="16"/>
    <col hidden="1" width="19" customWidth="1" style="4" min="18" max="27"/>
  </cols>
  <sheetData>
    <row r="1">
      <c r="A1" s="1" t="inlineStr">
        <is>
          <t>順豐運單號</t>
        </is>
      </c>
      <c r="B1" s="1" t="inlineStr">
        <is>
          <t>客戶訂單號</t>
        </is>
      </c>
      <c r="C1" s="1" t="inlineStr">
        <is>
          <t>訂單狀態</t>
        </is>
      </c>
      <c r="D1" s="1" t="inlineStr">
        <is>
          <t>下單時間</t>
        </is>
      </c>
      <c r="E1" s="1" t="inlineStr">
        <is>
          <t>簽收時間</t>
        </is>
      </c>
      <c r="F1" s="1" t="inlineStr">
        <is>
          <t>訂單總重量</t>
        </is>
      </c>
      <c r="G1" s="1" t="inlineStr">
        <is>
          <t>包裹總件數</t>
        </is>
      </c>
      <c r="H1" s="1" t="inlineStr">
        <is>
          <t>簽回單單號</t>
        </is>
      </c>
      <c r="I1" s="1" t="inlineStr">
        <is>
          <t>寄件方公司</t>
        </is>
      </c>
      <c r="J1" s="1" t="inlineStr">
        <is>
          <t>寄件方姓名</t>
        </is>
      </c>
      <c r="K1" s="1" t="inlineStr">
        <is>
          <t>寄件方手機號</t>
        </is>
      </c>
      <c r="L1" s="1" t="inlineStr">
        <is>
          <t>寄件方固定電話</t>
        </is>
      </c>
      <c r="M1" s="1" t="inlineStr">
        <is>
          <t>寄件方詳細地址</t>
        </is>
      </c>
      <c r="N1" s="1" t="inlineStr">
        <is>
          <t>寄件方縣/區</t>
        </is>
      </c>
      <c r="O1" s="1" t="inlineStr">
        <is>
          <t>寄件方城市</t>
        </is>
      </c>
      <c r="P1" s="1" t="inlineStr">
        <is>
          <t>寄件方省份</t>
        </is>
      </c>
      <c r="Q1" s="1" t="inlineStr">
        <is>
          <t>收件方公司</t>
        </is>
      </c>
      <c r="R1" s="1" t="inlineStr">
        <is>
          <t>收件方姓名</t>
        </is>
      </c>
      <c r="S1" s="1" t="inlineStr">
        <is>
          <t>收件方手機號</t>
        </is>
      </c>
      <c r="T1" s="1" t="inlineStr">
        <is>
          <t>收件方固定電話</t>
        </is>
      </c>
      <c r="U1" s="1" t="inlineStr">
        <is>
          <t>收件方詳細地址</t>
        </is>
      </c>
      <c r="V1" s="1" t="inlineStr">
        <is>
          <t>收件方城市</t>
        </is>
      </c>
      <c r="W1" s="1" t="inlineStr">
        <is>
          <t>托寄物</t>
        </is>
      </c>
      <c r="X1" s="1" t="inlineStr">
        <is>
          <t>下單渠道</t>
        </is>
      </c>
      <c r="Y1" s="1" t="inlineStr">
        <is>
          <t>下單模塊</t>
        </is>
      </c>
      <c r="Z1" s="1" t="inlineStr">
        <is>
          <t>寄方備註</t>
        </is>
      </c>
      <c r="AA1" s="1" t="inlineStr">
        <is>
          <t>付款方式</t>
        </is>
      </c>
      <c r="AB1" s="0" t="inlineStr">
        <is>
          <t>收件方公司</t>
        </is>
      </c>
      <c r="AC1" s="0" t="inlineStr">
        <is>
          <t>順豐運單號</t>
        </is>
      </c>
    </row>
    <row r="2">
      <c r="A2" s="3" t="inlineStr">
        <is>
          <t>SF5117916569145</t>
        </is>
      </c>
      <c r="B2" s="3" t="inlineStr">
        <is>
          <t>Keeta-2026-0701-0001</t>
        </is>
      </c>
      <c r="C2" s="3" t="inlineStr">
        <is>
          <t>已簽收</t>
        </is>
      </c>
      <c r="D2" s="3" t="inlineStr">
        <is>
          <t>2026-07-02 11:36:27</t>
        </is>
      </c>
      <c r="E2" s="3" t="inlineStr">
        <is>
          <t>2026-07-02 19:09</t>
        </is>
      </c>
      <c r="F2" s="3" t="n">
        <v>2.8</v>
      </c>
      <c r="G2" s="3" t="n">
        <v>1</v>
      </c>
      <c r="H2" s="3" t="n"/>
      <c r="I2" s="3" t="n"/>
      <c r="J2" s="3" t="inlineStr">
        <is>
          <t>keeta</t>
        </is>
      </c>
      <c r="K2" s="3" t="inlineStr">
        <is>
          <t>****57224599</t>
        </is>
      </c>
      <c r="L2" s="3" t="inlineStr">
        <is>
          <t>****57224599</t>
        </is>
      </c>
      <c r="M2" s="3" t="inlineStr">
        <is>
          <t>***** 心2808室</t>
        </is>
      </c>
      <c r="N2" s="3" t="inlineStr">
        <is>
          <t>荔枝角</t>
        </is>
      </c>
      <c r="O2" s="3" t="inlineStr">
        <is>
          <t>深水埗区</t>
        </is>
      </c>
      <c r="P2" s="3" t="inlineStr">
        <is>
          <t>香港</t>
        </is>
      </c>
      <c r="Q2" s="3" t="n">
        <v>721524359</v>
      </c>
      <c r="R2" s="3" t="inlineStr">
        <is>
          <t>Jagger</t>
        </is>
      </c>
      <c r="S2" s="3" t="inlineStr">
        <is>
          <t>****95567276</t>
        </is>
      </c>
      <c r="T2" s="3" t="inlineStr">
        <is>
          <t>****95567276</t>
        </is>
      </c>
      <c r="U2" s="3" t="inlineStr">
        <is>
          <t>***** 6-30號鋪</t>
        </is>
      </c>
      <c r="V2" s="3" t="inlineStr">
        <is>
          <t>香港</t>
        </is>
      </c>
      <c r="W2" s="3" t="inlineStr">
        <is>
          <t>POS機+新店禮包</t>
        </is>
      </c>
      <c r="X2" s="3" t="inlineStr">
        <is>
          <t>BSP</t>
        </is>
      </c>
      <c r="Y2" s="3" t="inlineStr">
        <is>
          <t>寄快遞</t>
        </is>
      </c>
      <c r="Z2" s="3" t="n"/>
      <c r="AA2" s="3" t="inlineStr">
        <is>
          <t>第三方付</t>
        </is>
      </c>
      <c r="AB2" s="3">
        <f>IFERROR(VLOOKUP(Q2&amp;"",對照表!$A:$B,1,FALSE),"")</f>
        <v/>
      </c>
      <c r="AC2" s="0">
        <f>IFERROR(VLOOKUP(Q2&amp;"",對照表!$A:$B,2,FALSE),"")</f>
        <v/>
      </c>
    </row>
    <row r="3">
      <c r="A3" s="3" t="inlineStr">
        <is>
          <t>SF5117916569190</t>
        </is>
      </c>
      <c r="B3" s="3" t="inlineStr">
        <is>
          <t>Keeta-2026-0701-0015</t>
        </is>
      </c>
      <c r="C3" s="3" t="inlineStr">
        <is>
          <t>已簽收</t>
        </is>
      </c>
      <c r="D3" s="3" t="inlineStr">
        <is>
          <t>2026-07-02 11:39:14</t>
        </is>
      </c>
      <c r="E3" s="3" t="inlineStr">
        <is>
          <t>2026-07-02 15:47</t>
        </is>
      </c>
      <c r="F3" s="3" t="n">
        <v>2.8</v>
      </c>
      <c r="G3" s="3" t="n">
        <v>1</v>
      </c>
      <c r="H3" s="3" t="n"/>
      <c r="I3" s="3" t="n"/>
      <c r="J3" s="3" t="inlineStr">
        <is>
          <t>keeta</t>
        </is>
      </c>
      <c r="K3" s="3" t="inlineStr">
        <is>
          <t>****57224599</t>
        </is>
      </c>
      <c r="L3" s="3" t="inlineStr">
        <is>
          <t>****57224599</t>
        </is>
      </c>
      <c r="M3" s="3" t="inlineStr">
        <is>
          <t>***** 心2808室</t>
        </is>
      </c>
      <c r="N3" s="3" t="inlineStr">
        <is>
          <t>荔枝角</t>
        </is>
      </c>
      <c r="O3" s="3" t="inlineStr">
        <is>
          <t>深水埗区</t>
        </is>
      </c>
      <c r="P3" s="3" t="inlineStr">
        <is>
          <t>香港</t>
        </is>
      </c>
      <c r="Q3" s="3" t="n">
        <v>721522421</v>
      </c>
      <c r="R3" s="3" t="inlineStr">
        <is>
          <t>美味佳（外賣店）</t>
        </is>
      </c>
      <c r="S3" s="3" t="inlineStr">
        <is>
          <t>****61076408</t>
        </is>
      </c>
      <c r="T3" s="3" t="inlineStr">
        <is>
          <t>****61076408</t>
        </is>
      </c>
      <c r="U3" s="3" t="inlineStr">
        <is>
          <t>***** 閣G樓1號舖</t>
        </is>
      </c>
      <c r="V3" s="3" t="inlineStr">
        <is>
          <t>香港</t>
        </is>
      </c>
      <c r="W3" s="3" t="inlineStr">
        <is>
          <t>POS機+新店禮包</t>
        </is>
      </c>
      <c r="X3" s="3" t="inlineStr">
        <is>
          <t>BSP</t>
        </is>
      </c>
      <c r="Y3" s="3" t="inlineStr">
        <is>
          <t>寄快遞</t>
        </is>
      </c>
      <c r="Z3" s="3" t="n"/>
      <c r="AA3" s="3" t="inlineStr">
        <is>
          <t>第三方付</t>
        </is>
      </c>
      <c r="AB3">
        <f>IFERROR(VLOOKUP(Q3&amp;"",對照表!$A:$B,1,FALSE),"")</f>
        <v/>
      </c>
      <c r="AC3">
        <f>IFERROR(VLOOKUP(Q3&amp;"",對照表!$A:$B,2,FALSE),"")</f>
        <v/>
      </c>
    </row>
    <row r="4">
      <c r="A4" s="3" t="inlineStr">
        <is>
          <t>SF5117916569233</t>
        </is>
      </c>
      <c r="B4" s="3" t="inlineStr">
        <is>
          <t>Keeta-2026-0701-0010</t>
        </is>
      </c>
      <c r="C4" s="3" t="inlineStr">
        <is>
          <t>已簽收</t>
        </is>
      </c>
      <c r="D4" s="3" t="inlineStr">
        <is>
          <t>2026-07-02 11:41:26</t>
        </is>
      </c>
      <c r="E4" s="3" t="inlineStr">
        <is>
          <t>2026-07-02 17:28</t>
        </is>
      </c>
      <c r="F4" s="3" t="n">
        <v>2.8</v>
      </c>
      <c r="G4" s="3" t="n">
        <v>1</v>
      </c>
      <c r="H4" s="3" t="n"/>
      <c r="I4" s="3" t="n"/>
      <c r="J4" s="3" t="inlineStr">
        <is>
          <t>keeta</t>
        </is>
      </c>
      <c r="K4" s="3" t="inlineStr">
        <is>
          <t>****57224599</t>
        </is>
      </c>
      <c r="L4" s="3" t="inlineStr">
        <is>
          <t>****57224599</t>
        </is>
      </c>
      <c r="M4" s="3" t="inlineStr">
        <is>
          <t>***** 心2808室</t>
        </is>
      </c>
      <c r="N4" s="3" t="inlineStr">
        <is>
          <t>荔枝角</t>
        </is>
      </c>
      <c r="O4" s="3" t="inlineStr">
        <is>
          <t>深水埗区</t>
        </is>
      </c>
      <c r="P4" s="3" t="inlineStr">
        <is>
          <t>香港</t>
        </is>
      </c>
      <c r="Q4" s="3" t="n">
        <v>721512392</v>
      </c>
      <c r="R4" s="3" t="inlineStr">
        <is>
          <t>E果鮮果店</t>
        </is>
      </c>
      <c r="S4" s="3" t="inlineStr">
        <is>
          <t>****51378383</t>
        </is>
      </c>
      <c r="T4" s="3" t="inlineStr">
        <is>
          <t>****51378383</t>
        </is>
      </c>
      <c r="U4" s="3" t="inlineStr">
        <is>
          <t>***** 市地下D6鋪</t>
        </is>
      </c>
      <c r="V4" s="3" t="inlineStr">
        <is>
          <t>香港</t>
        </is>
      </c>
      <c r="W4" s="3" t="inlineStr">
        <is>
          <t>POS機+新店禮包</t>
        </is>
      </c>
      <c r="X4" s="3" t="inlineStr">
        <is>
          <t>BSP</t>
        </is>
      </c>
      <c r="Y4" s="3" t="inlineStr">
        <is>
          <t>寄快遞</t>
        </is>
      </c>
      <c r="Z4" s="3" t="n"/>
      <c r="AA4" s="3" t="inlineStr">
        <is>
          <t>第三方付</t>
        </is>
      </c>
      <c r="AB4">
        <f>IFERROR(VLOOKUP(Q4&amp;"",對照表!$A:$B,1,FALSE),"")</f>
        <v/>
      </c>
      <c r="AC4">
        <f>IFERROR(VLOOKUP(Q4&amp;"",對照表!$A:$B,2,FALSE),"")</f>
        <v/>
      </c>
    </row>
    <row r="5">
      <c r="A5" s="3" t="inlineStr">
        <is>
          <t>SF5117916569303</t>
        </is>
      </c>
      <c r="B5" s="3" t="inlineStr">
        <is>
          <t>Keeta-2026-0701-0014</t>
        </is>
      </c>
      <c r="C5" s="3" t="inlineStr">
        <is>
          <t>已簽收</t>
        </is>
      </c>
      <c r="D5" s="3" t="inlineStr">
        <is>
          <t>2026-07-02 11:39:03</t>
        </is>
      </c>
      <c r="E5" s="3" t="inlineStr">
        <is>
          <t>2026-07-02 17:20</t>
        </is>
      </c>
      <c r="F5" s="3" t="n">
        <v>2.8</v>
      </c>
      <c r="G5" s="3" t="n">
        <v>1</v>
      </c>
      <c r="H5" s="3" t="n"/>
      <c r="I5" s="3" t="n"/>
      <c r="J5" s="3" t="inlineStr">
        <is>
          <t>keeta</t>
        </is>
      </c>
      <c r="K5" s="3" t="inlineStr">
        <is>
          <t>****57224599</t>
        </is>
      </c>
      <c r="L5" s="3" t="inlineStr">
        <is>
          <t>****57224599</t>
        </is>
      </c>
      <c r="M5" s="3" t="inlineStr">
        <is>
          <t>***** 心2808室</t>
        </is>
      </c>
      <c r="N5" s="3" t="inlineStr">
        <is>
          <t>荔枝角</t>
        </is>
      </c>
      <c r="O5" s="3" t="inlineStr">
        <is>
          <t>深水埗区</t>
        </is>
      </c>
      <c r="P5" s="3" t="inlineStr">
        <is>
          <t>香港</t>
        </is>
      </c>
      <c r="Q5" s="3" t="n">
        <v>721527374</v>
      </c>
      <c r="R5" s="3" t="inlineStr">
        <is>
          <t>西貢金雞海南雞GoldenChicken（沙田）</t>
        </is>
      </c>
      <c r="S5" s="3" t="inlineStr">
        <is>
          <t>****61100998</t>
        </is>
      </c>
      <c r="T5" s="3" t="inlineStr">
        <is>
          <t>****61100998</t>
        </is>
      </c>
      <c r="U5" s="3" t="inlineStr">
        <is>
          <t>***** eta物資）</t>
        </is>
      </c>
      <c r="V5" s="3" t="inlineStr">
        <is>
          <t>香港</t>
        </is>
      </c>
      <c r="W5" s="3" t="inlineStr">
        <is>
          <t>POS機+新店禮包</t>
        </is>
      </c>
      <c r="X5" s="3" t="inlineStr">
        <is>
          <t>BSP</t>
        </is>
      </c>
      <c r="Y5" s="3" t="inlineStr">
        <is>
          <t>寄快遞</t>
        </is>
      </c>
      <c r="Z5" s="3" t="n"/>
      <c r="AA5" s="3" t="inlineStr">
        <is>
          <t>第三方付</t>
        </is>
      </c>
      <c r="AB5">
        <f>IFERROR(VLOOKUP(Q5&amp;"",對照表!$A:$B,1,FALSE),"")</f>
        <v/>
      </c>
      <c r="AC5">
        <f>IFERROR(VLOOKUP(Q5&amp;"",對照表!$A:$B,2,FALSE),"")</f>
        <v/>
      </c>
    </row>
    <row r="6">
      <c r="A6" s="3" t="inlineStr">
        <is>
          <t>SF5117916569297</t>
        </is>
      </c>
      <c r="B6" s="3" t="inlineStr">
        <is>
          <t>Keeta-2026-0701-0009</t>
        </is>
      </c>
      <c r="C6" s="3" t="inlineStr">
        <is>
          <t>已簽收</t>
        </is>
      </c>
      <c r="D6" s="3" t="inlineStr">
        <is>
          <t>2026-07-02 11:41:18</t>
        </is>
      </c>
      <c r="E6" s="3" t="inlineStr">
        <is>
          <t>2026-07-02 16:45</t>
        </is>
      </c>
      <c r="F6" s="3" t="n">
        <v>2.8</v>
      </c>
      <c r="G6" s="3" t="n">
        <v>1</v>
      </c>
      <c r="H6" s="3" t="n"/>
      <c r="I6" s="3" t="n"/>
      <c r="J6" s="3" t="inlineStr">
        <is>
          <t>keeta</t>
        </is>
      </c>
      <c r="K6" s="3" t="inlineStr">
        <is>
          <t>****57224599</t>
        </is>
      </c>
      <c r="L6" s="3" t="inlineStr">
        <is>
          <t>****57224599</t>
        </is>
      </c>
      <c r="M6" s="3" t="inlineStr">
        <is>
          <t>***** 心2808室</t>
        </is>
      </c>
      <c r="N6" s="3" t="inlineStr">
        <is>
          <t>荔枝角</t>
        </is>
      </c>
      <c r="O6" s="3" t="inlineStr">
        <is>
          <t>深水埗区</t>
        </is>
      </c>
      <c r="P6" s="3" t="inlineStr">
        <is>
          <t>香港</t>
        </is>
      </c>
      <c r="Q6" s="3" t="n">
        <v>721525425</v>
      </c>
      <c r="R6" s="3" t="inlineStr">
        <is>
          <t>青木食堂</t>
        </is>
      </c>
      <c r="S6" s="3" t="inlineStr">
        <is>
          <t>****91644427</t>
        </is>
      </c>
      <c r="T6" s="3" t="inlineStr">
        <is>
          <t>****91644427</t>
        </is>
      </c>
      <c r="U6" s="3" t="inlineStr">
        <is>
          <t>***** 11樓15室</t>
        </is>
      </c>
      <c r="V6" s="3" t="inlineStr">
        <is>
          <t>香港</t>
        </is>
      </c>
      <c r="W6" s="3" t="inlineStr">
        <is>
          <t>POS機+新店禮包</t>
        </is>
      </c>
      <c r="X6" s="3" t="inlineStr">
        <is>
          <t>BSP</t>
        </is>
      </c>
      <c r="Y6" s="3" t="inlineStr">
        <is>
          <t>寄快遞</t>
        </is>
      </c>
      <c r="Z6" s="3" t="n"/>
      <c r="AA6" s="3" t="inlineStr">
        <is>
          <t>第三方付</t>
        </is>
      </c>
      <c r="AB6">
        <f>IFERROR(VLOOKUP(Q6&amp;"",對照表!$A:$B,1,FALSE),"")</f>
        <v/>
      </c>
      <c r="AC6">
        <f>IFERROR(VLOOKUP(Q6&amp;"",對照表!$A:$B,2,FALSE),"")</f>
        <v/>
      </c>
    </row>
    <row r="7">
      <c r="A7" s="3" t="inlineStr">
        <is>
          <t>SF5117916569181</t>
        </is>
      </c>
      <c r="B7" s="3" t="inlineStr">
        <is>
          <t>Keeta-2026-0701-0004</t>
        </is>
      </c>
      <c r="C7" s="3" t="inlineStr">
        <is>
          <t>已簽收</t>
        </is>
      </c>
      <c r="D7" s="3" t="inlineStr">
        <is>
          <t>2026-07-02 11:37:09</t>
        </is>
      </c>
      <c r="E7" s="3" t="inlineStr">
        <is>
          <t>2026-07-02 16:57</t>
        </is>
      </c>
      <c r="F7" s="3" t="n">
        <v>2.8</v>
      </c>
      <c r="G7" s="3" t="n">
        <v>1</v>
      </c>
      <c r="H7" s="3" t="n"/>
      <c r="I7" s="3" t="n"/>
      <c r="J7" s="3" t="inlineStr">
        <is>
          <t>keeta</t>
        </is>
      </c>
      <c r="K7" s="3" t="inlineStr">
        <is>
          <t>****57224599</t>
        </is>
      </c>
      <c r="L7" s="3" t="inlineStr">
        <is>
          <t>****57224599</t>
        </is>
      </c>
      <c r="M7" s="3" t="inlineStr">
        <is>
          <t>***** 心2808室</t>
        </is>
      </c>
      <c r="N7" s="3" t="inlineStr">
        <is>
          <t>荔枝角</t>
        </is>
      </c>
      <c r="O7" s="3" t="inlineStr">
        <is>
          <t>深水埗区</t>
        </is>
      </c>
      <c r="P7" s="3" t="inlineStr">
        <is>
          <t>香港</t>
        </is>
      </c>
      <c r="Q7" s="3" t="n">
        <v>721523398</v>
      </c>
      <c r="R7" s="3" t="inlineStr">
        <is>
          <t>MrOppaKitchen</t>
        </is>
      </c>
      <c r="S7" s="3" t="inlineStr">
        <is>
          <t>****94723884</t>
        </is>
      </c>
      <c r="T7" s="3" t="inlineStr">
        <is>
          <t>****94723884</t>
        </is>
      </c>
      <c r="U7" s="3" t="inlineStr">
        <is>
          <t>***** 車區餐車一號</t>
        </is>
      </c>
      <c r="V7" s="3" t="inlineStr">
        <is>
          <t>香港</t>
        </is>
      </c>
      <c r="W7" s="3" t="inlineStr">
        <is>
          <t>POS機+新店禮包</t>
        </is>
      </c>
      <c r="X7" s="3" t="inlineStr">
        <is>
          <t>BSP</t>
        </is>
      </c>
      <c r="Y7" s="3" t="inlineStr">
        <is>
          <t>寄快遞</t>
        </is>
      </c>
      <c r="Z7" s="3" t="n"/>
      <c r="AA7" s="3" t="inlineStr">
        <is>
          <t>第三方付</t>
        </is>
      </c>
      <c r="AB7">
        <f>IFERROR(VLOOKUP(Q7&amp;"",對照表!$A:$B,1,FALSE),"")</f>
        <v/>
      </c>
      <c r="AC7">
        <f>IFERROR(VLOOKUP(Q7&amp;"",對照表!$A:$B,2,FALSE),"")</f>
        <v/>
      </c>
    </row>
    <row r="8">
      <c r="A8" s="3" t="inlineStr">
        <is>
          <t>SF5117916569436</t>
        </is>
      </c>
      <c r="B8" s="3" t="inlineStr">
        <is>
          <t>Keeta-2026-0701-0011</t>
        </is>
      </c>
      <c r="C8" s="3" t="inlineStr">
        <is>
          <t>已簽收</t>
        </is>
      </c>
      <c r="D8" s="3" t="inlineStr">
        <is>
          <t>2026-07-02 11:41:37</t>
        </is>
      </c>
      <c r="E8" s="3" t="inlineStr">
        <is>
          <t>2026-07-02 16:33</t>
        </is>
      </c>
      <c r="F8" s="3" t="n">
        <v>2.8</v>
      </c>
      <c r="G8" s="3" t="n">
        <v>1</v>
      </c>
      <c r="H8" s="3" t="n"/>
      <c r="I8" s="3" t="n"/>
      <c r="J8" s="3" t="inlineStr">
        <is>
          <t>keeta</t>
        </is>
      </c>
      <c r="K8" s="3" t="inlineStr">
        <is>
          <t>****57224599</t>
        </is>
      </c>
      <c r="L8" s="3" t="inlineStr">
        <is>
          <t>****57224599</t>
        </is>
      </c>
      <c r="M8" s="3" t="inlineStr">
        <is>
          <t>***** 心2808室</t>
        </is>
      </c>
      <c r="N8" s="3" t="inlineStr">
        <is>
          <t>荔枝角</t>
        </is>
      </c>
      <c r="O8" s="3" t="inlineStr">
        <is>
          <t>深水埗区</t>
        </is>
      </c>
      <c r="P8" s="3" t="inlineStr">
        <is>
          <t>香港</t>
        </is>
      </c>
      <c r="Q8" s="3" t="n">
        <v>721529410</v>
      </c>
      <c r="R8" s="3" t="inlineStr">
        <is>
          <t>嚐聚館</t>
        </is>
      </c>
      <c r="S8" s="3" t="inlineStr">
        <is>
          <t>****69592665</t>
        </is>
      </c>
      <c r="T8" s="3" t="inlineStr">
        <is>
          <t>****69592665</t>
        </is>
      </c>
      <c r="U8" s="3" t="inlineStr">
        <is>
          <t>***** 廈15號地鋪</t>
        </is>
      </c>
      <c r="V8" s="3" t="inlineStr">
        <is>
          <t>香港</t>
        </is>
      </c>
      <c r="W8" s="3" t="inlineStr">
        <is>
          <t>POS機+新店禮包</t>
        </is>
      </c>
      <c r="X8" s="3" t="inlineStr">
        <is>
          <t>BSP</t>
        </is>
      </c>
      <c r="Y8" s="3" t="inlineStr">
        <is>
          <t>寄快遞</t>
        </is>
      </c>
      <c r="Z8" s="3" t="n"/>
      <c r="AA8" s="3" t="inlineStr">
        <is>
          <t>第三方付</t>
        </is>
      </c>
      <c r="AB8">
        <f>IFERROR(VLOOKUP(Q8&amp;"",對照表!$A:$B,1,FALSE),"")</f>
        <v/>
      </c>
      <c r="AC8">
        <f>IFERROR(VLOOKUP(Q8&amp;"",對照表!$A:$B,2,FALSE),"")</f>
        <v/>
      </c>
    </row>
    <row r="9">
      <c r="A9" s="3" t="inlineStr">
        <is>
          <t>SF5117916569163</t>
        </is>
      </c>
      <c r="B9" s="3" t="inlineStr">
        <is>
          <t>Keeta-2026-0701-0003</t>
        </is>
      </c>
      <c r="C9" s="3" t="inlineStr">
        <is>
          <t>已簽收</t>
        </is>
      </c>
      <c r="D9" s="3" t="inlineStr">
        <is>
          <t>2026-07-02 11:36:51</t>
        </is>
      </c>
      <c r="E9" s="3" t="inlineStr">
        <is>
          <t>2026-07-02 19:02</t>
        </is>
      </c>
      <c r="F9" s="3" t="n">
        <v>2.8</v>
      </c>
      <c r="G9" s="3" t="n">
        <v>1</v>
      </c>
      <c r="H9" s="3" t="n"/>
      <c r="I9" s="3" t="n"/>
      <c r="J9" s="3" t="inlineStr">
        <is>
          <t>keeta</t>
        </is>
      </c>
      <c r="K9" s="3" t="inlineStr">
        <is>
          <t>****57224599</t>
        </is>
      </c>
      <c r="L9" s="3" t="inlineStr">
        <is>
          <t>****57224599</t>
        </is>
      </c>
      <c r="M9" s="3" t="inlineStr">
        <is>
          <t>***** 心2808室</t>
        </is>
      </c>
      <c r="N9" s="3" t="inlineStr">
        <is>
          <t>荔枝角</t>
        </is>
      </c>
      <c r="O9" s="3" t="inlineStr">
        <is>
          <t>深水埗区</t>
        </is>
      </c>
      <c r="P9" s="3" t="inlineStr">
        <is>
          <t>香港</t>
        </is>
      </c>
      <c r="Q9" s="3" t="n">
        <v>721526404</v>
      </c>
      <c r="R9" s="3" t="inlineStr">
        <is>
          <t>香姐美食</t>
        </is>
      </c>
      <c r="S9" s="3" t="inlineStr">
        <is>
          <t>****56118898</t>
        </is>
      </c>
      <c r="T9" s="3" t="inlineStr">
        <is>
          <t>****56118898</t>
        </is>
      </c>
      <c r="U9" s="3" t="inlineStr">
        <is>
          <t>***** 磡明安街8號</t>
        </is>
      </c>
      <c r="V9" s="3" t="inlineStr">
        <is>
          <t>香港</t>
        </is>
      </c>
      <c r="W9" s="3" t="inlineStr">
        <is>
          <t>POS機+新店禮包</t>
        </is>
      </c>
      <c r="X9" s="3" t="inlineStr">
        <is>
          <t>BSP</t>
        </is>
      </c>
      <c r="Y9" s="3" t="inlineStr">
        <is>
          <t>寄快遞</t>
        </is>
      </c>
      <c r="Z9" s="3" t="n"/>
      <c r="AA9" s="3" t="inlineStr">
        <is>
          <t>第三方付</t>
        </is>
      </c>
      <c r="AB9">
        <f>IFERROR(VLOOKUP(Q9&amp;"",對照表!$A:$B,1,FALSE),"")</f>
        <v/>
      </c>
      <c r="AC9">
        <f>IFERROR(VLOOKUP(Q9&amp;"",對照表!$A:$B,2,FALSE),"")</f>
        <v/>
      </c>
    </row>
    <row r="10">
      <c r="A10" s="3" t="inlineStr">
        <is>
          <t>SF5117916570040</t>
        </is>
      </c>
      <c r="B10" s="3" t="inlineStr">
        <is>
          <t>Keeta-2026-0701-0019</t>
        </is>
      </c>
      <c r="C10" s="3" t="inlineStr">
        <is>
          <t>已簽收</t>
        </is>
      </c>
      <c r="D10" s="3" t="inlineStr">
        <is>
          <t>2026-07-02 11:38:27</t>
        </is>
      </c>
      <c r="E10" s="3" t="inlineStr">
        <is>
          <t>2026-07-02 17:14</t>
        </is>
      </c>
      <c r="F10" s="3" t="n">
        <v>2.8</v>
      </c>
      <c r="G10" s="3" t="n">
        <v>1</v>
      </c>
      <c r="H10" s="3" t="n"/>
      <c r="I10" s="3" t="n"/>
      <c r="J10" s="3" t="inlineStr">
        <is>
          <t>keeta</t>
        </is>
      </c>
      <c r="K10" s="3" t="inlineStr">
        <is>
          <t>****57224599</t>
        </is>
      </c>
      <c r="L10" s="3" t="inlineStr">
        <is>
          <t>****57224599</t>
        </is>
      </c>
      <c r="M10" s="3" t="inlineStr">
        <is>
          <t>***** 心2808室</t>
        </is>
      </c>
      <c r="N10" s="3" t="inlineStr">
        <is>
          <t>荔枝角</t>
        </is>
      </c>
      <c r="O10" s="3" t="inlineStr">
        <is>
          <t>深水埗区</t>
        </is>
      </c>
      <c r="P10" s="3" t="inlineStr">
        <is>
          <t>香港</t>
        </is>
      </c>
      <c r="Q10" s="3" t="n">
        <v>721517395</v>
      </c>
      <c r="R10" s="3" t="inlineStr">
        <is>
          <t>有膳餐廳（利奧坊）</t>
        </is>
      </c>
      <c r="S10" s="3" t="inlineStr">
        <is>
          <t>****63026760</t>
        </is>
      </c>
      <c r="T10" s="3" t="inlineStr">
        <is>
          <t>****63026760</t>
        </is>
      </c>
      <c r="U10" s="3" t="inlineStr">
        <is>
          <t>***** 9-910鋪</t>
        </is>
      </c>
      <c r="V10" s="3" t="inlineStr">
        <is>
          <t>香港</t>
        </is>
      </c>
      <c r="W10" s="3" t="inlineStr">
        <is>
          <t>POS機+新店禮包</t>
        </is>
      </c>
      <c r="X10" s="3" t="inlineStr">
        <is>
          <t>BSP</t>
        </is>
      </c>
      <c r="Y10" s="3" t="inlineStr">
        <is>
          <t>寄快遞</t>
        </is>
      </c>
      <c r="Z10" s="3" t="n"/>
      <c r="AA10" s="3" t="inlineStr">
        <is>
          <t>第三方付</t>
        </is>
      </c>
      <c r="AB10">
        <f>IFERROR(VLOOKUP(Q10&amp;"",對照表!$A:$B,1,FALSE),"")</f>
        <v/>
      </c>
      <c r="AC10">
        <f>IFERROR(VLOOKUP(Q10&amp;"",對照表!$A:$B,2,FALSE),"")</f>
        <v/>
      </c>
    </row>
    <row r="11">
      <c r="A11" s="3" t="inlineStr">
        <is>
          <t>SF5117916570086</t>
        </is>
      </c>
      <c r="B11" s="3" t="inlineStr">
        <is>
          <t>Keeta-2026-0701-0007</t>
        </is>
      </c>
      <c r="C11" s="3" t="inlineStr">
        <is>
          <t>已簽收</t>
        </is>
      </c>
      <c r="D11" s="3" t="inlineStr">
        <is>
          <t>2026-07-02 11:40:59</t>
        </is>
      </c>
      <c r="E11" s="3" t="inlineStr">
        <is>
          <t>2026-07-02 15:36</t>
        </is>
      </c>
      <c r="F11" s="3" t="n">
        <v>2.8</v>
      </c>
      <c r="G11" s="3" t="n">
        <v>1</v>
      </c>
      <c r="H11" s="3" t="n"/>
      <c r="I11" s="3" t="n"/>
      <c r="J11" s="3" t="inlineStr">
        <is>
          <t>keeta</t>
        </is>
      </c>
      <c r="K11" s="3" t="inlineStr">
        <is>
          <t>****57224599</t>
        </is>
      </c>
      <c r="L11" s="3" t="inlineStr">
        <is>
          <t>****57224599</t>
        </is>
      </c>
      <c r="M11" s="3" t="inlineStr">
        <is>
          <t>***** 心2808室</t>
        </is>
      </c>
      <c r="N11" s="3" t="inlineStr">
        <is>
          <t>荔枝角</t>
        </is>
      </c>
      <c r="O11" s="3" t="inlineStr">
        <is>
          <t>深水埗区</t>
        </is>
      </c>
      <c r="P11" s="3" t="inlineStr">
        <is>
          <t>香港</t>
        </is>
      </c>
      <c r="Q11" s="3" t="n">
        <v>721530405</v>
      </c>
      <c r="R11" s="3" t="inlineStr">
        <is>
          <t>PROSPERITY</t>
        </is>
      </c>
      <c r="S11" s="3" t="inlineStr">
        <is>
          <t>****69933224</t>
        </is>
      </c>
      <c r="T11" s="3" t="inlineStr">
        <is>
          <t>****69933224</t>
        </is>
      </c>
      <c r="U11" s="3" t="inlineStr">
        <is>
          <t>***** 6室A4部份</t>
        </is>
      </c>
      <c r="V11" s="3" t="inlineStr">
        <is>
          <t>香港</t>
        </is>
      </c>
      <c r="W11" s="3" t="inlineStr">
        <is>
          <t>POS機+新店禮包</t>
        </is>
      </c>
      <c r="X11" s="3" t="inlineStr">
        <is>
          <t>BSP</t>
        </is>
      </c>
      <c r="Y11" s="3" t="inlineStr">
        <is>
          <t>寄快遞</t>
        </is>
      </c>
      <c r="Z11" s="3" t="n"/>
      <c r="AA11" s="3" t="inlineStr">
        <is>
          <t>第三方付</t>
        </is>
      </c>
      <c r="AB11">
        <f>IFERROR(VLOOKUP(Q11&amp;"",對照表!$A:$B,1,FALSE),"")</f>
        <v/>
      </c>
      <c r="AC11">
        <f>IFERROR(VLOOKUP(Q11&amp;"",對照表!$A:$B,2,FALSE),"")</f>
        <v/>
      </c>
    </row>
    <row r="12">
      <c r="A12" s="3" t="inlineStr">
        <is>
          <t>SF5117916570156</t>
        </is>
      </c>
      <c r="B12" s="3" t="inlineStr">
        <is>
          <t>Keeta-2026-0701-0002</t>
        </is>
      </c>
      <c r="C12" s="3" t="inlineStr">
        <is>
          <t>已簽收</t>
        </is>
      </c>
      <c r="D12" s="3" t="inlineStr">
        <is>
          <t>2026-07-02 11:36:36</t>
        </is>
      </c>
      <c r="E12" s="3" t="inlineStr">
        <is>
          <t>2026-07-02 19:43</t>
        </is>
      </c>
      <c r="F12" s="3" t="n">
        <v>2.8</v>
      </c>
      <c r="G12" s="3" t="n">
        <v>1</v>
      </c>
      <c r="H12" s="3" t="n"/>
      <c r="I12" s="3" t="n"/>
      <c r="J12" s="3" t="inlineStr">
        <is>
          <t>keeta</t>
        </is>
      </c>
      <c r="K12" s="3" t="inlineStr">
        <is>
          <t>****57224599</t>
        </is>
      </c>
      <c r="L12" s="3" t="inlineStr">
        <is>
          <t>****57224599</t>
        </is>
      </c>
      <c r="M12" s="3" t="inlineStr">
        <is>
          <t>***** 心2808室</t>
        </is>
      </c>
      <c r="N12" s="3" t="inlineStr">
        <is>
          <t>荔枝角</t>
        </is>
      </c>
      <c r="O12" s="3" t="inlineStr">
        <is>
          <t>深水埗区</t>
        </is>
      </c>
      <c r="P12" s="3" t="inlineStr">
        <is>
          <t>香港</t>
        </is>
      </c>
      <c r="Q12" s="3" t="n">
        <v>721522413</v>
      </c>
      <c r="R12" s="3" t="inlineStr">
        <is>
          <t>CatchA首爾炸雞（新浦崗分店）</t>
        </is>
      </c>
      <c r="S12" s="3" t="inlineStr">
        <is>
          <t>****66833331</t>
        </is>
      </c>
      <c r="T12" s="3" t="inlineStr">
        <is>
          <t>****66833331</t>
        </is>
      </c>
      <c r="U12" s="3" t="inlineStr">
        <is>
          <t>***** 負責人收到）</t>
        </is>
      </c>
      <c r="V12" s="3" t="inlineStr">
        <is>
          <t>香港</t>
        </is>
      </c>
      <c r="W12" s="3" t="inlineStr">
        <is>
          <t>POS機+新店禮包</t>
        </is>
      </c>
      <c r="X12" s="3" t="inlineStr">
        <is>
          <t>BSP</t>
        </is>
      </c>
      <c r="Y12" s="3" t="inlineStr">
        <is>
          <t>寄快遞</t>
        </is>
      </c>
      <c r="Z12" s="3" t="n"/>
      <c r="AA12" s="3" t="inlineStr">
        <is>
          <t>第三方付</t>
        </is>
      </c>
      <c r="AB12">
        <f>IFERROR(VLOOKUP(Q12&amp;"",對照表!$A:$B,1,FALSE),"")</f>
        <v/>
      </c>
      <c r="AC12">
        <f>IFERROR(VLOOKUP(Q12&amp;"",對照表!$A:$B,2,FALSE),"")</f>
        <v/>
      </c>
    </row>
    <row r="13">
      <c r="A13" s="3" t="inlineStr">
        <is>
          <t>SF5117916570253</t>
        </is>
      </c>
      <c r="B13" s="3" t="inlineStr">
        <is>
          <t>Keeta-2026-0701-0008</t>
        </is>
      </c>
      <c r="C13" s="3" t="inlineStr">
        <is>
          <t>已簽收</t>
        </is>
      </c>
      <c r="D13" s="3" t="inlineStr">
        <is>
          <t>2026-07-02 11:41:09</t>
        </is>
      </c>
      <c r="E13" s="3" t="inlineStr">
        <is>
          <t>2026-07-03 10:40</t>
        </is>
      </c>
      <c r="F13" s="3" t="n">
        <v>2.8</v>
      </c>
      <c r="G13" s="3" t="n">
        <v>1</v>
      </c>
      <c r="H13" s="3" t="n"/>
      <c r="I13" s="3" t="n"/>
      <c r="J13" s="3" t="inlineStr">
        <is>
          <t>keeta</t>
        </is>
      </c>
      <c r="K13" s="3" t="inlineStr">
        <is>
          <t>****57224599</t>
        </is>
      </c>
      <c r="L13" s="3" t="inlineStr">
        <is>
          <t>****57224599</t>
        </is>
      </c>
      <c r="M13" s="3" t="inlineStr">
        <is>
          <t>***** 心2808室</t>
        </is>
      </c>
      <c r="N13" s="3" t="inlineStr">
        <is>
          <t>荔枝角</t>
        </is>
      </c>
      <c r="O13" s="3" t="inlineStr">
        <is>
          <t>深水埗区</t>
        </is>
      </c>
      <c r="P13" s="3" t="inlineStr">
        <is>
          <t>香港</t>
        </is>
      </c>
      <c r="Q13" s="3" t="n">
        <v>721531396</v>
      </c>
      <c r="R13" s="3" t="inlineStr">
        <is>
          <t>哥哥炸雞（火炭店）</t>
        </is>
      </c>
      <c r="S13" s="3" t="inlineStr">
        <is>
          <t>****92799551</t>
        </is>
      </c>
      <c r="T13" s="3" t="inlineStr">
        <is>
          <t>****92799551</t>
        </is>
      </c>
      <c r="U13" s="3" t="inlineStr">
        <is>
          <t>***** B室B9部份</t>
        </is>
      </c>
      <c r="V13" s="3" t="inlineStr">
        <is>
          <t>香港</t>
        </is>
      </c>
      <c r="W13" s="3" t="inlineStr">
        <is>
          <t>POS機+新店禮包</t>
        </is>
      </c>
      <c r="X13" s="3" t="inlineStr">
        <is>
          <t>BSP</t>
        </is>
      </c>
      <c r="Y13" s="3" t="inlineStr">
        <is>
          <t>寄快遞</t>
        </is>
      </c>
      <c r="Z13" s="3" t="n"/>
      <c r="AA13" s="3" t="inlineStr">
        <is>
          <t>第三方付</t>
        </is>
      </c>
      <c r="AB13">
        <f>IFERROR(VLOOKUP(Q13&amp;"",對照表!$A:$B,1,FALSE),"")</f>
        <v/>
      </c>
      <c r="AC13">
        <f>IFERROR(VLOOKUP(Q13&amp;"",對照表!$A:$B,2,FALSE),"")</f>
        <v/>
      </c>
    </row>
    <row r="14">
      <c r="A14" s="3" t="inlineStr">
        <is>
          <t>SF5117916570101</t>
        </is>
      </c>
      <c r="B14" s="3" t="inlineStr">
        <is>
          <t>Keeta-2026-0701-0018</t>
        </is>
      </c>
      <c r="C14" s="3" t="inlineStr">
        <is>
          <t>已簽收</t>
        </is>
      </c>
      <c r="D14" s="3" t="inlineStr">
        <is>
          <t>2026-07-02 11:38:18</t>
        </is>
      </c>
      <c r="E14" s="3" t="inlineStr">
        <is>
          <t>2026-07-02 15:19</t>
        </is>
      </c>
      <c r="F14" s="3" t="n">
        <v>2.8</v>
      </c>
      <c r="G14" s="3" t="n">
        <v>1</v>
      </c>
      <c r="H14" s="3" t="n"/>
      <c r="I14" s="3" t="n"/>
      <c r="J14" s="3" t="inlineStr">
        <is>
          <t>keeta</t>
        </is>
      </c>
      <c r="K14" s="3" t="inlineStr">
        <is>
          <t>****57224599</t>
        </is>
      </c>
      <c r="L14" s="3" t="inlineStr">
        <is>
          <t>****57224599</t>
        </is>
      </c>
      <c r="M14" s="3" t="inlineStr">
        <is>
          <t>***** 心2808室</t>
        </is>
      </c>
      <c r="N14" s="3" t="inlineStr">
        <is>
          <t>荔枝角</t>
        </is>
      </c>
      <c r="O14" s="3" t="inlineStr">
        <is>
          <t>深水埗区</t>
        </is>
      </c>
      <c r="P14" s="3" t="inlineStr">
        <is>
          <t>香港</t>
        </is>
      </c>
      <c r="Q14" s="3" t="n">
        <v>721523402</v>
      </c>
      <c r="R14" s="3" t="inlineStr">
        <is>
          <t>yogurtmoment</t>
        </is>
      </c>
      <c r="S14" s="3" t="inlineStr">
        <is>
          <t>****91377003</t>
        </is>
      </c>
      <c r="T14" s="3" t="inlineStr">
        <is>
          <t>****91377003</t>
        </is>
      </c>
      <c r="U14" s="3" t="inlineStr">
        <is>
          <t>***** 商場地下3鋪</t>
        </is>
      </c>
      <c r="V14" s="3" t="inlineStr">
        <is>
          <t>香港</t>
        </is>
      </c>
      <c r="W14" s="3" t="inlineStr">
        <is>
          <t>POS機+新店禮包</t>
        </is>
      </c>
      <c r="X14" s="3" t="inlineStr">
        <is>
          <t>BSP</t>
        </is>
      </c>
      <c r="Y14" s="3" t="inlineStr">
        <is>
          <t>寄快遞</t>
        </is>
      </c>
      <c r="Z14" s="3" t="n"/>
      <c r="AA14" s="3" t="inlineStr">
        <is>
          <t>第三方付</t>
        </is>
      </c>
      <c r="AB14">
        <f>IFERROR(VLOOKUP(Q14&amp;"",對照表!$A:$B,1,FALSE),"")</f>
        <v/>
      </c>
      <c r="AC14">
        <f>IFERROR(VLOOKUP(Q14&amp;"",對照表!$A:$B,2,FALSE),"")</f>
        <v/>
      </c>
    </row>
    <row r="15">
      <c r="A15" s="3" t="inlineStr">
        <is>
          <t>SF5117916570280</t>
        </is>
      </c>
      <c r="B15" s="3" t="inlineStr">
        <is>
          <t>Keeta-2026-0701-0005</t>
        </is>
      </c>
      <c r="C15" s="3" t="inlineStr">
        <is>
          <t>已簽收</t>
        </is>
      </c>
      <c r="D15" s="3" t="inlineStr">
        <is>
          <t>2026-07-02 11:37:17</t>
        </is>
      </c>
      <c r="E15" s="3" t="inlineStr">
        <is>
          <t>2026-07-02 17:44</t>
        </is>
      </c>
      <c r="F15" s="3" t="n">
        <v>2.8</v>
      </c>
      <c r="G15" s="3" t="n">
        <v>1</v>
      </c>
      <c r="H15" s="3" t="n"/>
      <c r="I15" s="3" t="n"/>
      <c r="J15" s="3" t="inlineStr">
        <is>
          <t>keeta</t>
        </is>
      </c>
      <c r="K15" s="3" t="inlineStr">
        <is>
          <t>****57224599</t>
        </is>
      </c>
      <c r="L15" s="3" t="inlineStr">
        <is>
          <t>****57224599</t>
        </is>
      </c>
      <c r="M15" s="3" t="inlineStr">
        <is>
          <t>***** 心2808室</t>
        </is>
      </c>
      <c r="N15" s="3" t="inlineStr">
        <is>
          <t>荔枝角</t>
        </is>
      </c>
      <c r="O15" s="3" t="inlineStr">
        <is>
          <t>深水埗区</t>
        </is>
      </c>
      <c r="P15" s="3" t="inlineStr">
        <is>
          <t>香港</t>
        </is>
      </c>
      <c r="Q15" s="3" t="n">
        <v>721542349</v>
      </c>
      <c r="R15" s="3" t="inlineStr">
        <is>
          <t>LibraryRestaurantandBar</t>
        </is>
      </c>
      <c r="S15" s="3" t="inlineStr">
        <is>
          <t>****91683650</t>
        </is>
      </c>
      <c r="T15" s="3" t="inlineStr">
        <is>
          <t>****91683650</t>
        </is>
      </c>
      <c r="U15" s="3" t="inlineStr">
        <is>
          <t>***** 文遜大廈3樓</t>
        </is>
      </c>
      <c r="V15" s="3" t="inlineStr">
        <is>
          <t>香港</t>
        </is>
      </c>
      <c r="W15" s="3" t="inlineStr">
        <is>
          <t>POS機+新店禮包</t>
        </is>
      </c>
      <c r="X15" s="3" t="inlineStr">
        <is>
          <t>BSP</t>
        </is>
      </c>
      <c r="Y15" s="3" t="inlineStr">
        <is>
          <t>寄快遞</t>
        </is>
      </c>
      <c r="Z15" s="3" t="n"/>
      <c r="AA15" s="3" t="inlineStr">
        <is>
          <t>第三方付</t>
        </is>
      </c>
      <c r="AB15">
        <f>IFERROR(VLOOKUP(Q15&amp;"",對照表!$A:$B,1,FALSE),"")</f>
        <v/>
      </c>
      <c r="AC15">
        <f>IFERROR(VLOOKUP(Q15&amp;"",對照表!$A:$B,2,FALSE),"")</f>
        <v/>
      </c>
    </row>
    <row r="16">
      <c r="A16" s="3" t="inlineStr">
        <is>
          <t>SF5117916570332</t>
        </is>
      </c>
      <c r="B16" s="3" t="inlineStr">
        <is>
          <t>Keeta-2026-0701-0017</t>
        </is>
      </c>
      <c r="C16" s="3" t="inlineStr">
        <is>
          <t>已簽收</t>
        </is>
      </c>
      <c r="D16" s="3" t="inlineStr">
        <is>
          <t>2026-07-02 11:38:07</t>
        </is>
      </c>
      <c r="E16" s="3" t="inlineStr">
        <is>
          <t>2026-07-02 17:50</t>
        </is>
      </c>
      <c r="F16" s="3" t="n">
        <v>2.8</v>
      </c>
      <c r="G16" s="3" t="n">
        <v>1</v>
      </c>
      <c r="H16" s="3" t="n"/>
      <c r="I16" s="3" t="n"/>
      <c r="J16" s="3" t="inlineStr">
        <is>
          <t>keeta</t>
        </is>
      </c>
      <c r="K16" s="3" t="inlineStr">
        <is>
          <t>****57224599</t>
        </is>
      </c>
      <c r="L16" s="3" t="inlineStr">
        <is>
          <t>****57224599</t>
        </is>
      </c>
      <c r="M16" s="3" t="inlineStr">
        <is>
          <t>***** 心2808室</t>
        </is>
      </c>
      <c r="N16" s="3" t="inlineStr">
        <is>
          <t>荔枝角</t>
        </is>
      </c>
      <c r="O16" s="3" t="inlineStr">
        <is>
          <t>深水埗区</t>
        </is>
      </c>
      <c r="P16" s="3" t="inlineStr">
        <is>
          <t>香港</t>
        </is>
      </c>
      <c r="Q16" s="3" t="n">
        <v>721526387</v>
      </c>
      <c r="R16" s="3" t="inlineStr">
        <is>
          <t>仨心兩意自家烘焙</t>
        </is>
      </c>
      <c r="S16" s="3" t="inlineStr">
        <is>
          <t>****62283520</t>
        </is>
      </c>
      <c r="T16" s="3" t="inlineStr">
        <is>
          <t>****62283520</t>
        </is>
      </c>
      <c r="U16" s="3" t="inlineStr">
        <is>
          <t>***** B座4樓3室</t>
        </is>
      </c>
      <c r="V16" s="3" t="inlineStr">
        <is>
          <t>香港</t>
        </is>
      </c>
      <c r="W16" s="3" t="inlineStr">
        <is>
          <t>POS機+新店禮包</t>
        </is>
      </c>
      <c r="X16" s="3" t="inlineStr">
        <is>
          <t>BSP</t>
        </is>
      </c>
      <c r="Y16" s="3" t="inlineStr">
        <is>
          <t>寄快遞</t>
        </is>
      </c>
      <c r="Z16" s="3" t="n"/>
      <c r="AA16" s="3" t="inlineStr">
        <is>
          <t>第三方付</t>
        </is>
      </c>
      <c r="AB16">
        <f>IFERROR(VLOOKUP(Q16&amp;"",對照表!$A:$B,1,FALSE),"")</f>
        <v/>
      </c>
      <c r="AC16">
        <f>IFERROR(VLOOKUP(Q16&amp;"",對照表!$A:$B,2,FALSE),"")</f>
        <v/>
      </c>
    </row>
    <row r="17">
      <c r="A17" s="3" t="inlineStr">
        <is>
          <t>SF5117916569358</t>
        </is>
      </c>
      <c r="B17" s="3" t="inlineStr">
        <is>
          <t>Keeta-2026-0701-0013</t>
        </is>
      </c>
      <c r="C17" s="3" t="inlineStr">
        <is>
          <t>已簽收</t>
        </is>
      </c>
      <c r="D17" s="3" t="inlineStr">
        <is>
          <t>2026-07-02 11:40:47</t>
        </is>
      </c>
      <c r="E17" s="3" t="inlineStr">
        <is>
          <t>2026-07-02 15:01</t>
        </is>
      </c>
      <c r="F17" s="3" t="n">
        <v>2.8</v>
      </c>
      <c r="G17" s="3" t="n">
        <v>1</v>
      </c>
      <c r="H17" s="3" t="n"/>
      <c r="I17" s="3" t="n"/>
      <c r="J17" s="3" t="inlineStr">
        <is>
          <t>keeta</t>
        </is>
      </c>
      <c r="K17" s="3" t="inlineStr">
        <is>
          <t>****57224599</t>
        </is>
      </c>
      <c r="L17" s="3" t="inlineStr">
        <is>
          <t>****57224599</t>
        </is>
      </c>
      <c r="M17" s="3" t="inlineStr">
        <is>
          <t>***** 心2808室</t>
        </is>
      </c>
      <c r="N17" s="3" t="inlineStr">
        <is>
          <t>荔枝角</t>
        </is>
      </c>
      <c r="O17" s="3" t="inlineStr">
        <is>
          <t>深水埗区</t>
        </is>
      </c>
      <c r="P17" s="3" t="inlineStr">
        <is>
          <t>香港</t>
        </is>
      </c>
      <c r="Q17" s="3" t="n">
        <v>721528413</v>
      </c>
      <c r="R17" s="3" t="inlineStr">
        <is>
          <t>趣脆雞（紅磡）</t>
        </is>
      </c>
      <c r="S17" s="3" t="inlineStr">
        <is>
          <t>****93151943</t>
        </is>
      </c>
      <c r="T17" s="3" t="inlineStr">
        <is>
          <t>****93151943</t>
        </is>
      </c>
      <c r="U17" s="3" t="inlineStr">
        <is>
          <t>***** 樓地下K2舖</t>
        </is>
      </c>
      <c r="V17" s="3" t="inlineStr">
        <is>
          <t>香港</t>
        </is>
      </c>
      <c r="W17" s="3" t="inlineStr">
        <is>
          <t>POS機+新店禮包</t>
        </is>
      </c>
      <c r="X17" s="3" t="inlineStr">
        <is>
          <t>BSP</t>
        </is>
      </c>
      <c r="Y17" s="3" t="inlineStr">
        <is>
          <t>寄快遞</t>
        </is>
      </c>
      <c r="Z17" s="3" t="n"/>
      <c r="AA17" s="3" t="inlineStr">
        <is>
          <t>第三方付</t>
        </is>
      </c>
      <c r="AB17">
        <f>IFERROR(VLOOKUP(Q17&amp;"",對照表!$A:$B,1,FALSE),"")</f>
        <v/>
      </c>
      <c r="AC17">
        <f>IFERROR(VLOOKUP(Q17&amp;"",對照表!$A:$B,2,FALSE),"")</f>
        <v/>
      </c>
    </row>
    <row r="18">
      <c r="A18" s="3" t="inlineStr">
        <is>
          <t>SF5117916570387</t>
        </is>
      </c>
      <c r="B18" s="3" t="inlineStr">
        <is>
          <t>Keeta-2026-0701-0016</t>
        </is>
      </c>
      <c r="C18" s="3" t="inlineStr">
        <is>
          <t>已簽收</t>
        </is>
      </c>
      <c r="D18" s="3" t="inlineStr">
        <is>
          <t>2026-07-02 11:39:25</t>
        </is>
      </c>
      <c r="E18" s="3" t="inlineStr">
        <is>
          <t>2026-07-02 15:26</t>
        </is>
      </c>
      <c r="F18" s="3" t="n">
        <v>2.8</v>
      </c>
      <c r="G18" s="3" t="n">
        <v>1</v>
      </c>
      <c r="H18" s="3" t="n"/>
      <c r="I18" s="3" t="n"/>
      <c r="J18" s="3" t="inlineStr">
        <is>
          <t>keeta</t>
        </is>
      </c>
      <c r="K18" s="3" t="inlineStr">
        <is>
          <t>****57224599</t>
        </is>
      </c>
      <c r="L18" s="3" t="inlineStr">
        <is>
          <t>****57224599</t>
        </is>
      </c>
      <c r="M18" s="3" t="inlineStr">
        <is>
          <t>***** 心2808室</t>
        </is>
      </c>
      <c r="N18" s="3" t="inlineStr">
        <is>
          <t>荔枝角</t>
        </is>
      </c>
      <c r="O18" s="3" t="inlineStr">
        <is>
          <t>深水埗区</t>
        </is>
      </c>
      <c r="P18" s="3" t="inlineStr">
        <is>
          <t>香港</t>
        </is>
      </c>
      <c r="Q18" s="3" t="n">
        <v>721539388</v>
      </c>
      <c r="R18" s="3" t="inlineStr">
        <is>
          <t>KPI便當打工仔首選飯盒滋味便當新鮮健康沙律</t>
        </is>
      </c>
      <c r="S18" s="3" t="inlineStr">
        <is>
          <t>****65999941</t>
        </is>
      </c>
      <c r="T18" s="3" t="inlineStr">
        <is>
          <t>****65999941</t>
        </is>
      </c>
      <c r="U18" s="3" t="inlineStr">
        <is>
          <t>***** 2期3樓E室</t>
        </is>
      </c>
      <c r="V18" s="3" t="inlineStr">
        <is>
          <t>香港</t>
        </is>
      </c>
      <c r="W18" s="3" t="inlineStr">
        <is>
          <t>POS機+新店禮包</t>
        </is>
      </c>
      <c r="X18" s="3" t="inlineStr">
        <is>
          <t>BSP</t>
        </is>
      </c>
      <c r="Y18" s="3" t="inlineStr">
        <is>
          <t>寄快遞</t>
        </is>
      </c>
      <c r="Z18" s="3" t="n"/>
      <c r="AA18" s="3" t="inlineStr">
        <is>
          <t>第三方付</t>
        </is>
      </c>
      <c r="AB18">
        <f>IFERROR(VLOOKUP(Q18&amp;"",對照表!$A:$B,1,FALSE),"")</f>
        <v/>
      </c>
      <c r="AC18">
        <f>IFERROR(VLOOKUP(Q18&amp;"",對照表!$A:$B,2,FALSE),"")</f>
        <v/>
      </c>
    </row>
    <row r="19">
      <c r="A19" s="3" t="inlineStr">
        <is>
          <t>SF5117916570605</t>
        </is>
      </c>
      <c r="B19" s="3" t="inlineStr">
        <is>
          <t>Keeta-2026-0701-0006</t>
        </is>
      </c>
      <c r="C19" s="3" t="inlineStr">
        <is>
          <t>已簽收</t>
        </is>
      </c>
      <c r="D19" s="3" t="inlineStr">
        <is>
          <t>2026-07-02 11:37:27</t>
        </is>
      </c>
      <c r="E19" s="3" t="inlineStr">
        <is>
          <t>2026-07-02 17:05</t>
        </is>
      </c>
      <c r="F19" s="3" t="n">
        <v>2.8</v>
      </c>
      <c r="G19" s="3" t="n">
        <v>1</v>
      </c>
      <c r="H19" s="3" t="n"/>
      <c r="I19" s="3" t="n"/>
      <c r="J19" s="3" t="inlineStr">
        <is>
          <t>keeta</t>
        </is>
      </c>
      <c r="K19" s="3" t="inlineStr">
        <is>
          <t>****57224599</t>
        </is>
      </c>
      <c r="L19" s="3" t="inlineStr">
        <is>
          <t>****57224599</t>
        </is>
      </c>
      <c r="M19" s="3" t="inlineStr">
        <is>
          <t>***** 心2808室</t>
        </is>
      </c>
      <c r="N19" s="3" t="inlineStr">
        <is>
          <t>荔枝角</t>
        </is>
      </c>
      <c r="O19" s="3" t="inlineStr">
        <is>
          <t>深水埗区</t>
        </is>
      </c>
      <c r="P19" s="3" t="inlineStr">
        <is>
          <t>香港</t>
        </is>
      </c>
      <c r="Q19" s="3" t="n">
        <v>721512381</v>
      </c>
      <c r="R19" s="3" t="inlineStr">
        <is>
          <t>黑白貓大廚</t>
        </is>
      </c>
      <c r="S19" s="3" t="inlineStr">
        <is>
          <t>****96826368</t>
        </is>
      </c>
      <c r="T19" s="3" t="inlineStr">
        <is>
          <t>****96826368</t>
        </is>
      </c>
      <c r="U19" s="3" t="inlineStr">
        <is>
          <t>***** rence）</t>
        </is>
      </c>
      <c r="V19" s="3" t="inlineStr">
        <is>
          <t>香港</t>
        </is>
      </c>
      <c r="W19" s="3" t="inlineStr">
        <is>
          <t>POS機+新店禮包</t>
        </is>
      </c>
      <c r="X19" s="3" t="inlineStr">
        <is>
          <t>BSP</t>
        </is>
      </c>
      <c r="Y19" s="3" t="inlineStr">
        <is>
          <t>寄快遞</t>
        </is>
      </c>
      <c r="Z19" s="3" t="n"/>
      <c r="AA19" s="3" t="inlineStr">
        <is>
          <t>第三方付</t>
        </is>
      </c>
      <c r="AB19">
        <f>IFERROR(VLOOKUP(Q19&amp;"",對照表!$A:$B,1,FALSE),"")</f>
        <v/>
      </c>
      <c r="AC19">
        <f>IFERROR(VLOOKUP(Q19&amp;"",對照表!$A:$B,2,FALSE),"")</f>
        <v/>
      </c>
    </row>
    <row r="20">
      <c r="A20" s="3" t="inlineStr">
        <is>
          <t>SF5117916570978</t>
        </is>
      </c>
      <c r="B20" s="3" t="inlineStr">
        <is>
          <t>Keeta-2026-0701-0012</t>
        </is>
      </c>
      <c r="C20" s="3" t="inlineStr">
        <is>
          <t>已簽收</t>
        </is>
      </c>
      <c r="D20" s="3" t="inlineStr">
        <is>
          <t>2026-07-02 11:38:41</t>
        </is>
      </c>
      <c r="E20" s="3" t="inlineStr">
        <is>
          <t>2026-07-02 14:33</t>
        </is>
      </c>
      <c r="F20" s="3" t="n">
        <v>2.8</v>
      </c>
      <c r="G20" s="3" t="n">
        <v>1</v>
      </c>
      <c r="H20" s="3" t="n"/>
      <c r="I20" s="3" t="n"/>
      <c r="J20" s="3" t="inlineStr">
        <is>
          <t>keeta</t>
        </is>
      </c>
      <c r="K20" s="3" t="inlineStr">
        <is>
          <t>****57224599</t>
        </is>
      </c>
      <c r="L20" s="3" t="inlineStr">
        <is>
          <t>****57224599</t>
        </is>
      </c>
      <c r="M20" s="3" t="inlineStr">
        <is>
          <t>***** 心2808室</t>
        </is>
      </c>
      <c r="N20" s="3" t="inlineStr">
        <is>
          <t>荔枝角</t>
        </is>
      </c>
      <c r="O20" s="3" t="inlineStr">
        <is>
          <t>深水埗区</t>
        </is>
      </c>
      <c r="P20" s="3" t="inlineStr">
        <is>
          <t>香港</t>
        </is>
      </c>
      <c r="Q20" s="3" t="n">
        <v>721525415</v>
      </c>
      <c r="R20" s="3" t="inlineStr">
        <is>
          <t>美羅</t>
        </is>
      </c>
      <c r="S20" s="3" t="inlineStr">
        <is>
          <t>****3210</t>
        </is>
      </c>
      <c r="T20" s="3" t="inlineStr">
        <is>
          <t>****3210</t>
        </is>
      </c>
      <c r="U20" s="3" t="inlineStr">
        <is>
          <t>***** OAD KL</t>
        </is>
      </c>
      <c r="V20" s="3" t="inlineStr">
        <is>
          <t>香港</t>
        </is>
      </c>
      <c r="W20" s="3" t="inlineStr">
        <is>
          <t>POS機+新店禮包</t>
        </is>
      </c>
      <c r="X20" s="3" t="inlineStr">
        <is>
          <t>BSP</t>
        </is>
      </c>
      <c r="Y20" s="3" t="inlineStr">
        <is>
          <t>寄快遞</t>
        </is>
      </c>
      <c r="Z20" s="3" t="n"/>
      <c r="AA20" s="3" t="inlineStr">
        <is>
          <t>第三方付</t>
        </is>
      </c>
      <c r="AB20">
        <f>IFERROR(VLOOKUP(Q20&amp;"",對照表!$A:$B,1,FALSE),"")</f>
        <v/>
      </c>
      <c r="AC20">
        <f>IFERROR(VLOOKUP(Q20&amp;"",對照表!$A:$B,2,FALSE),"")</f>
        <v/>
      </c>
    </row>
    <row r="21">
      <c r="A21" s="3" t="inlineStr">
        <is>
          <t>SF5118416341536</t>
        </is>
      </c>
      <c r="B21" s="3" t="inlineStr">
        <is>
          <t>Keeta-2026-0701-0021</t>
        </is>
      </c>
      <c r="C21" s="3" t="inlineStr">
        <is>
          <t>派送中</t>
        </is>
      </c>
      <c r="D21" s="3" t="inlineStr">
        <is>
          <t>2026-07-02 11:37:49</t>
        </is>
      </c>
      <c r="E21" s="3" t="n"/>
      <c r="F21" s="3" t="n">
        <v>2.8</v>
      </c>
      <c r="G21" s="3" t="n">
        <v>1</v>
      </c>
      <c r="H21" s="3" t="n"/>
      <c r="I21" s="3" t="n"/>
      <c r="J21" s="3" t="inlineStr">
        <is>
          <t>keeta</t>
        </is>
      </c>
      <c r="K21" s="3" t="inlineStr">
        <is>
          <t>****57224599</t>
        </is>
      </c>
      <c r="L21" s="3" t="inlineStr">
        <is>
          <t>****57224599</t>
        </is>
      </c>
      <c r="M21" s="3" t="inlineStr">
        <is>
          <t>***** 心2808室</t>
        </is>
      </c>
      <c r="N21" s="3" t="inlineStr">
        <is>
          <t>荔枝角</t>
        </is>
      </c>
      <c r="O21" s="3" t="inlineStr">
        <is>
          <t>深水埗区</t>
        </is>
      </c>
      <c r="P21" s="3" t="inlineStr">
        <is>
          <t>香港</t>
        </is>
      </c>
      <c r="Q21" s="3" t="n">
        <v>721540401</v>
      </c>
      <c r="R21" s="3" t="inlineStr">
        <is>
          <t>CatchA首爾炸雞（新浦崗分店）</t>
        </is>
      </c>
      <c r="S21" s="3" t="inlineStr">
        <is>
          <t>****28902139</t>
        </is>
      </c>
      <c r="T21" s="3" t="inlineStr">
        <is>
          <t>****28902139</t>
        </is>
      </c>
      <c r="U21" s="3" t="inlineStr">
        <is>
          <t>***** 9-20 舖</t>
        </is>
      </c>
      <c r="V21" s="3" t="inlineStr">
        <is>
          <t>香港</t>
        </is>
      </c>
      <c r="W21" s="3" t="inlineStr">
        <is>
          <t>POS機+新店禮包</t>
        </is>
      </c>
      <c r="X21" s="3" t="inlineStr">
        <is>
          <t>BSP</t>
        </is>
      </c>
      <c r="Y21" s="3" t="inlineStr">
        <is>
          <t>寄快遞</t>
        </is>
      </c>
      <c r="Z21" s="3" t="n"/>
      <c r="AA21" s="3" t="inlineStr">
        <is>
          <t>第三方付</t>
        </is>
      </c>
      <c r="AB21">
        <f>IFERROR(VLOOKUP(Q21&amp;"",對照表!$A:$B,1,FALSE),"")</f>
        <v/>
      </c>
      <c r="AC21">
        <f>IFERROR(VLOOKUP(Q21&amp;"",對照表!$A:$B,2,FALSE),"")</f>
        <v/>
      </c>
    </row>
    <row r="22">
      <c r="A22" s="3" t="inlineStr">
        <is>
          <t>SF5118416341679</t>
        </is>
      </c>
      <c r="B22" s="3" t="inlineStr">
        <is>
          <t>Keeta-2026-0701-0020</t>
        </is>
      </c>
      <c r="C22" s="3" t="inlineStr">
        <is>
          <t>已簽收</t>
        </is>
      </c>
      <c r="D22" s="3" t="inlineStr">
        <is>
          <t>2026-07-02 11:37:37</t>
        </is>
      </c>
      <c r="E22" s="3" t="inlineStr">
        <is>
          <t>2026-07-03 12:22</t>
        </is>
      </c>
      <c r="F22" s="3" t="n">
        <v>2.8</v>
      </c>
      <c r="G22" s="3" t="n">
        <v>1</v>
      </c>
      <c r="H22" s="3" t="n"/>
      <c r="I22" s="3" t="n"/>
      <c r="J22" s="3" t="inlineStr">
        <is>
          <t>keeta</t>
        </is>
      </c>
      <c r="K22" s="3" t="inlineStr">
        <is>
          <t>****57224599</t>
        </is>
      </c>
      <c r="L22" s="3" t="inlineStr">
        <is>
          <t>****57224599</t>
        </is>
      </c>
      <c r="M22" s="3" t="inlineStr">
        <is>
          <t>***** 心2808室</t>
        </is>
      </c>
      <c r="N22" s="3" t="inlineStr">
        <is>
          <t>荔枝角</t>
        </is>
      </c>
      <c r="O22" s="3" t="inlineStr">
        <is>
          <t>深水埗区</t>
        </is>
      </c>
      <c r="P22" s="3" t="inlineStr">
        <is>
          <t>香港</t>
        </is>
      </c>
      <c r="Q22" s="3" t="n">
        <v>721517401</v>
      </c>
      <c r="R22" s="3" t="inlineStr">
        <is>
          <t>COMEBUYTEA(啟德SOGO)</t>
        </is>
      </c>
      <c r="S22" s="3" t="inlineStr">
        <is>
          <t>****28976098</t>
        </is>
      </c>
      <c r="T22" s="3" t="inlineStr">
        <is>
          <t>****28976098</t>
        </is>
      </c>
      <c r="U22" s="3" t="inlineStr">
        <is>
          <t>*****  G60 舖</t>
        </is>
      </c>
      <c r="V22" s="3" t="inlineStr">
        <is>
          <t>香港</t>
        </is>
      </c>
      <c r="W22" s="3" t="inlineStr">
        <is>
          <t>POS機+新店禮包</t>
        </is>
      </c>
      <c r="X22" s="3" t="inlineStr">
        <is>
          <t>BSP</t>
        </is>
      </c>
      <c r="Y22" s="3" t="inlineStr">
        <is>
          <t>寄快遞</t>
        </is>
      </c>
      <c r="Z22" s="3" t="n"/>
      <c r="AA22" s="3" t="inlineStr">
        <is>
          <t>第三方付</t>
        </is>
      </c>
      <c r="AB22">
        <f>IFERROR(VLOOKUP(Q22&amp;"",對照表!$A:$B,1,FALSE),"")</f>
        <v/>
      </c>
      <c r="AC22">
        <f>IFERROR(VLOOKUP(Q22&amp;"",對照表!$A:$B,2,FALSE),"")</f>
        <v/>
      </c>
    </row>
    <row r="23">
      <c r="A23" s="3" t="inlineStr">
        <is>
          <t>SF5119115815812</t>
        </is>
      </c>
      <c r="B23" s="3" t="n">
        <v>58424106156048</v>
      </c>
      <c r="C23" s="3" t="inlineStr">
        <is>
          <t>已簽收</t>
        </is>
      </c>
      <c r="D23" s="3" t="inlineStr">
        <is>
          <t>2026-07-02 16:58:07</t>
        </is>
      </c>
      <c r="E23" s="3" t="inlineStr">
        <is>
          <t>2026-07-03 10:40</t>
        </is>
      </c>
      <c r="F23" s="3" t="n">
        <v>14.5</v>
      </c>
      <c r="G23" s="3" t="n">
        <v>1</v>
      </c>
      <c r="H23" s="3" t="n"/>
      <c r="I23" s="3" t="inlineStr"/>
      <c r="J23" s="3" t="inlineStr">
        <is>
          <t>Keeta</t>
        </is>
      </c>
      <c r="K23" s="3" t="inlineStr">
        <is>
          <t>****9568</t>
        </is>
      </c>
      <c r="L23" s="3" t="n"/>
      <c r="M23" s="3" t="inlineStr">
        <is>
          <t>***** 物流中心5樓</t>
        </is>
      </c>
      <c r="N23" s="3" t="inlineStr">
        <is>
          <t>北区</t>
        </is>
      </c>
      <c r="O23" s="3" t="inlineStr">
        <is>
          <t>香港</t>
        </is>
      </c>
      <c r="P23" s="3" t="inlineStr">
        <is>
          <t>香港特别行政区</t>
        </is>
      </c>
      <c r="Q23" s="3" t="n">
        <v>721531396</v>
      </c>
      <c r="R23" s="3" t="inlineStr">
        <is>
          <t>哥哥炸雞 （火炭店）</t>
        </is>
      </c>
      <c r="S23" s="3" t="inlineStr">
        <is>
          <t>****9551</t>
        </is>
      </c>
      <c r="T23" s="3" t="inlineStr">
        <is>
          <t>****9551</t>
        </is>
      </c>
      <c r="U23" s="3" t="inlineStr">
        <is>
          <t>***** B室B9部份</t>
        </is>
      </c>
      <c r="V23" s="3" t="inlineStr">
        <is>
          <t>香港</t>
        </is>
      </c>
      <c r="W23" s="3" t="inlineStr">
        <is>
          <t>纸袋【通版】/ 箱出</t>
        </is>
      </c>
      <c r="X23" s="3" t="inlineStr">
        <is>
          <t>ESS-SFTS-OTMS</t>
        </is>
      </c>
      <c r="Y23" s="3" t="n"/>
      <c r="Z23" s="3" t="inlineStr"/>
      <c r="AA23" s="3" t="inlineStr">
        <is>
          <t>寄付月結</t>
        </is>
      </c>
      <c r="AB23">
        <f>IFERROR(VLOOKUP(Q23&amp;"",對照表!$A:$B,1,FALSE),"")</f>
        <v/>
      </c>
      <c r="AC23">
        <f>IFERROR(VLOOKUP(Q23&amp;"",對照表!$A:$B,2,FALSE),"")</f>
        <v/>
      </c>
    </row>
    <row r="24">
      <c r="A24" s="3" t="inlineStr">
        <is>
          <t>SF5119115815894</t>
        </is>
      </c>
      <c r="B24" s="3" t="n">
        <v>58424106156064</v>
      </c>
      <c r="C24" s="3" t="inlineStr">
        <is>
          <t>已簽收</t>
        </is>
      </c>
      <c r="D24" s="3" t="inlineStr">
        <is>
          <t>2026-07-02 15:15:37</t>
        </is>
      </c>
      <c r="E24" s="3" t="inlineStr">
        <is>
          <t>2026-07-03 13:44</t>
        </is>
      </c>
      <c r="F24" s="3" t="n">
        <v>2.36</v>
      </c>
      <c r="G24" s="3" t="n">
        <v>1</v>
      </c>
      <c r="H24" s="3" t="n"/>
      <c r="I24" s="3" t="inlineStr"/>
      <c r="J24" s="3" t="inlineStr">
        <is>
          <t>Keeta</t>
        </is>
      </c>
      <c r="K24" s="3" t="inlineStr">
        <is>
          <t>****9568</t>
        </is>
      </c>
      <c r="L24" s="3" t="n"/>
      <c r="M24" s="3" t="inlineStr">
        <is>
          <t>***** 物流中心5樓</t>
        </is>
      </c>
      <c r="N24" s="3" t="inlineStr">
        <is>
          <t>北区</t>
        </is>
      </c>
      <c r="O24" s="3" t="inlineStr">
        <is>
          <t>香港</t>
        </is>
      </c>
      <c r="P24" s="3" t="inlineStr">
        <is>
          <t>香港特别行政区</t>
        </is>
      </c>
      <c r="Q24" s="3" t="n">
        <v>721518383</v>
      </c>
      <c r="R24" s="3" t="inlineStr">
        <is>
          <t>珍珍泰國菜（德田邨)
Jane Thai Food</t>
        </is>
      </c>
      <c r="S24" s="3" t="inlineStr">
        <is>
          <t>****55655926</t>
        </is>
      </c>
      <c r="T24" s="3" t="inlineStr">
        <is>
          <t>****55655926</t>
        </is>
      </c>
      <c r="U24" s="3" t="inlineStr">
        <is>
          <t>***** 下M61號檔</t>
        </is>
      </c>
      <c r="V24" s="3" t="inlineStr">
        <is>
          <t>香港</t>
        </is>
      </c>
      <c r="W24" s="3" t="inlineStr">
        <is>
          <t>机纸/小票纸 / 包出</t>
        </is>
      </c>
      <c r="X24" s="3" t="inlineStr">
        <is>
          <t>ESS-SFTS-OTMS</t>
        </is>
      </c>
      <c r="Y24" s="3" t="n"/>
      <c r="Z24" s="3" t="inlineStr"/>
      <c r="AA24" s="3" t="inlineStr">
        <is>
          <t>寄付月結</t>
        </is>
      </c>
      <c r="AB24">
        <f>IFERROR(VLOOKUP(Q24&amp;"",對照表!$A:$B,1,FALSE),"")</f>
        <v/>
      </c>
      <c r="AC24">
        <f>IFERROR(VLOOKUP(Q24&amp;"",對照表!$A:$B,2,FALSE),"")</f>
        <v/>
      </c>
    </row>
    <row r="25">
      <c r="A25" s="3" t="inlineStr">
        <is>
          <t>SF5119115816298</t>
        </is>
      </c>
      <c r="B25" s="3" t="n">
        <v>58424106156143</v>
      </c>
      <c r="C25" s="3" t="inlineStr">
        <is>
          <t>已簽收</t>
        </is>
      </c>
      <c r="D25" s="3" t="inlineStr">
        <is>
          <t>2026-07-02 15:42:49</t>
        </is>
      </c>
      <c r="E25" s="3" t="inlineStr">
        <is>
          <t>2026-07-03 11:14</t>
        </is>
      </c>
      <c r="F25" s="3" t="n">
        <v>14.5</v>
      </c>
      <c r="G25" s="3" t="n">
        <v>1</v>
      </c>
      <c r="H25" s="3" t="n"/>
      <c r="I25" s="3" t="inlineStr"/>
      <c r="J25" s="3" t="inlineStr">
        <is>
          <t>Keeta</t>
        </is>
      </c>
      <c r="K25" s="3" t="inlineStr">
        <is>
          <t>****9568</t>
        </is>
      </c>
      <c r="L25" s="3" t="n"/>
      <c r="M25" s="3" t="inlineStr">
        <is>
          <t>***** 物流中心5樓</t>
        </is>
      </c>
      <c r="N25" s="3" t="inlineStr">
        <is>
          <t>北区</t>
        </is>
      </c>
      <c r="O25" s="3" t="inlineStr">
        <is>
          <t>香港</t>
        </is>
      </c>
      <c r="P25" s="3" t="inlineStr">
        <is>
          <t>香港特别行政区</t>
        </is>
      </c>
      <c r="Q25" s="3" t="n">
        <v>721527374</v>
      </c>
      <c r="R25" s="3" t="inlineStr">
        <is>
          <t>西貢金雞海南雞 Golden Chicken （沙田）</t>
        </is>
      </c>
      <c r="S25" s="3" t="inlineStr">
        <is>
          <t>****1100998</t>
        </is>
      </c>
      <c r="T25" s="3" t="inlineStr">
        <is>
          <t>****1100998</t>
        </is>
      </c>
      <c r="U25" s="3" t="inlineStr">
        <is>
          <t>***** eta物資）</t>
        </is>
      </c>
      <c r="V25" s="3" t="inlineStr">
        <is>
          <t>香港</t>
        </is>
      </c>
      <c r="W25" s="3" t="inlineStr">
        <is>
          <t>纸袋【通版】/ 箱出</t>
        </is>
      </c>
      <c r="X25" s="3" t="inlineStr">
        <is>
          <t>ESS-SFTS-OTMS</t>
        </is>
      </c>
      <c r="Y25" s="3" t="n"/>
      <c r="Z25" s="3" t="inlineStr"/>
      <c r="AA25" s="3" t="inlineStr">
        <is>
          <t>寄付月結</t>
        </is>
      </c>
      <c r="AB25">
        <f>IFERROR(VLOOKUP(Q25&amp;"",對照表!$A:$B,1,FALSE),"")</f>
        <v/>
      </c>
      <c r="AC25">
        <f>IFERROR(VLOOKUP(Q25&amp;"",對照表!$A:$B,2,FALSE),"")</f>
        <v/>
      </c>
    </row>
    <row r="26">
      <c r="A26" s="3" t="inlineStr">
        <is>
          <t>SF5119115816094</t>
        </is>
      </c>
      <c r="B26" s="3" t="n">
        <v>58424106156105</v>
      </c>
      <c r="C26" s="3" t="inlineStr">
        <is>
          <t>已簽收</t>
        </is>
      </c>
      <c r="D26" s="3" t="inlineStr">
        <is>
          <t>2026-07-02 15:42:50</t>
        </is>
      </c>
      <c r="E26" s="3" t="inlineStr">
        <is>
          <t>2026-07-03 10:05</t>
        </is>
      </c>
      <c r="F26" s="3" t="n">
        <v>14.5</v>
      </c>
      <c r="G26" s="3" t="n">
        <v>1</v>
      </c>
      <c r="H26" s="3" t="n"/>
      <c r="I26" s="3" t="inlineStr"/>
      <c r="J26" s="3" t="inlineStr">
        <is>
          <t>Keeta</t>
        </is>
      </c>
      <c r="K26" s="3" t="inlineStr">
        <is>
          <t>****9568</t>
        </is>
      </c>
      <c r="L26" s="3" t="n"/>
      <c r="M26" s="3" t="inlineStr">
        <is>
          <t>***** 物流中心5樓</t>
        </is>
      </c>
      <c r="N26" s="3" t="inlineStr">
        <is>
          <t>北区</t>
        </is>
      </c>
      <c r="O26" s="3" t="inlineStr">
        <is>
          <t>香港</t>
        </is>
      </c>
      <c r="P26" s="3" t="inlineStr">
        <is>
          <t>香港特别行政区</t>
        </is>
      </c>
      <c r="Q26" s="3" t="n">
        <v>721526404</v>
      </c>
      <c r="R26" s="3" t="inlineStr">
        <is>
          <t>香姐美食</t>
        </is>
      </c>
      <c r="S26" s="3" t="inlineStr">
        <is>
          <t>****6118898</t>
        </is>
      </c>
      <c r="T26" s="3" t="inlineStr">
        <is>
          <t>****6118898</t>
        </is>
      </c>
      <c r="U26" s="3" t="inlineStr">
        <is>
          <t>***** 磡明安街8號</t>
        </is>
      </c>
      <c r="V26" s="3" t="inlineStr">
        <is>
          <t>香港</t>
        </is>
      </c>
      <c r="W26" s="3" t="inlineStr">
        <is>
          <t>纸袋【通版】/ 箱出</t>
        </is>
      </c>
      <c r="X26" s="3" t="inlineStr">
        <is>
          <t>ESS-SFTS-OTMS</t>
        </is>
      </c>
      <c r="Y26" s="3" t="n"/>
      <c r="Z26" s="3" t="inlineStr"/>
      <c r="AA26" s="3" t="inlineStr">
        <is>
          <t>寄付月結</t>
        </is>
      </c>
      <c r="AB26">
        <f>IFERROR(VLOOKUP(Q26&amp;"",對照表!$A:$B,1,FALSE),"")</f>
        <v/>
      </c>
      <c r="AC26">
        <f>IFERROR(VLOOKUP(Q26&amp;"",對照表!$A:$B,2,FALSE),"")</f>
        <v/>
      </c>
    </row>
    <row r="27">
      <c r="A27" s="3" t="inlineStr">
        <is>
          <t>SF5119115816340</t>
        </is>
      </c>
      <c r="B27" s="3" t="n">
        <v>58424106156155</v>
      </c>
      <c r="C27" s="3" t="inlineStr">
        <is>
          <t>已簽收</t>
        </is>
      </c>
      <c r="D27" s="3" t="inlineStr">
        <is>
          <t>2026-07-02 14:35:24</t>
        </is>
      </c>
      <c r="E27" s="3" t="inlineStr">
        <is>
          <t>2026-07-03 09:42</t>
        </is>
      </c>
      <c r="F27" s="3" t="n">
        <v>2.8</v>
      </c>
      <c r="G27" s="3" t="n">
        <v>1</v>
      </c>
      <c r="H27" s="3" t="n"/>
      <c r="I27" s="3" t="inlineStr"/>
      <c r="J27" s="3" t="inlineStr">
        <is>
          <t>Keeta</t>
        </is>
      </c>
      <c r="K27" s="3" t="inlineStr">
        <is>
          <t>****9568</t>
        </is>
      </c>
      <c r="L27" s="3" t="n"/>
      <c r="M27" s="3" t="inlineStr">
        <is>
          <t>***** 物流中心5樓</t>
        </is>
      </c>
      <c r="N27" s="3" t="inlineStr">
        <is>
          <t>北区</t>
        </is>
      </c>
      <c r="O27" s="3" t="inlineStr">
        <is>
          <t>香港</t>
        </is>
      </c>
      <c r="P27" s="3" t="inlineStr">
        <is>
          <t>香港特别行政区</t>
        </is>
      </c>
      <c r="Q27" s="3" t="n">
        <v>496228</v>
      </c>
      <c r="R27" s="3" t="inlineStr">
        <is>
          <t>華星冰室（大埔）</t>
        </is>
      </c>
      <c r="S27" s="3" t="inlineStr">
        <is>
          <t>****26767788</t>
        </is>
      </c>
      <c r="T27" s="3" t="inlineStr">
        <is>
          <t>****26767788</t>
        </is>
      </c>
      <c r="U27" s="3" t="inlineStr">
        <is>
          <t>***** 地下31號舖</t>
        </is>
      </c>
      <c r="V27" s="3" t="inlineStr">
        <is>
          <t>香港</t>
        </is>
      </c>
      <c r="W27" s="3" t="inlineStr">
        <is>
          <t>机纸/小票纸 / 包出</t>
        </is>
      </c>
      <c r="X27" s="3" t="inlineStr">
        <is>
          <t>ESS-SFTS-OTMS</t>
        </is>
      </c>
      <c r="Y27" s="3" t="n"/>
      <c r="Z27" s="3" t="inlineStr"/>
      <c r="AA27" s="3" t="inlineStr">
        <is>
          <t>寄付月結</t>
        </is>
      </c>
      <c r="AB27">
        <f>IFERROR(VLOOKUP(Q27&amp;"",對照表!$A:$B,1,FALSE),"")</f>
        <v/>
      </c>
      <c r="AC27">
        <f>IFERROR(VLOOKUP(Q27&amp;"",對照表!$A:$B,2,FALSE),"")</f>
        <v/>
      </c>
    </row>
    <row r="28">
      <c r="A28" s="3" t="inlineStr">
        <is>
          <t>SF5119115815830</t>
        </is>
      </c>
      <c r="B28" s="3" t="n">
        <v>58424106156052</v>
      </c>
      <c r="C28" s="3" t="inlineStr">
        <is>
          <t>已簽收</t>
        </is>
      </c>
      <c r="D28" s="3" t="inlineStr">
        <is>
          <t>2026-07-02 14:17:02</t>
        </is>
      </c>
      <c r="E28" s="3" t="inlineStr">
        <is>
          <t>2026-07-03 16:45</t>
        </is>
      </c>
      <c r="F28" s="3" t="n">
        <v>4.45</v>
      </c>
      <c r="G28" s="3" t="n">
        <v>1</v>
      </c>
      <c r="H28" s="3" t="n"/>
      <c r="I28" s="3" t="inlineStr"/>
      <c r="J28" s="3" t="inlineStr">
        <is>
          <t>Keeta</t>
        </is>
      </c>
      <c r="K28" s="3" t="inlineStr">
        <is>
          <t>****9568</t>
        </is>
      </c>
      <c r="L28" s="3" t="n"/>
      <c r="M28" s="3" t="inlineStr">
        <is>
          <t>***** 物流中心5樓</t>
        </is>
      </c>
      <c r="N28" s="3" t="inlineStr">
        <is>
          <t>北区</t>
        </is>
      </c>
      <c r="O28" s="3" t="inlineStr">
        <is>
          <t>香港</t>
        </is>
      </c>
      <c r="P28" s="3" t="inlineStr">
        <is>
          <t>香港特别行政区</t>
        </is>
      </c>
      <c r="Q28" s="3" t="n">
        <v>721519373</v>
      </c>
      <c r="R28" s="3" t="inlineStr">
        <is>
          <t>家之味
Wealthy Poon Choi</t>
        </is>
      </c>
      <c r="S28" s="3" t="inlineStr">
        <is>
          <t>****67654019</t>
        </is>
      </c>
      <c r="T28" s="3" t="inlineStr">
        <is>
          <t>****67654019</t>
        </is>
      </c>
      <c r="U28" s="3" t="inlineStr">
        <is>
          <t>***** ng, NT</t>
        </is>
      </c>
      <c r="V28" s="3" t="inlineStr">
        <is>
          <t>香港</t>
        </is>
      </c>
      <c r="W28" s="3" t="inlineStr">
        <is>
          <t>机纸/小票纸 / 包出</t>
        </is>
      </c>
      <c r="X28" s="3" t="inlineStr">
        <is>
          <t>ESS-SFTS-OTMS</t>
        </is>
      </c>
      <c r="Y28" s="3" t="n"/>
      <c r="Z28" s="3" t="inlineStr"/>
      <c r="AA28" s="3" t="inlineStr">
        <is>
          <t>寄付月結</t>
        </is>
      </c>
      <c r="AB28">
        <f>IFERROR(VLOOKUP(Q28&amp;"",對照表!$A:$B,1,FALSE),"")</f>
        <v/>
      </c>
      <c r="AC28">
        <f>IFERROR(VLOOKUP(Q28&amp;"",對照表!$A:$B,2,FALSE),"")</f>
        <v/>
      </c>
    </row>
    <row r="29">
      <c r="A29" s="3" t="inlineStr">
        <is>
          <t>SF5119115816377</t>
        </is>
      </c>
      <c r="B29" s="3" t="n">
        <v>58424106156161</v>
      </c>
      <c r="C29" s="3" t="inlineStr">
        <is>
          <t>已簽收</t>
        </is>
      </c>
      <c r="D29" s="3" t="inlineStr">
        <is>
          <t>2026-07-02 15:15:32</t>
        </is>
      </c>
      <c r="E29" s="3" t="inlineStr">
        <is>
          <t>2026-07-03 13:31</t>
        </is>
      </c>
      <c r="F29" s="3" t="n">
        <v>1.5</v>
      </c>
      <c r="G29" s="3" t="n">
        <v>1</v>
      </c>
      <c r="H29" s="3" t="n"/>
      <c r="I29" s="3" t="inlineStr"/>
      <c r="J29" s="3" t="inlineStr">
        <is>
          <t>Keeta</t>
        </is>
      </c>
      <c r="K29" s="3" t="inlineStr">
        <is>
          <t>****9568</t>
        </is>
      </c>
      <c r="L29" s="3" t="n"/>
      <c r="M29" s="3" t="inlineStr">
        <is>
          <t>***** 物流中心5樓</t>
        </is>
      </c>
      <c r="N29" s="3" t="inlineStr">
        <is>
          <t>北区</t>
        </is>
      </c>
      <c r="O29" s="3" t="inlineStr">
        <is>
          <t>香港</t>
        </is>
      </c>
      <c r="P29" s="3" t="inlineStr">
        <is>
          <t>香港特别行政区</t>
        </is>
      </c>
      <c r="Q29" s="3" t="n">
        <v>596288</v>
      </c>
      <c r="R29" s="3" t="inlineStr">
        <is>
          <t>PizzaHut必勝客(天晉滙)</t>
        </is>
      </c>
      <c r="S29" s="3" t="inlineStr">
        <is>
          <t>****29760076</t>
        </is>
      </c>
      <c r="T29" s="3" t="inlineStr">
        <is>
          <t>****29760076</t>
        </is>
      </c>
      <c r="U29" s="3" t="inlineStr">
        <is>
          <t>***** 下G06號舖</t>
        </is>
      </c>
      <c r="V29" s="3" t="inlineStr">
        <is>
          <t>香港</t>
        </is>
      </c>
      <c r="W29" s="3" t="inlineStr">
        <is>
          <t>机纸/小票纸 / 包出</t>
        </is>
      </c>
      <c r="X29" s="3" t="inlineStr">
        <is>
          <t>ESS-SFTS-OTMS</t>
        </is>
      </c>
      <c r="Y29" s="3" t="n"/>
      <c r="Z29" s="3" t="inlineStr"/>
      <c r="AA29" s="3" t="inlineStr">
        <is>
          <t>寄付月結</t>
        </is>
      </c>
      <c r="AB29">
        <f>IFERROR(VLOOKUP(Q29&amp;"",對照表!$A:$B,1,FALSE),"")</f>
        <v/>
      </c>
      <c r="AC29">
        <f>IFERROR(VLOOKUP(Q29&amp;"",對照表!$A:$B,2,FALSE),"")</f>
        <v/>
      </c>
    </row>
    <row r="30">
      <c r="A30" s="3" t="inlineStr">
        <is>
          <t>SF5119115815973</t>
        </is>
      </c>
      <c r="B30" s="3" t="n">
        <v>58424106156080</v>
      </c>
      <c r="C30" s="3" t="inlineStr">
        <is>
          <t>已簽收</t>
        </is>
      </c>
      <c r="D30" s="3" t="inlineStr">
        <is>
          <t>2026-07-02 16:58:06</t>
        </is>
      </c>
      <c r="E30" s="3" t="inlineStr">
        <is>
          <t>2026-07-03 09:33</t>
        </is>
      </c>
      <c r="F30" s="3" t="n">
        <v>14.5</v>
      </c>
      <c r="G30" s="3" t="n">
        <v>1</v>
      </c>
      <c r="H30" s="3" t="n"/>
      <c r="I30" s="3" t="inlineStr"/>
      <c r="J30" s="3" t="inlineStr">
        <is>
          <t>Keeta</t>
        </is>
      </c>
      <c r="K30" s="3" t="inlineStr">
        <is>
          <t>****9568</t>
        </is>
      </c>
      <c r="L30" s="3" t="n"/>
      <c r="M30" s="3" t="inlineStr">
        <is>
          <t>***** 物流中心5樓</t>
        </is>
      </c>
      <c r="N30" s="3" t="inlineStr">
        <is>
          <t>北区</t>
        </is>
      </c>
      <c r="O30" s="3" t="inlineStr">
        <is>
          <t>香港</t>
        </is>
      </c>
      <c r="P30" s="3" t="inlineStr">
        <is>
          <t>香港特别行政区</t>
        </is>
      </c>
      <c r="Q30" s="3" t="n">
        <v>721539388</v>
      </c>
      <c r="R30" s="3" t="inlineStr">
        <is>
          <t>KPI便當【打工仔首選飯盒滋味便當新鮮健康沙律】</t>
        </is>
      </c>
      <c r="S30" s="3" t="inlineStr">
        <is>
          <t>****5999941</t>
        </is>
      </c>
      <c r="T30" s="3" t="inlineStr">
        <is>
          <t>****5999941</t>
        </is>
      </c>
      <c r="U30" s="3" t="inlineStr">
        <is>
          <t>***** 2期3樓E室</t>
        </is>
      </c>
      <c r="V30" s="3" t="inlineStr">
        <is>
          <t>香港</t>
        </is>
      </c>
      <c r="W30" s="3" t="inlineStr">
        <is>
          <t>纸袋【通版】/ 箱出</t>
        </is>
      </c>
      <c r="X30" s="3" t="inlineStr">
        <is>
          <t>ESS-SFTS-OTMS</t>
        </is>
      </c>
      <c r="Y30" s="3" t="n"/>
      <c r="Z30" s="3" t="inlineStr"/>
      <c r="AA30" s="3" t="inlineStr">
        <is>
          <t>寄付月結</t>
        </is>
      </c>
      <c r="AB30">
        <f>IFERROR(VLOOKUP(Q30&amp;"",對照表!$A:$B,1,FALSE),"")</f>
        <v/>
      </c>
      <c r="AC30">
        <f>IFERROR(VLOOKUP(Q30&amp;"",對照表!$A:$B,2,FALSE),"")</f>
        <v/>
      </c>
    </row>
    <row r="31">
      <c r="A31" s="3" t="inlineStr">
        <is>
          <t>SF5119115816076</t>
        </is>
      </c>
      <c r="B31" s="3" t="n">
        <v>58424106156100</v>
      </c>
      <c r="C31" s="3" t="inlineStr">
        <is>
          <t>已簽收</t>
        </is>
      </c>
      <c r="D31" s="3" t="inlineStr">
        <is>
          <t>2026-07-02 15:42:51</t>
        </is>
      </c>
      <c r="E31" s="3" t="inlineStr">
        <is>
          <t>2026-07-03 13:30</t>
        </is>
      </c>
      <c r="F31" s="3" t="n">
        <v>14.5</v>
      </c>
      <c r="G31" s="3" t="n">
        <v>1</v>
      </c>
      <c r="H31" s="3" t="n"/>
      <c r="I31" s="3" t="inlineStr"/>
      <c r="J31" s="3" t="inlineStr">
        <is>
          <t>Keeta</t>
        </is>
      </c>
      <c r="K31" s="3" t="inlineStr">
        <is>
          <t>****9568</t>
        </is>
      </c>
      <c r="L31" s="3" t="n"/>
      <c r="M31" s="3" t="inlineStr">
        <is>
          <t>***** 物流中心5樓</t>
        </is>
      </c>
      <c r="N31" s="3" t="inlineStr">
        <is>
          <t>北区</t>
        </is>
      </c>
      <c r="O31" s="3" t="inlineStr">
        <is>
          <t>香港</t>
        </is>
      </c>
      <c r="P31" s="3" t="inlineStr">
        <is>
          <t>香港特别行政区</t>
        </is>
      </c>
      <c r="Q31" s="3" t="n">
        <v>721540398</v>
      </c>
      <c r="R31" s="3" t="inlineStr">
        <is>
          <t>阿爸韓食店</t>
        </is>
      </c>
      <c r="S31" s="3" t="inlineStr">
        <is>
          <t>****5668</t>
        </is>
      </c>
      <c r="T31" s="3" t="inlineStr">
        <is>
          <t>****5668</t>
        </is>
      </c>
      <c r="U31" s="3" t="inlineStr">
        <is>
          <t>***** 樓地下2B鋪</t>
        </is>
      </c>
      <c r="V31" s="3" t="inlineStr">
        <is>
          <t>香港</t>
        </is>
      </c>
      <c r="W31" s="3" t="inlineStr">
        <is>
          <t>纸袋【通版】/ 箱出</t>
        </is>
      </c>
      <c r="X31" s="3" t="inlineStr">
        <is>
          <t>ESS-SFTS-OTMS</t>
        </is>
      </c>
      <c r="Y31" s="3" t="n"/>
      <c r="Z31" s="3" t="inlineStr"/>
      <c r="AA31" s="3" t="inlineStr">
        <is>
          <t>寄付月結</t>
        </is>
      </c>
      <c r="AB31">
        <f>IFERROR(VLOOKUP(Q31&amp;"",對照表!$A:$B,1,FALSE),"")</f>
        <v/>
      </c>
      <c r="AC31">
        <f>IFERROR(VLOOKUP(Q31&amp;"",對照表!$A:$B,2,FALSE),"")</f>
        <v/>
      </c>
    </row>
    <row r="32">
      <c r="A32" s="3" t="inlineStr">
        <is>
          <t>SF5119115816261</t>
        </is>
      </c>
      <c r="B32" s="3" t="n">
        <v>58424106156139</v>
      </c>
      <c r="C32" s="3" t="inlineStr">
        <is>
          <t>已簽收</t>
        </is>
      </c>
      <c r="D32" s="3" t="inlineStr">
        <is>
          <t>2026-07-02 17:02:19</t>
        </is>
      </c>
      <c r="E32" s="3" t="inlineStr">
        <is>
          <t>2026-07-03 10:01</t>
        </is>
      </c>
      <c r="F32" s="3" t="n">
        <v>6.18</v>
      </c>
      <c r="G32" s="3" t="n">
        <v>1</v>
      </c>
      <c r="H32" s="3" t="n"/>
      <c r="I32" s="3" t="inlineStr"/>
      <c r="J32" s="3" t="inlineStr">
        <is>
          <t>Keeta</t>
        </is>
      </c>
      <c r="K32" s="3" t="inlineStr">
        <is>
          <t>****9568</t>
        </is>
      </c>
      <c r="L32" s="3" t="n"/>
      <c r="M32" s="3" t="inlineStr">
        <is>
          <t>***** 物流中心5樓</t>
        </is>
      </c>
      <c r="N32" s="3" t="inlineStr">
        <is>
          <t>北区</t>
        </is>
      </c>
      <c r="O32" s="3" t="inlineStr">
        <is>
          <t>香港</t>
        </is>
      </c>
      <c r="P32" s="3" t="inlineStr">
        <is>
          <t>香港特别行政区</t>
        </is>
      </c>
      <c r="Q32" s="3" t="n">
        <v>468524</v>
      </c>
      <c r="R32" s="3" t="inlineStr">
        <is>
          <t>十三姨酸菜魚(置富都會)</t>
        </is>
      </c>
      <c r="S32" s="3" t="inlineStr">
        <is>
          <t>****28980100</t>
        </is>
      </c>
      <c r="T32" s="3" t="inlineStr">
        <is>
          <t>****28980100</t>
        </is>
      </c>
      <c r="U32" s="3" t="inlineStr">
        <is>
          <t>***** 樓751號舖</t>
        </is>
      </c>
      <c r="V32" s="3" t="inlineStr">
        <is>
          <t>香港</t>
        </is>
      </c>
      <c r="W32" s="3" t="inlineStr">
        <is>
          <t>机纸/小票纸 / 包出, 封签【通版】/ 扎出</t>
        </is>
      </c>
      <c r="X32" s="3" t="inlineStr">
        <is>
          <t>ESS-SFTS-OTMS</t>
        </is>
      </c>
      <c r="Y32" s="3" t="n"/>
      <c r="Z32" s="3" t="inlineStr"/>
      <c r="AA32" s="3" t="inlineStr">
        <is>
          <t>寄付月結</t>
        </is>
      </c>
      <c r="AB32">
        <f>IFERROR(VLOOKUP(Q32&amp;"",對照表!$A:$B,1,FALSE),"")</f>
        <v/>
      </c>
      <c r="AC32">
        <f>IFERROR(VLOOKUP(Q32&amp;"",對照表!$A:$B,2,FALSE),"")</f>
        <v/>
      </c>
    </row>
    <row r="33">
      <c r="A33" s="3" t="inlineStr">
        <is>
          <t>SF5119115816155</t>
        </is>
      </c>
      <c r="B33" s="3" t="n">
        <v>58424106156116</v>
      </c>
      <c r="C33" s="3" t="inlineStr">
        <is>
          <t>已簽收</t>
        </is>
      </c>
      <c r="D33" s="3" t="inlineStr">
        <is>
          <t>2026-07-02 14:43:17</t>
        </is>
      </c>
      <c r="E33" s="3" t="inlineStr">
        <is>
          <t>2026-07-03 13:49</t>
        </is>
      </c>
      <c r="F33" s="3" t="n">
        <v>1.1</v>
      </c>
      <c r="G33" s="3" t="n">
        <v>1</v>
      </c>
      <c r="H33" s="3" t="n"/>
      <c r="I33" s="3" t="inlineStr"/>
      <c r="J33" s="3" t="inlineStr">
        <is>
          <t>Keeta</t>
        </is>
      </c>
      <c r="K33" s="3" t="inlineStr">
        <is>
          <t>****9568</t>
        </is>
      </c>
      <c r="L33" s="3" t="n"/>
      <c r="M33" s="3" t="inlineStr">
        <is>
          <t>***** 物流中心5樓</t>
        </is>
      </c>
      <c r="N33" s="3" t="inlineStr">
        <is>
          <t>北区</t>
        </is>
      </c>
      <c r="O33" s="3" t="inlineStr">
        <is>
          <t>香港</t>
        </is>
      </c>
      <c r="P33" s="3" t="inlineStr">
        <is>
          <t>香港特别行政区</t>
        </is>
      </c>
      <c r="Q33" s="3" t="n">
        <v>606164</v>
      </c>
      <c r="R33" s="3" t="inlineStr">
        <is>
          <t>Terraceinseaside(AIRSIDE)</t>
        </is>
      </c>
      <c r="S33" s="3" t="inlineStr">
        <is>
          <t>****23301398</t>
        </is>
      </c>
      <c r="T33" s="3" t="inlineStr">
        <is>
          <t>****23301398</t>
        </is>
      </c>
      <c r="U33" s="3" t="inlineStr">
        <is>
          <t>***** L604號舖</t>
        </is>
      </c>
      <c r="V33" s="3" t="inlineStr">
        <is>
          <t>香港</t>
        </is>
      </c>
      <c r="W33" s="3" t="inlineStr">
        <is>
          <t>机纸/小票纸 / 包出</t>
        </is>
      </c>
      <c r="X33" s="3" t="inlineStr">
        <is>
          <t>ESS-SFTS-OTMS</t>
        </is>
      </c>
      <c r="Y33" s="3" t="n"/>
      <c r="Z33" s="3" t="inlineStr"/>
      <c r="AA33" s="3" t="inlineStr">
        <is>
          <t>寄付月結</t>
        </is>
      </c>
      <c r="AB33">
        <f>IFERROR(VLOOKUP(Q33&amp;"",對照表!$A:$B,1,FALSE),"")</f>
        <v/>
      </c>
      <c r="AC33">
        <f>IFERROR(VLOOKUP(Q33&amp;"",對照表!$A:$B,2,FALSE),"")</f>
        <v/>
      </c>
    </row>
    <row r="34">
      <c r="A34" s="3" t="inlineStr">
        <is>
          <t>SF5119115815821</t>
        </is>
      </c>
      <c r="B34" s="3" t="n">
        <v>58424106156051</v>
      </c>
      <c r="C34" s="3" t="inlineStr">
        <is>
          <t>已簽收</t>
        </is>
      </c>
      <c r="D34" s="3" t="inlineStr">
        <is>
          <t>2026-07-02 16:58:08</t>
        </is>
      </c>
      <c r="E34" s="3" t="inlineStr">
        <is>
          <t>2026-07-03 12:02</t>
        </is>
      </c>
      <c r="F34" s="3" t="n">
        <v>14.5</v>
      </c>
      <c r="G34" s="3" t="n">
        <v>1</v>
      </c>
      <c r="H34" s="3" t="n"/>
      <c r="I34" s="3" t="inlineStr"/>
      <c r="J34" s="3" t="inlineStr">
        <is>
          <t>Keeta</t>
        </is>
      </c>
      <c r="K34" s="3" t="inlineStr">
        <is>
          <t>****9568</t>
        </is>
      </c>
      <c r="L34" s="3" t="n"/>
      <c r="M34" s="3" t="inlineStr">
        <is>
          <t>***** 物流中心5樓</t>
        </is>
      </c>
      <c r="N34" s="3" t="inlineStr">
        <is>
          <t>北区</t>
        </is>
      </c>
      <c r="O34" s="3" t="inlineStr">
        <is>
          <t>香港</t>
        </is>
      </c>
      <c r="P34" s="3" t="inlineStr">
        <is>
          <t>香港特别行政区</t>
        </is>
      </c>
      <c r="Q34" s="3" t="n">
        <v>721542349</v>
      </c>
      <c r="R34" s="3" t="inlineStr">
        <is>
          <t>Library Restaurant and Bar</t>
        </is>
      </c>
      <c r="S34" s="3" t="inlineStr">
        <is>
          <t>****3650</t>
        </is>
      </c>
      <c r="T34" s="3" t="inlineStr">
        <is>
          <t>****3650</t>
        </is>
      </c>
      <c r="U34" s="3" t="inlineStr">
        <is>
          <t>***** 文遜大廈3樓</t>
        </is>
      </c>
      <c r="V34" s="3" t="inlineStr">
        <is>
          <t>香港</t>
        </is>
      </c>
      <c r="W34" s="3" t="inlineStr">
        <is>
          <t>纸袋【通版】/ 箱出</t>
        </is>
      </c>
      <c r="X34" s="3" t="inlineStr">
        <is>
          <t>ESS-SFTS-OTMS</t>
        </is>
      </c>
      <c r="Y34" s="3" t="n"/>
      <c r="Z34" s="3" t="inlineStr"/>
      <c r="AA34" s="3" t="inlineStr">
        <is>
          <t>寄付月結</t>
        </is>
      </c>
      <c r="AB34">
        <f>IFERROR(VLOOKUP(Q34&amp;"",對照表!$A:$B,1,FALSE),"")</f>
        <v/>
      </c>
      <c r="AC34">
        <f>IFERROR(VLOOKUP(Q34&amp;"",對照表!$A:$B,2,FALSE),"")</f>
        <v/>
      </c>
    </row>
    <row r="35">
      <c r="A35" s="3" t="inlineStr">
        <is>
          <t>SF5119115816100</t>
        </is>
      </c>
      <c r="B35" s="3" t="n">
        <v>58424106156107</v>
      </c>
      <c r="C35" s="3" t="inlineStr">
        <is>
          <t>已簽收</t>
        </is>
      </c>
      <c r="D35" s="3" t="inlineStr">
        <is>
          <t>2026-07-02 15:16:34</t>
        </is>
      </c>
      <c r="E35" s="3" t="inlineStr">
        <is>
          <t>2026-07-03 12:09</t>
        </is>
      </c>
      <c r="F35" s="3" t="n">
        <v>1.5</v>
      </c>
      <c r="G35" s="3" t="n">
        <v>1</v>
      </c>
      <c r="H35" s="3" t="n"/>
      <c r="I35" s="3" t="inlineStr"/>
      <c r="J35" s="3" t="inlineStr">
        <is>
          <t>Keeta</t>
        </is>
      </c>
      <c r="K35" s="3" t="inlineStr">
        <is>
          <t>****9568</t>
        </is>
      </c>
      <c r="L35" s="3" t="n"/>
      <c r="M35" s="3" t="inlineStr">
        <is>
          <t>***** 物流中心5樓</t>
        </is>
      </c>
      <c r="N35" s="3" t="inlineStr">
        <is>
          <t>北区</t>
        </is>
      </c>
      <c r="O35" s="3" t="inlineStr">
        <is>
          <t>香港</t>
        </is>
      </c>
      <c r="P35" s="3" t="inlineStr">
        <is>
          <t>香港特别行政区</t>
        </is>
      </c>
      <c r="Q35" s="3" t="n">
        <v>560143</v>
      </c>
      <c r="R35" s="3" t="inlineStr">
        <is>
          <t>PizzaHut必勝客(環翠商埸)</t>
        </is>
      </c>
      <c r="S35" s="3" t="inlineStr">
        <is>
          <t>****23686948</t>
        </is>
      </c>
      <c r="T35" s="3" t="inlineStr">
        <is>
          <t>****23686948</t>
        </is>
      </c>
      <c r="U35" s="3" t="inlineStr">
        <is>
          <t>***** 下G10號舖</t>
        </is>
      </c>
      <c r="V35" s="3" t="inlineStr">
        <is>
          <t>香港</t>
        </is>
      </c>
      <c r="W35" s="3" t="inlineStr">
        <is>
          <t>机纸/小票纸 / 包出</t>
        </is>
      </c>
      <c r="X35" s="3" t="inlineStr">
        <is>
          <t>ESS-SFTS-OTMS</t>
        </is>
      </c>
      <c r="Y35" s="3" t="n"/>
      <c r="Z35" s="3" t="inlineStr"/>
      <c r="AA35" s="3" t="inlineStr">
        <is>
          <t>寄付月結</t>
        </is>
      </c>
      <c r="AB35">
        <f>IFERROR(VLOOKUP(Q35&amp;"",對照表!$A:$B,1,FALSE),"")</f>
        <v/>
      </c>
      <c r="AC35">
        <f>IFERROR(VLOOKUP(Q35&amp;"",對照表!$A:$B,2,FALSE),"")</f>
        <v/>
      </c>
    </row>
    <row r="36">
      <c r="A36" s="3" t="inlineStr">
        <is>
          <t>SF5119115816137</t>
        </is>
      </c>
      <c r="B36" s="3" t="n">
        <v>58424106156113</v>
      </c>
      <c r="C36" s="3" t="inlineStr">
        <is>
          <t>已簽收</t>
        </is>
      </c>
      <c r="D36" s="3" t="inlineStr">
        <is>
          <t>2026-07-02 17:01:35</t>
        </is>
      </c>
      <c r="E36" s="3" t="inlineStr">
        <is>
          <t>2026-07-03 10:05</t>
        </is>
      </c>
      <c r="F36" s="3" t="n">
        <v>45.16</v>
      </c>
      <c r="G36" s="3" t="n">
        <v>4</v>
      </c>
      <c r="H36" s="3" t="n"/>
      <c r="I36" s="3" t="inlineStr"/>
      <c r="J36" s="3" t="inlineStr">
        <is>
          <t>Keeta</t>
        </is>
      </c>
      <c r="K36" s="3" t="inlineStr">
        <is>
          <t>****9568</t>
        </is>
      </c>
      <c r="L36" s="3" t="n"/>
      <c r="M36" s="3" t="inlineStr">
        <is>
          <t>***** 物流中心5樓</t>
        </is>
      </c>
      <c r="N36" s="3" t="inlineStr">
        <is>
          <t>北区</t>
        </is>
      </c>
      <c r="O36" s="3" t="inlineStr">
        <is>
          <t>香港</t>
        </is>
      </c>
      <c r="P36" s="3" t="inlineStr">
        <is>
          <t>香港特别行政区</t>
        </is>
      </c>
      <c r="Q36" s="3" t="n">
        <v>452187</v>
      </c>
      <c r="R36" s="3" t="inlineStr">
        <is>
          <t>麥當勞(禮頓中心)McDonalds</t>
        </is>
      </c>
      <c r="S36" s="3" t="inlineStr">
        <is>
          <t>****31264113</t>
        </is>
      </c>
      <c r="T36" s="3" t="inlineStr">
        <is>
          <t>****31264113</t>
        </is>
      </c>
      <c r="U36" s="3" t="inlineStr">
        <is>
          <t>***** 地庫B2號舖</t>
        </is>
      </c>
      <c r="V36" s="3" t="inlineStr">
        <is>
          <t>香港</t>
        </is>
      </c>
      <c r="W36" s="3" t="inlineStr">
        <is>
          <t>机纸/小票纸 / 包出, 纸袋【通版】/ 箱出</t>
        </is>
      </c>
      <c r="X36" s="3" t="inlineStr">
        <is>
          <t>ESS-SFTS-OTMS</t>
        </is>
      </c>
      <c r="Y36" s="3" t="n"/>
      <c r="Z36" s="3" t="inlineStr"/>
      <c r="AA36" s="3" t="inlineStr">
        <is>
          <t>寄付月結</t>
        </is>
      </c>
      <c r="AB36">
        <f>IFERROR(VLOOKUP(Q36&amp;"",對照表!$A:$B,1,FALSE),"")</f>
        <v/>
      </c>
      <c r="AC36">
        <f>IFERROR(VLOOKUP(Q36&amp;"",對照表!$A:$B,2,FALSE),"")</f>
        <v/>
      </c>
    </row>
    <row r="37">
      <c r="A37" s="3" t="inlineStr">
        <is>
          <t>SF5119115816173</t>
        </is>
      </c>
      <c r="B37" s="3" t="n">
        <v>58424106156123</v>
      </c>
      <c r="C37" s="3" t="inlineStr">
        <is>
          <t>已簽收</t>
        </is>
      </c>
      <c r="D37" s="3" t="inlineStr">
        <is>
          <t>2026-07-02 14:35:26</t>
        </is>
      </c>
      <c r="E37" s="3" t="inlineStr">
        <is>
          <t>2026-07-03 09:20</t>
        </is>
      </c>
      <c r="F37" s="3" t="n">
        <v>2.8</v>
      </c>
      <c r="G37" s="3" t="n">
        <v>1</v>
      </c>
      <c r="H37" s="3" t="n"/>
      <c r="I37" s="3" t="inlineStr"/>
      <c r="J37" s="3" t="inlineStr">
        <is>
          <t>Keeta</t>
        </is>
      </c>
      <c r="K37" s="3" t="inlineStr">
        <is>
          <t>****9568</t>
        </is>
      </c>
      <c r="L37" s="3" t="n"/>
      <c r="M37" s="3" t="inlineStr">
        <is>
          <t>***** 物流中心5樓</t>
        </is>
      </c>
      <c r="N37" s="3" t="inlineStr">
        <is>
          <t>北区</t>
        </is>
      </c>
      <c r="O37" s="3" t="inlineStr">
        <is>
          <t>香港</t>
        </is>
      </c>
      <c r="P37" s="3" t="inlineStr">
        <is>
          <t>香港特别行政区</t>
        </is>
      </c>
      <c r="Q37" s="3" t="n">
        <v>596225</v>
      </c>
      <c r="R37" s="3" t="inlineStr">
        <is>
          <t>土司工坊x泰潮(佐敦薈)</t>
        </is>
      </c>
      <c r="S37" s="3" t="inlineStr">
        <is>
          <t>****21569100</t>
        </is>
      </c>
      <c r="T37" s="3" t="inlineStr">
        <is>
          <t>****21569100</t>
        </is>
      </c>
      <c r="U37" s="3" t="inlineStr">
        <is>
          <t>***** 薈地下B號舖</t>
        </is>
      </c>
      <c r="V37" s="3" t="inlineStr">
        <is>
          <t>香港</t>
        </is>
      </c>
      <c r="W37" s="3" t="inlineStr">
        <is>
          <t>机纸/小票纸 / 包出</t>
        </is>
      </c>
      <c r="X37" s="3" t="inlineStr">
        <is>
          <t>ESS-SFTS-OTMS</t>
        </is>
      </c>
      <c r="Y37" s="3" t="n"/>
      <c r="Z37" s="3" t="inlineStr"/>
      <c r="AA37" s="3" t="inlineStr">
        <is>
          <t>寄付月結</t>
        </is>
      </c>
      <c r="AB37">
        <f>IFERROR(VLOOKUP(Q37&amp;"",對照表!$A:$B,1,FALSE),"")</f>
        <v/>
      </c>
      <c r="AC37">
        <f>IFERROR(VLOOKUP(Q37&amp;"",對照表!$A:$B,2,FALSE),"")</f>
        <v/>
      </c>
    </row>
    <row r="38">
      <c r="A38" s="3" t="inlineStr">
        <is>
          <t>SF5119115816085</t>
        </is>
      </c>
      <c r="B38" s="3" t="n">
        <v>58424106156103</v>
      </c>
      <c r="C38" s="3" t="inlineStr">
        <is>
          <t>已簽收</t>
        </is>
      </c>
      <c r="D38" s="3" t="inlineStr">
        <is>
          <t>2026-07-02 14:20:05</t>
        </is>
      </c>
      <c r="E38" s="3" t="inlineStr">
        <is>
          <t>2026-07-03 12:31</t>
        </is>
      </c>
      <c r="F38" s="3" t="n">
        <v>4.45</v>
      </c>
      <c r="G38" s="3" t="n">
        <v>1</v>
      </c>
      <c r="H38" s="3" t="n"/>
      <c r="I38" s="3" t="inlineStr"/>
      <c r="J38" s="3" t="inlineStr">
        <is>
          <t>Keeta</t>
        </is>
      </c>
      <c r="K38" s="3" t="inlineStr">
        <is>
          <t>****9568</t>
        </is>
      </c>
      <c r="L38" s="3" t="n"/>
      <c r="M38" s="3" t="inlineStr">
        <is>
          <t>***** 物流中心5樓</t>
        </is>
      </c>
      <c r="N38" s="3" t="inlineStr">
        <is>
          <t>北区</t>
        </is>
      </c>
      <c r="O38" s="3" t="inlineStr">
        <is>
          <t>香港</t>
        </is>
      </c>
      <c r="P38" s="3" t="inlineStr">
        <is>
          <t>香港特别行政区</t>
        </is>
      </c>
      <c r="Q38" s="3" t="n">
        <v>464912</v>
      </c>
      <c r="R38" s="3" t="inlineStr">
        <is>
          <t>馬六(土瓜灣)招牌海南雞喇沙肉骨茶</t>
        </is>
      </c>
      <c r="S38" s="3" t="inlineStr">
        <is>
          <t>****27010889</t>
        </is>
      </c>
      <c r="T38" s="3" t="inlineStr">
        <is>
          <t>****27010889</t>
        </is>
      </c>
      <c r="U38" s="3" t="inlineStr">
        <is>
          <t>***** 樓地下D號舖</t>
        </is>
      </c>
      <c r="V38" s="3" t="inlineStr">
        <is>
          <t>香港</t>
        </is>
      </c>
      <c r="W38" s="3" t="inlineStr">
        <is>
          <t>机纸/小票纸 / 包出</t>
        </is>
      </c>
      <c r="X38" s="3" t="inlineStr">
        <is>
          <t>ESS-SFTS-OTMS</t>
        </is>
      </c>
      <c r="Y38" s="3" t="n"/>
      <c r="Z38" s="3" t="inlineStr"/>
      <c r="AA38" s="3" t="inlineStr">
        <is>
          <t>寄付月結</t>
        </is>
      </c>
      <c r="AB38">
        <f>IFERROR(VLOOKUP(Q38&amp;"",對照表!$A:$B,1,FALSE),"")</f>
        <v/>
      </c>
      <c r="AC38">
        <f>IFERROR(VLOOKUP(Q38&amp;"",對照表!$A:$B,2,FALSE),"")</f>
        <v/>
      </c>
    </row>
    <row r="39">
      <c r="A39" s="3" t="inlineStr">
        <is>
          <t>SF5119115815803</t>
        </is>
      </c>
      <c r="B39" s="3" t="n">
        <v>58424106156046</v>
      </c>
      <c r="C39" s="3" t="inlineStr">
        <is>
          <t>已簽收</t>
        </is>
      </c>
      <c r="D39" s="3" t="inlineStr">
        <is>
          <t>2026-07-02 17:02:22</t>
        </is>
      </c>
      <c r="E39" s="3" t="inlineStr">
        <is>
          <t>2026-07-03 09:32</t>
        </is>
      </c>
      <c r="F39" s="3" t="n">
        <v>18.95</v>
      </c>
      <c r="G39" s="3" t="n">
        <v>2</v>
      </c>
      <c r="H39" s="3" t="n"/>
      <c r="I39" s="3" t="inlineStr"/>
      <c r="J39" s="3" t="inlineStr">
        <is>
          <t>Keeta</t>
        </is>
      </c>
      <c r="K39" s="3" t="inlineStr">
        <is>
          <t>****9568</t>
        </is>
      </c>
      <c r="L39" s="3" t="n"/>
      <c r="M39" s="3" t="inlineStr">
        <is>
          <t>***** 物流中心5樓</t>
        </is>
      </c>
      <c r="N39" s="3" t="inlineStr">
        <is>
          <t>北区</t>
        </is>
      </c>
      <c r="O39" s="3" t="inlineStr">
        <is>
          <t>香港</t>
        </is>
      </c>
      <c r="P39" s="3" t="inlineStr">
        <is>
          <t>香港特别行政区</t>
        </is>
      </c>
      <c r="Q39" s="3" t="n">
        <v>573242</v>
      </c>
      <c r="R39" s="3" t="inlineStr">
        <is>
          <t>Caligari日本過江龍得獎咖喱</t>
        </is>
      </c>
      <c r="S39" s="3" t="inlineStr">
        <is>
          <t>****60586216</t>
        </is>
      </c>
      <c r="T39" s="3" t="inlineStr">
        <is>
          <t>****60586216</t>
        </is>
      </c>
      <c r="U39" s="3" t="inlineStr">
        <is>
          <t>***** al, 香港</t>
        </is>
      </c>
      <c r="V39" s="3" t="inlineStr">
        <is>
          <t>香港</t>
        </is>
      </c>
      <c r="W39" s="3" t="inlineStr">
        <is>
          <t>纸袋【通版】/ 箱出, 机纸/小票纸 / 包出</t>
        </is>
      </c>
      <c r="X39" s="3" t="inlineStr">
        <is>
          <t>ESS-SFTS-OTMS</t>
        </is>
      </c>
      <c r="Y39" s="3" t="n"/>
      <c r="Z39" s="3" t="inlineStr"/>
      <c r="AA39" s="3" t="inlineStr">
        <is>
          <t>寄付月結</t>
        </is>
      </c>
      <c r="AB39">
        <f>IFERROR(VLOOKUP(Q39&amp;"",對照表!$A:$B,1,FALSE),"")</f>
        <v/>
      </c>
      <c r="AC39">
        <f>IFERROR(VLOOKUP(Q39&amp;"",對照表!$A:$B,2,FALSE),"")</f>
        <v/>
      </c>
    </row>
    <row r="40">
      <c r="A40" s="3" t="inlineStr">
        <is>
          <t>SF5119115816119</t>
        </is>
      </c>
      <c r="B40" s="3" t="n">
        <v>58424106156109</v>
      </c>
      <c r="C40" s="3" t="inlineStr">
        <is>
          <t>已簽收</t>
        </is>
      </c>
      <c r="D40" s="3" t="inlineStr">
        <is>
          <t>2026-07-02 17:02:21</t>
        </is>
      </c>
      <c r="E40" s="3" t="inlineStr">
        <is>
          <t>2026-07-03 13:46</t>
        </is>
      </c>
      <c r="F40" s="3" t="n">
        <v>8.34</v>
      </c>
      <c r="G40" s="3" t="n">
        <v>1</v>
      </c>
      <c r="H40" s="3" t="n"/>
      <c r="I40" s="3" t="inlineStr"/>
      <c r="J40" s="3" t="inlineStr">
        <is>
          <t>Keeta</t>
        </is>
      </c>
      <c r="K40" s="3" t="inlineStr">
        <is>
          <t>****9568</t>
        </is>
      </c>
      <c r="L40" s="3" t="n"/>
      <c r="M40" s="3" t="inlineStr">
        <is>
          <t>***** 物流中心5樓</t>
        </is>
      </c>
      <c r="N40" s="3" t="inlineStr">
        <is>
          <t>北区</t>
        </is>
      </c>
      <c r="O40" s="3" t="inlineStr">
        <is>
          <t>香港</t>
        </is>
      </c>
      <c r="P40" s="3" t="inlineStr">
        <is>
          <t>香港特别行政区</t>
        </is>
      </c>
      <c r="Q40" s="3" t="n">
        <v>721542326</v>
      </c>
      <c r="R40" s="3" t="inlineStr">
        <is>
          <t>SUN串皇（天水圍）性價比超高平民串燒</t>
        </is>
      </c>
      <c r="S40" s="3" t="inlineStr">
        <is>
          <t>****67972530</t>
        </is>
      </c>
      <c r="T40" s="3" t="inlineStr">
        <is>
          <t>****67972530</t>
        </is>
      </c>
      <c r="U40" s="3" t="inlineStr">
        <is>
          <t>***** 樓F9B號舖</t>
        </is>
      </c>
      <c r="V40" s="3" t="inlineStr">
        <is>
          <t>香港</t>
        </is>
      </c>
      <c r="W40" s="3" t="inlineStr">
        <is>
          <t>封签【通版】/ 扎出, 机纸/小票纸 / 包出</t>
        </is>
      </c>
      <c r="X40" s="3" t="inlineStr">
        <is>
          <t>ESS-SFTS-OTMS</t>
        </is>
      </c>
      <c r="Y40" s="3" t="n"/>
      <c r="Z40" s="3" t="inlineStr"/>
      <c r="AA40" s="3" t="inlineStr">
        <is>
          <t>寄付月結</t>
        </is>
      </c>
      <c r="AB40">
        <f>IFERROR(VLOOKUP(Q40&amp;"",對照表!$A:$B,1,FALSE),"")</f>
        <v/>
      </c>
      <c r="AC40">
        <f>IFERROR(VLOOKUP(Q40&amp;"",對照表!$A:$B,2,FALSE),"")</f>
        <v/>
      </c>
    </row>
    <row r="41">
      <c r="A41" s="3" t="inlineStr">
        <is>
          <t>SF5119115816146</t>
        </is>
      </c>
      <c r="B41" s="3" t="n">
        <v>58424106156114</v>
      </c>
      <c r="C41" s="3" t="inlineStr">
        <is>
          <t>已簽收</t>
        </is>
      </c>
      <c r="D41" s="3" t="inlineStr">
        <is>
          <t>2026-07-02 16:58:57</t>
        </is>
      </c>
      <c r="E41" s="3" t="inlineStr">
        <is>
          <t>2026-07-03 09:57</t>
        </is>
      </c>
      <c r="F41" s="3" t="n">
        <v>18.87</v>
      </c>
      <c r="G41" s="3" t="n">
        <v>2</v>
      </c>
      <c r="H41" s="3" t="n"/>
      <c r="I41" s="3" t="inlineStr"/>
      <c r="J41" s="3" t="inlineStr">
        <is>
          <t>Keeta</t>
        </is>
      </c>
      <c r="K41" s="3" t="inlineStr">
        <is>
          <t>****9568</t>
        </is>
      </c>
      <c r="L41" s="3" t="n"/>
      <c r="M41" s="3" t="inlineStr">
        <is>
          <t>***** 物流中心5樓</t>
        </is>
      </c>
      <c r="N41" s="3" t="inlineStr">
        <is>
          <t>北区</t>
        </is>
      </c>
      <c r="O41" s="3" t="inlineStr">
        <is>
          <t>香港</t>
        </is>
      </c>
      <c r="P41" s="3" t="inlineStr">
        <is>
          <t>香港特别行政区</t>
        </is>
      </c>
      <c r="Q41" s="3" t="n">
        <v>469776</v>
      </c>
      <c r="R41" s="3" t="inlineStr">
        <is>
          <t>SeoulNoodles中環分店(士丹利街)首爾製麵所</t>
        </is>
      </c>
      <c r="S41" s="3" t="inlineStr">
        <is>
          <t>****51989798</t>
        </is>
      </c>
      <c r="T41" s="3" t="inlineStr">
        <is>
          <t>****51989798</t>
        </is>
      </c>
      <c r="U41" s="3" t="inlineStr">
        <is>
          <t>***** 金禾大廈1樓</t>
        </is>
      </c>
      <c r="V41" s="3" t="inlineStr">
        <is>
          <t>香港</t>
        </is>
      </c>
      <c r="W41" s="3" t="inlineStr">
        <is>
          <t>塑料袋【大】/ 扎出, 无纺布【规格四大号】/ 箱出</t>
        </is>
      </c>
      <c r="X41" s="3" t="inlineStr">
        <is>
          <t>ESS-SFTS-OTMS</t>
        </is>
      </c>
      <c r="Y41" s="3" t="n"/>
      <c r="Z41" s="3" t="inlineStr"/>
      <c r="AA41" s="3" t="inlineStr">
        <is>
          <t>寄付月結</t>
        </is>
      </c>
      <c r="AB41">
        <f>IFERROR(VLOOKUP(Q41&amp;"",對照表!$A:$B,1,FALSE),"")</f>
        <v/>
      </c>
      <c r="AC41">
        <f>IFERROR(VLOOKUP(Q41&amp;"",對照表!$A:$B,2,FALSE),"")</f>
        <v/>
      </c>
    </row>
    <row r="42">
      <c r="A42" s="3" t="inlineStr">
        <is>
          <t>SF5119115816400</t>
        </is>
      </c>
      <c r="B42" s="3" t="n">
        <v>58424106156167</v>
      </c>
      <c r="C42" s="3" t="inlineStr">
        <is>
          <t>已簽收</t>
        </is>
      </c>
      <c r="D42" s="3" t="inlineStr">
        <is>
          <t>2026-07-02 14:20:07</t>
        </is>
      </c>
      <c r="E42" s="3" t="inlineStr">
        <is>
          <t>2026-07-03 10:01</t>
        </is>
      </c>
      <c r="F42" s="3" t="n">
        <v>4.45</v>
      </c>
      <c r="G42" s="3" t="n">
        <v>1</v>
      </c>
      <c r="H42" s="3" t="n"/>
      <c r="I42" s="3" t="inlineStr"/>
      <c r="J42" s="3" t="inlineStr">
        <is>
          <t>Keeta</t>
        </is>
      </c>
      <c r="K42" s="3" t="inlineStr">
        <is>
          <t>****9568</t>
        </is>
      </c>
      <c r="L42" s="3" t="n"/>
      <c r="M42" s="3" t="inlineStr">
        <is>
          <t>***** 物流中心5樓</t>
        </is>
      </c>
      <c r="N42" s="3" t="inlineStr">
        <is>
          <t>北区</t>
        </is>
      </c>
      <c r="O42" s="3" t="inlineStr">
        <is>
          <t>香港</t>
        </is>
      </c>
      <c r="P42" s="3" t="inlineStr">
        <is>
          <t>香港特别行政区</t>
        </is>
      </c>
      <c r="Q42" s="3" t="n">
        <v>593970</v>
      </c>
      <c r="R42" s="3" t="inlineStr">
        <is>
          <t>串燒兄妹(長沙灣)</t>
        </is>
      </c>
      <c r="S42" s="3" t="inlineStr">
        <is>
          <t>****54497339</t>
        </is>
      </c>
      <c r="T42" s="3" t="inlineStr">
        <is>
          <t>****54497339</t>
        </is>
      </c>
      <c r="U42" s="3" t="inlineStr">
        <is>
          <t>***** 廈地下6號鋪</t>
        </is>
      </c>
      <c r="V42" s="3" t="inlineStr">
        <is>
          <t>香港</t>
        </is>
      </c>
      <c r="W42" s="3" t="inlineStr">
        <is>
          <t>机纸/小票纸 / 包出</t>
        </is>
      </c>
      <c r="X42" s="3" t="inlineStr">
        <is>
          <t>ESS-SFTS-OTMS</t>
        </is>
      </c>
      <c r="Y42" s="3" t="n"/>
      <c r="Z42" s="3" t="inlineStr"/>
      <c r="AA42" s="3" t="inlineStr">
        <is>
          <t>寄付月結</t>
        </is>
      </c>
      <c r="AB42">
        <f>IFERROR(VLOOKUP(Q42&amp;"",對照表!$A:$B,1,FALSE),"")</f>
        <v/>
      </c>
      <c r="AC42">
        <f>IFERROR(VLOOKUP(Q42&amp;"",對照表!$A:$B,2,FALSE),"")</f>
        <v/>
      </c>
    </row>
    <row r="43">
      <c r="A43" s="3" t="inlineStr">
        <is>
          <t>SF5119115815858</t>
        </is>
      </c>
      <c r="B43" s="3" t="n">
        <v>58424106156056</v>
      </c>
      <c r="C43" s="3" t="inlineStr">
        <is>
          <t>已簽收</t>
        </is>
      </c>
      <c r="D43" s="3" t="inlineStr">
        <is>
          <t>2026-07-02 16:58:11</t>
        </is>
      </c>
      <c r="E43" s="3" t="inlineStr">
        <is>
          <t>2026-07-03 13:32</t>
        </is>
      </c>
      <c r="F43" s="3" t="n">
        <v>14.5</v>
      </c>
      <c r="G43" s="3" t="n">
        <v>1</v>
      </c>
      <c r="H43" s="3" t="n"/>
      <c r="I43" s="3" t="inlineStr"/>
      <c r="J43" s="3" t="inlineStr">
        <is>
          <t>Keeta</t>
        </is>
      </c>
      <c r="K43" s="3" t="inlineStr">
        <is>
          <t>****9568</t>
        </is>
      </c>
      <c r="L43" s="3" t="n"/>
      <c r="M43" s="3" t="inlineStr">
        <is>
          <t>***** 物流中心5樓</t>
        </is>
      </c>
      <c r="N43" s="3" t="inlineStr">
        <is>
          <t>北区</t>
        </is>
      </c>
      <c r="O43" s="3" t="inlineStr">
        <is>
          <t>香港</t>
        </is>
      </c>
      <c r="P43" s="3" t="inlineStr">
        <is>
          <t>香港特别行政区</t>
        </is>
      </c>
      <c r="Q43" s="3" t="n">
        <v>721512381</v>
      </c>
      <c r="R43" s="3" t="inlineStr">
        <is>
          <t>黑白貓大廚</t>
        </is>
      </c>
      <c r="S43" s="3" t="inlineStr">
        <is>
          <t>****6826368</t>
        </is>
      </c>
      <c r="T43" s="3" t="inlineStr">
        <is>
          <t>****6826368</t>
        </is>
      </c>
      <c r="U43" s="3" t="inlineStr">
        <is>
          <t>***** rence）</t>
        </is>
      </c>
      <c r="V43" s="3" t="inlineStr">
        <is>
          <t>香港</t>
        </is>
      </c>
      <c r="W43" s="3" t="inlineStr">
        <is>
          <t>纸袋【通版】/ 箱出</t>
        </is>
      </c>
      <c r="X43" s="3" t="inlineStr">
        <is>
          <t>ESS-SFTS-OTMS</t>
        </is>
      </c>
      <c r="Y43" s="3" t="n"/>
      <c r="Z43" s="3" t="inlineStr"/>
      <c r="AA43" s="3" t="inlineStr">
        <is>
          <t>寄付月結</t>
        </is>
      </c>
      <c r="AB43">
        <f>IFERROR(VLOOKUP(Q43&amp;"",對照表!$A:$B,1,FALSE),"")</f>
        <v/>
      </c>
      <c r="AC43">
        <f>IFERROR(VLOOKUP(Q43&amp;"",對照表!$A:$B,2,FALSE),"")</f>
        <v/>
      </c>
    </row>
    <row r="44">
      <c r="A44" s="3" t="inlineStr">
        <is>
          <t>SF5119115816164</t>
        </is>
      </c>
      <c r="B44" s="3" t="n">
        <v>58424106156118</v>
      </c>
      <c r="C44" s="3" t="inlineStr">
        <is>
          <t>已簽收</t>
        </is>
      </c>
      <c r="D44" s="3" t="inlineStr">
        <is>
          <t>2026-07-02 14:35:23</t>
        </is>
      </c>
      <c r="E44" s="3" t="inlineStr">
        <is>
          <t>2026-07-03 11:20</t>
        </is>
      </c>
      <c r="F44" s="3" t="n">
        <v>2.8</v>
      </c>
      <c r="G44" s="3" t="n">
        <v>1</v>
      </c>
      <c r="H44" s="3" t="n"/>
      <c r="I44" s="3" t="inlineStr"/>
      <c r="J44" s="3" t="inlineStr">
        <is>
          <t>Keeta</t>
        </is>
      </c>
      <c r="K44" s="3" t="inlineStr">
        <is>
          <t>****9568</t>
        </is>
      </c>
      <c r="L44" s="3" t="n"/>
      <c r="M44" s="3" t="inlineStr">
        <is>
          <t>***** 物流中心5樓</t>
        </is>
      </c>
      <c r="N44" s="3" t="inlineStr">
        <is>
          <t>北区</t>
        </is>
      </c>
      <c r="O44" s="3" t="inlineStr">
        <is>
          <t>香港</t>
        </is>
      </c>
      <c r="P44" s="3" t="inlineStr">
        <is>
          <t>香港特别行政区</t>
        </is>
      </c>
      <c r="Q44" s="3" t="n">
        <v>485023</v>
      </c>
      <c r="R44" s="3" t="inlineStr">
        <is>
          <t>雄泰HungTai(粉嶺人氣店)</t>
        </is>
      </c>
      <c r="S44" s="3" t="inlineStr">
        <is>
          <t>****26680348</t>
        </is>
      </c>
      <c r="T44" s="3" t="inlineStr">
        <is>
          <t>****26680348</t>
        </is>
      </c>
      <c r="U44" s="3" t="inlineStr">
        <is>
          <t>***** 街21號地舖</t>
        </is>
      </c>
      <c r="V44" s="3" t="inlineStr">
        <is>
          <t>香港</t>
        </is>
      </c>
      <c r="W44" s="3" t="inlineStr">
        <is>
          <t>机纸/小票纸 / 包出</t>
        </is>
      </c>
      <c r="X44" s="3" t="inlineStr">
        <is>
          <t>ESS-SFTS-OTMS</t>
        </is>
      </c>
      <c r="Y44" s="3" t="n"/>
      <c r="Z44" s="3" t="inlineStr"/>
      <c r="AA44" s="3" t="inlineStr">
        <is>
          <t>寄付月結</t>
        </is>
      </c>
      <c r="AB44">
        <f>IFERROR(VLOOKUP(Q44&amp;"",對照表!$A:$B,1,FALSE),"")</f>
        <v/>
      </c>
      <c r="AC44">
        <f>IFERROR(VLOOKUP(Q44&amp;"",對照表!$A:$B,2,FALSE),"")</f>
        <v/>
      </c>
    </row>
    <row r="45">
      <c r="A45" s="3" t="inlineStr">
        <is>
          <t>SF5119115816331</t>
        </is>
      </c>
      <c r="B45" s="3" t="n">
        <v>58424106156153</v>
      </c>
      <c r="C45" s="3" t="inlineStr">
        <is>
          <t>已簽收</t>
        </is>
      </c>
      <c r="D45" s="3" t="inlineStr">
        <is>
          <t>2026-07-02 15:45:13</t>
        </is>
      </c>
      <c r="E45" s="3" t="inlineStr">
        <is>
          <t>2026-07-03 13:21</t>
        </is>
      </c>
      <c r="F45" s="3" t="n">
        <v>29</v>
      </c>
      <c r="G45" s="3" t="n">
        <v>2</v>
      </c>
      <c r="H45" s="3" t="n"/>
      <c r="I45" s="3" t="inlineStr"/>
      <c r="J45" s="3" t="inlineStr">
        <is>
          <t>Keeta</t>
        </is>
      </c>
      <c r="K45" s="3" t="inlineStr">
        <is>
          <t>****9568</t>
        </is>
      </c>
      <c r="L45" s="3" t="n"/>
      <c r="M45" s="3" t="inlineStr">
        <is>
          <t>***** 物流中心5樓</t>
        </is>
      </c>
      <c r="N45" s="3" t="inlineStr">
        <is>
          <t>北区</t>
        </is>
      </c>
      <c r="O45" s="3" t="inlineStr">
        <is>
          <t>香港</t>
        </is>
      </c>
      <c r="P45" s="3" t="inlineStr">
        <is>
          <t>香港特别行政区</t>
        </is>
      </c>
      <c r="Q45" s="3" t="n">
        <v>721515371</v>
      </c>
      <c r="R45" s="3" t="inlineStr">
        <is>
          <t>麥當勞 (創紀之城) McDonald&amp;apos;s
McDonald&amp;apos;s (Millennium City)</t>
        </is>
      </c>
      <c r="S45" s="3" t="inlineStr">
        <is>
          <t>****22671638</t>
        </is>
      </c>
      <c r="T45" s="3" t="inlineStr">
        <is>
          <t>****22671638</t>
        </is>
      </c>
      <c r="U45" s="3" t="inlineStr">
        <is>
          <t>***** 地下1A單位</t>
        </is>
      </c>
      <c r="V45" s="3" t="inlineStr">
        <is>
          <t>香港</t>
        </is>
      </c>
      <c r="W45" s="3" t="inlineStr">
        <is>
          <t>纸袋【通版】/ 箱出</t>
        </is>
      </c>
      <c r="X45" s="3" t="inlineStr">
        <is>
          <t>ESS-SFTS-OTMS</t>
        </is>
      </c>
      <c r="Y45" s="3" t="n"/>
      <c r="Z45" s="3" t="inlineStr"/>
      <c r="AA45" s="3" t="inlineStr">
        <is>
          <t>寄付月結</t>
        </is>
      </c>
      <c r="AB45">
        <f>IFERROR(VLOOKUP(Q45&amp;"",對照表!$A:$B,1,FALSE),"")</f>
        <v/>
      </c>
      <c r="AC45">
        <f>IFERROR(VLOOKUP(Q45&amp;"",對照表!$A:$B,2,FALSE),"")</f>
        <v/>
      </c>
    </row>
    <row r="46">
      <c r="A46" s="3" t="inlineStr">
        <is>
          <t>SF5119115815751</t>
        </is>
      </c>
      <c r="B46" s="3" t="n">
        <v>58424106156034</v>
      </c>
      <c r="C46" s="3" t="inlineStr">
        <is>
          <t>已簽收</t>
        </is>
      </c>
      <c r="D46" s="3" t="inlineStr">
        <is>
          <t>2026-07-02 17:01:34</t>
        </is>
      </c>
      <c r="E46" s="3" t="inlineStr">
        <is>
          <t>2026-07-03 11:02</t>
        </is>
      </c>
      <c r="F46" s="3" t="n">
        <v>59.18</v>
      </c>
      <c r="G46" s="3" t="n">
        <v>5</v>
      </c>
      <c r="H46" s="3" t="n"/>
      <c r="I46" s="3" t="inlineStr"/>
      <c r="J46" s="3" t="inlineStr">
        <is>
          <t>Keeta</t>
        </is>
      </c>
      <c r="K46" s="3" t="inlineStr">
        <is>
          <t>****9568</t>
        </is>
      </c>
      <c r="L46" s="3" t="n"/>
      <c r="M46" s="3" t="inlineStr">
        <is>
          <t>***** 物流中心5樓</t>
        </is>
      </c>
      <c r="N46" s="3" t="inlineStr">
        <is>
          <t>北区</t>
        </is>
      </c>
      <c r="O46" s="3" t="inlineStr">
        <is>
          <t>香港</t>
        </is>
      </c>
      <c r="P46" s="3" t="inlineStr">
        <is>
          <t>香港特别行政区</t>
        </is>
      </c>
      <c r="Q46" s="3" t="n">
        <v>465352</v>
      </c>
      <c r="R46" s="3" t="inlineStr">
        <is>
          <t>麥當勞(廣源)McDonalds</t>
        </is>
      </c>
      <c r="S46" s="3" t="inlineStr">
        <is>
          <t>****26357283</t>
        </is>
      </c>
      <c r="T46" s="3" t="inlineStr">
        <is>
          <t>****26357283</t>
        </is>
      </c>
      <c r="U46" s="3" t="inlineStr">
        <is>
          <t>***** 層十三號商舖</t>
        </is>
      </c>
      <c r="V46" s="3" t="inlineStr">
        <is>
          <t>香港</t>
        </is>
      </c>
      <c r="W46" s="3" t="inlineStr">
        <is>
          <t>纸袋【通版】/ 箱出, 机纸/小票纸 / 包出</t>
        </is>
      </c>
      <c r="X46" s="3" t="inlineStr">
        <is>
          <t>ESS-SFTS-OTMS</t>
        </is>
      </c>
      <c r="Y46" s="3" t="n"/>
      <c r="Z46" s="3" t="inlineStr"/>
      <c r="AA46" s="3" t="inlineStr">
        <is>
          <t>寄付月結</t>
        </is>
      </c>
      <c r="AB46">
        <f>IFERROR(VLOOKUP(Q46&amp;"",對照表!$A:$B,1,FALSE),"")</f>
        <v/>
      </c>
      <c r="AC46">
        <f>IFERROR(VLOOKUP(Q46&amp;"",對照表!$A:$B,2,FALSE),"")</f>
        <v/>
      </c>
    </row>
    <row r="47">
      <c r="A47" s="3" t="inlineStr">
        <is>
          <t>SF5119115816049</t>
        </is>
      </c>
      <c r="B47" s="3" t="n">
        <v>58424106156094</v>
      </c>
      <c r="C47" s="3" t="inlineStr">
        <is>
          <t>已簽收</t>
        </is>
      </c>
      <c r="D47" s="3" t="inlineStr">
        <is>
          <t>2026-07-02 14:20:03</t>
        </is>
      </c>
      <c r="E47" s="3" t="inlineStr">
        <is>
          <t>2026-07-03 11:02</t>
        </is>
      </c>
      <c r="F47" s="3" t="n">
        <v>4.45</v>
      </c>
      <c r="G47" s="3" t="n">
        <v>1</v>
      </c>
      <c r="H47" s="3" t="n"/>
      <c r="I47" s="3" t="inlineStr"/>
      <c r="J47" s="3" t="inlineStr">
        <is>
          <t>Keeta</t>
        </is>
      </c>
      <c r="K47" s="3" t="inlineStr">
        <is>
          <t>****9568</t>
        </is>
      </c>
      <c r="L47" s="3" t="n"/>
      <c r="M47" s="3" t="inlineStr">
        <is>
          <t>***** 物流中心5樓</t>
        </is>
      </c>
      <c r="N47" s="3" t="inlineStr">
        <is>
          <t>北区</t>
        </is>
      </c>
      <c r="O47" s="3" t="inlineStr">
        <is>
          <t>香港</t>
        </is>
      </c>
      <c r="P47" s="3" t="inlineStr">
        <is>
          <t>香港特别行政区</t>
        </is>
      </c>
      <c r="Q47" s="3" t="n">
        <v>721516362</v>
      </c>
      <c r="R47" s="3" t="inlineStr">
        <is>
          <t>港興餐廳（西營盤）</t>
        </is>
      </c>
      <c r="S47" s="3" t="inlineStr">
        <is>
          <t>****55868342</t>
        </is>
      </c>
      <c r="T47" s="3" t="inlineStr">
        <is>
          <t>****55868342</t>
        </is>
      </c>
      <c r="U47" s="3" t="inlineStr">
        <is>
          <t>***** G號東利大樓</t>
        </is>
      </c>
      <c r="V47" s="3" t="inlineStr">
        <is>
          <t>香港</t>
        </is>
      </c>
      <c r="W47" s="3" t="inlineStr">
        <is>
          <t>机纸/小票纸 / 包出</t>
        </is>
      </c>
      <c r="X47" s="3" t="inlineStr">
        <is>
          <t>ESS-SFTS-OTMS</t>
        </is>
      </c>
      <c r="Y47" s="3" t="n"/>
      <c r="Z47" s="3" t="inlineStr"/>
      <c r="AA47" s="3" t="inlineStr">
        <is>
          <t>寄付月結</t>
        </is>
      </c>
      <c r="AB47">
        <f>IFERROR(VLOOKUP(Q47&amp;"",對照表!$A:$B,1,FALSE),"")</f>
        <v/>
      </c>
      <c r="AC47">
        <f>IFERROR(VLOOKUP(Q47&amp;"",對照表!$A:$B,2,FALSE),"")</f>
        <v/>
      </c>
    </row>
    <row r="48">
      <c r="A48" s="3" t="inlineStr">
        <is>
          <t>SF5119115815760</t>
        </is>
      </c>
      <c r="B48" s="3" t="n">
        <v>58424106156038</v>
      </c>
      <c r="C48" s="3" t="inlineStr">
        <is>
          <t>已簽收</t>
        </is>
      </c>
      <c r="D48" s="3" t="inlineStr">
        <is>
          <t>2026-07-02 15:38:55</t>
        </is>
      </c>
      <c r="E48" s="3" t="inlineStr">
        <is>
          <t>2026-07-03 11:44</t>
        </is>
      </c>
      <c r="F48" s="3" t="n">
        <v>14.5</v>
      </c>
      <c r="G48" s="3" t="n">
        <v>1</v>
      </c>
      <c r="H48" s="3" t="n"/>
      <c r="I48" s="3" t="inlineStr"/>
      <c r="J48" s="3" t="inlineStr">
        <is>
          <t>Keeta</t>
        </is>
      </c>
      <c r="K48" s="3" t="inlineStr">
        <is>
          <t>****9568</t>
        </is>
      </c>
      <c r="L48" s="3" t="n"/>
      <c r="M48" s="3" t="inlineStr">
        <is>
          <t>***** 物流中心5樓</t>
        </is>
      </c>
      <c r="N48" s="3" t="inlineStr">
        <is>
          <t>北区</t>
        </is>
      </c>
      <c r="O48" s="3" t="inlineStr">
        <is>
          <t>香港</t>
        </is>
      </c>
      <c r="P48" s="3" t="inlineStr">
        <is>
          <t>香港特别行政区</t>
        </is>
      </c>
      <c r="Q48" s="3" t="n">
        <v>721522413</v>
      </c>
      <c r="R48" s="3" t="inlineStr">
        <is>
          <t>CatchA! 首爾炸雞 （新浦崗分店）</t>
        </is>
      </c>
      <c r="S48" s="3" t="inlineStr">
        <is>
          <t>****6833331</t>
        </is>
      </c>
      <c r="T48" s="3" t="inlineStr">
        <is>
          <t>****6833331</t>
        </is>
      </c>
      <c r="U48" s="3" t="inlineStr">
        <is>
          <t>***** 負責人收到）</t>
        </is>
      </c>
      <c r="V48" s="3" t="inlineStr">
        <is>
          <t>香港</t>
        </is>
      </c>
      <c r="W48" s="3" t="inlineStr">
        <is>
          <t>纸袋【通版】/ 箱出</t>
        </is>
      </c>
      <c r="X48" s="3" t="inlineStr">
        <is>
          <t>ESS-SFTS-OTMS</t>
        </is>
      </c>
      <c r="Y48" s="3" t="n"/>
      <c r="Z48" s="3" t="inlineStr"/>
      <c r="AA48" s="3" t="inlineStr">
        <is>
          <t>寄付月結</t>
        </is>
      </c>
      <c r="AB48">
        <f>IFERROR(VLOOKUP(Q48&amp;"",對照表!$A:$B,1,FALSE),"")</f>
        <v/>
      </c>
      <c r="AC48">
        <f>IFERROR(VLOOKUP(Q48&amp;"",對照表!$A:$B,2,FALSE),"")</f>
        <v/>
      </c>
    </row>
    <row r="49">
      <c r="A49" s="3" t="inlineStr">
        <is>
          <t>SF5119115815779</t>
        </is>
      </c>
      <c r="B49" s="3" t="n">
        <v>58424106156040</v>
      </c>
      <c r="C49" s="3" t="inlineStr">
        <is>
          <t>已簽收</t>
        </is>
      </c>
      <c r="D49" s="3" t="inlineStr">
        <is>
          <t>2026-07-02 17:01:36</t>
        </is>
      </c>
      <c r="E49" s="3" t="inlineStr">
        <is>
          <t>2026-07-03 13:11</t>
        </is>
      </c>
      <c r="F49" s="3" t="n">
        <v>2.64</v>
      </c>
      <c r="G49" s="3" t="n">
        <v>1</v>
      </c>
      <c r="H49" s="3" t="n"/>
      <c r="I49" s="3" t="inlineStr"/>
      <c r="J49" s="3" t="inlineStr">
        <is>
          <t>Keeta</t>
        </is>
      </c>
      <c r="K49" s="3" t="inlineStr">
        <is>
          <t>****9568</t>
        </is>
      </c>
      <c r="L49" s="3" t="n"/>
      <c r="M49" s="3" t="inlineStr">
        <is>
          <t>***** 物流中心5樓</t>
        </is>
      </c>
      <c r="N49" s="3" t="inlineStr">
        <is>
          <t>北区</t>
        </is>
      </c>
      <c r="O49" s="3" t="inlineStr">
        <is>
          <t>香港</t>
        </is>
      </c>
      <c r="P49" s="3" t="inlineStr">
        <is>
          <t>香港特别行政区</t>
        </is>
      </c>
      <c r="Q49" s="3" t="n">
        <v>603977</v>
      </c>
      <c r="R49" s="3" t="inlineStr">
        <is>
          <t>胃食糖限時1小食台式古早味肉燥便當夜市正宗現炸酥香臭豆腐</t>
        </is>
      </c>
      <c r="S49" s="3" t="inlineStr">
        <is>
          <t>****97054483</t>
        </is>
      </c>
      <c r="T49" s="3" t="inlineStr">
        <is>
          <t>****97054483</t>
        </is>
      </c>
      <c r="U49" s="3" t="inlineStr">
        <is>
          <t>***** 下402號舖</t>
        </is>
      </c>
      <c r="V49" s="3" t="inlineStr">
        <is>
          <t>香港</t>
        </is>
      </c>
      <c r="W49" s="3" t="inlineStr">
        <is>
          <t>机纸/小票纸 / 包出, 封签【通版】/ 扎出</t>
        </is>
      </c>
      <c r="X49" s="3" t="inlineStr">
        <is>
          <t>ESS-SFTS-OTMS</t>
        </is>
      </c>
      <c r="Y49" s="3" t="n"/>
      <c r="Z49" s="3" t="inlineStr"/>
      <c r="AA49" s="3" t="inlineStr">
        <is>
          <t>寄付月結</t>
        </is>
      </c>
      <c r="AB49">
        <f>IFERROR(VLOOKUP(Q49&amp;"",對照表!$A:$B,1,FALSE),"")</f>
        <v/>
      </c>
      <c r="AC49">
        <f>IFERROR(VLOOKUP(Q49&amp;"",對照表!$A:$B,2,FALSE),"")</f>
        <v/>
      </c>
    </row>
    <row r="50">
      <c r="A50" s="3" t="inlineStr">
        <is>
          <t>SF5119115815724</t>
        </is>
      </c>
      <c r="B50" s="3" t="n">
        <v>58424106123276</v>
      </c>
      <c r="C50" s="3" t="inlineStr">
        <is>
          <t>已簽收</t>
        </is>
      </c>
      <c r="D50" s="3" t="inlineStr">
        <is>
          <t>2026-07-02 15:44:10</t>
        </is>
      </c>
      <c r="E50" s="3" t="inlineStr">
        <is>
          <t>2026-07-03 13:38</t>
        </is>
      </c>
      <c r="F50" s="3" t="n">
        <v>29</v>
      </c>
      <c r="G50" s="3" t="n">
        <v>2</v>
      </c>
      <c r="H50" s="3" t="n"/>
      <c r="I50" s="3" t="inlineStr"/>
      <c r="J50" s="3" t="inlineStr">
        <is>
          <t>Keeta</t>
        </is>
      </c>
      <c r="K50" s="3" t="inlineStr">
        <is>
          <t>****9568</t>
        </is>
      </c>
      <c r="L50" s="3" t="n"/>
      <c r="M50" s="3" t="inlineStr">
        <is>
          <t>***** 物流中心5樓</t>
        </is>
      </c>
      <c r="N50" s="3" t="inlineStr">
        <is>
          <t>北区</t>
        </is>
      </c>
      <c r="O50" s="3" t="inlineStr">
        <is>
          <t>香港</t>
        </is>
      </c>
      <c r="P50" s="3" t="inlineStr">
        <is>
          <t>香港特别行政区</t>
        </is>
      </c>
      <c r="Q50" s="3" t="n">
        <v>721512368</v>
      </c>
      <c r="R50" s="3" t="inlineStr">
        <is>
          <t>麥當勞 (樂意居) McDonald&amp;apos;s
McDonald&amp;apos;s (Delight Court)</t>
        </is>
      </c>
      <c r="S50" s="3" t="inlineStr">
        <is>
          <t>****27697811</t>
        </is>
      </c>
      <c r="T50" s="3" t="inlineStr">
        <is>
          <t>****27697811</t>
        </is>
      </c>
      <c r="U50" s="3" t="inlineStr">
        <is>
          <t>***** 舖及一樓全層</t>
        </is>
      </c>
      <c r="V50" s="3" t="inlineStr">
        <is>
          <t>香港</t>
        </is>
      </c>
      <c r="W50" s="3" t="inlineStr">
        <is>
          <t>纸袋【通版】/ 箱出</t>
        </is>
      </c>
      <c r="X50" s="3" t="inlineStr">
        <is>
          <t>ESS-SFTS-OTMS</t>
        </is>
      </c>
      <c r="Y50" s="3" t="n"/>
      <c r="Z50" s="3" t="inlineStr"/>
      <c r="AA50" s="3" t="inlineStr">
        <is>
          <t>寄付月結</t>
        </is>
      </c>
      <c r="AB50">
        <f>IFERROR(VLOOKUP(Q50&amp;"",對照表!$A:$B,1,FALSE),"")</f>
        <v/>
      </c>
      <c r="AC50">
        <f>IFERROR(VLOOKUP(Q50&amp;"",對照表!$A:$B,2,FALSE),"")</f>
        <v/>
      </c>
    </row>
    <row r="51">
      <c r="A51" s="3" t="inlineStr">
        <is>
          <t>SF5119115815706</t>
        </is>
      </c>
      <c r="B51" s="3" t="n">
        <v>58424106123272</v>
      </c>
      <c r="C51" s="3" t="inlineStr">
        <is>
          <t>派送中</t>
        </is>
      </c>
      <c r="D51" s="3" t="inlineStr">
        <is>
          <t>2026-07-02 17:03:20</t>
        </is>
      </c>
      <c r="E51" s="3" t="n"/>
      <c r="F51" s="3" t="n">
        <v>2.56</v>
      </c>
      <c r="G51" s="3" t="n">
        <v>1</v>
      </c>
      <c r="H51" s="3" t="n"/>
      <c r="I51" s="3" t="inlineStr"/>
      <c r="J51" s="3" t="inlineStr">
        <is>
          <t>Keeta</t>
        </is>
      </c>
      <c r="K51" s="3" t="inlineStr">
        <is>
          <t>****9568</t>
        </is>
      </c>
      <c r="L51" s="3" t="n"/>
      <c r="M51" s="3" t="inlineStr">
        <is>
          <t>***** 物流中心5樓</t>
        </is>
      </c>
      <c r="N51" s="3" t="inlineStr">
        <is>
          <t>北区</t>
        </is>
      </c>
      <c r="O51" s="3" t="inlineStr">
        <is>
          <t>香港</t>
        </is>
      </c>
      <c r="P51" s="3" t="inlineStr">
        <is>
          <t>香港特别行政区</t>
        </is>
      </c>
      <c r="Q51" s="3" t="n">
        <v>721522291</v>
      </c>
      <c r="R51" s="3" t="inlineStr">
        <is>
          <t>McDonald&amp;apos;s (Trend Plaza II)</t>
        </is>
      </c>
      <c r="S51" s="3" t="inlineStr">
        <is>
          <t>****51801980</t>
        </is>
      </c>
      <c r="T51" s="3" t="inlineStr">
        <is>
          <t>****51801980</t>
        </is>
      </c>
      <c r="U51" s="3" t="inlineStr">
        <is>
          <t>***** 下W32號舖</t>
        </is>
      </c>
      <c r="V51" s="3" t="inlineStr">
        <is>
          <t>香港</t>
        </is>
      </c>
      <c r="W51" s="3" t="inlineStr">
        <is>
          <t>塑料袋【大】/ 扎出</t>
        </is>
      </c>
      <c r="X51" s="3" t="inlineStr">
        <is>
          <t>ESS-SFTS-OTMS</t>
        </is>
      </c>
      <c r="Y51" s="3" t="n"/>
      <c r="Z51" s="3" t="inlineStr"/>
      <c r="AA51" s="3" t="inlineStr">
        <is>
          <t>寄付月結</t>
        </is>
      </c>
      <c r="AB51">
        <f>IFERROR(VLOOKUP(Q51&amp;"",對照表!$A:$B,1,FALSE),"")</f>
        <v/>
      </c>
      <c r="AC51">
        <f>IFERROR(VLOOKUP(Q51&amp;"",對照表!$A:$B,2,FALSE),"")</f>
        <v/>
      </c>
    </row>
    <row r="52">
      <c r="A52" s="3" t="inlineStr">
        <is>
          <t>SF5119115816012</t>
        </is>
      </c>
      <c r="B52" s="3" t="n">
        <v>58424106156088</v>
      </c>
      <c r="C52" s="3" t="inlineStr">
        <is>
          <t>已簽收</t>
        </is>
      </c>
      <c r="D52" s="3" t="inlineStr">
        <is>
          <t>2026-07-02 15:47:43</t>
        </is>
      </c>
      <c r="E52" s="3" t="inlineStr">
        <is>
          <t>2026-07-03 12:01</t>
        </is>
      </c>
      <c r="F52" s="3" t="n">
        <v>58</v>
      </c>
      <c r="G52" s="3" t="n">
        <v>4</v>
      </c>
      <c r="H52" s="3" t="n"/>
      <c r="I52" s="3" t="inlineStr"/>
      <c r="J52" s="3" t="inlineStr">
        <is>
          <t>Keeta</t>
        </is>
      </c>
      <c r="K52" s="3" t="inlineStr">
        <is>
          <t>****9568</t>
        </is>
      </c>
      <c r="L52" s="3" t="n"/>
      <c r="M52" s="3" t="inlineStr">
        <is>
          <t>***** 物流中心5樓</t>
        </is>
      </c>
      <c r="N52" s="3" t="inlineStr">
        <is>
          <t>北区</t>
        </is>
      </c>
      <c r="O52" s="3" t="inlineStr">
        <is>
          <t>香港</t>
        </is>
      </c>
      <c r="P52" s="3" t="inlineStr">
        <is>
          <t>香港特别行政区</t>
        </is>
      </c>
      <c r="Q52" s="3" t="n">
        <v>571619</v>
      </c>
      <c r="R52" s="3" t="inlineStr">
        <is>
          <t>麥當勞(樂華)McDonalds</t>
        </is>
      </c>
      <c r="S52" s="3" t="inlineStr">
        <is>
          <t>****23051384</t>
        </is>
      </c>
      <c r="T52" s="3" t="inlineStr">
        <is>
          <t>****23051384</t>
        </is>
      </c>
      <c r="U52" s="3" t="inlineStr">
        <is>
          <t>***** 場310號舖</t>
        </is>
      </c>
      <c r="V52" s="3" t="inlineStr">
        <is>
          <t>香港</t>
        </is>
      </c>
      <c r="W52" s="3" t="inlineStr">
        <is>
          <t>纸袋【通版】/ 箱出</t>
        </is>
      </c>
      <c r="X52" s="3" t="inlineStr">
        <is>
          <t>ESS-SFTS-OTMS</t>
        </is>
      </c>
      <c r="Y52" s="3" t="n"/>
      <c r="Z52" s="3" t="inlineStr"/>
      <c r="AA52" s="3" t="inlineStr">
        <is>
          <t>寄付月結</t>
        </is>
      </c>
      <c r="AB52">
        <f>IFERROR(VLOOKUP(Q52&amp;"",對照表!$A:$B,1,FALSE),"")</f>
        <v/>
      </c>
      <c r="AC52">
        <f>IFERROR(VLOOKUP(Q52&amp;"",對照表!$A:$B,2,FALSE),"")</f>
        <v/>
      </c>
    </row>
    <row r="53">
      <c r="A53" s="3" t="inlineStr">
        <is>
          <t>SF5119115816419</t>
        </is>
      </c>
      <c r="B53" s="3" t="n">
        <v>58424106156168</v>
      </c>
      <c r="C53" s="3" t="inlineStr">
        <is>
          <t>已簽收</t>
        </is>
      </c>
      <c r="D53" s="3" t="inlineStr">
        <is>
          <t>2026-07-02 15:42:48</t>
        </is>
      </c>
      <c r="E53" s="3" t="inlineStr">
        <is>
          <t>2026-07-04 13:28</t>
        </is>
      </c>
      <c r="F53" s="3" t="n">
        <v>14.5</v>
      </c>
      <c r="G53" s="3" t="n">
        <v>1</v>
      </c>
      <c r="H53" s="3" t="n"/>
      <c r="I53" s="3" t="inlineStr"/>
      <c r="J53" s="3" t="inlineStr">
        <is>
          <t>Keeta</t>
        </is>
      </c>
      <c r="K53" s="3" t="inlineStr">
        <is>
          <t>****9568</t>
        </is>
      </c>
      <c r="L53" s="3" t="n"/>
      <c r="M53" s="3" t="inlineStr">
        <is>
          <t>***** 物流中心5樓</t>
        </is>
      </c>
      <c r="N53" s="3" t="inlineStr">
        <is>
          <t>北区</t>
        </is>
      </c>
      <c r="O53" s="3" t="inlineStr">
        <is>
          <t>香港</t>
        </is>
      </c>
      <c r="P53" s="3" t="inlineStr">
        <is>
          <t>香港特别行政区</t>
        </is>
      </c>
      <c r="Q53" s="3" t="n">
        <v>20260702</v>
      </c>
      <c r="R53" s="3" t="inlineStr">
        <is>
          <t>COMEBUYTEA(啟德SOGO)</t>
        </is>
      </c>
      <c r="S53" s="3" t="inlineStr">
        <is>
          <t>****2139</t>
        </is>
      </c>
      <c r="T53" s="3" t="inlineStr">
        <is>
          <t>****2139</t>
        </is>
      </c>
      <c r="U53" s="3" t="inlineStr">
        <is>
          <t>***** 9-20 舖</t>
        </is>
      </c>
      <c r="V53" s="3" t="inlineStr">
        <is>
          <t>香港</t>
        </is>
      </c>
      <c r="W53" s="3" t="inlineStr">
        <is>
          <t>纸袋【通版】/ 箱出</t>
        </is>
      </c>
      <c r="X53" s="3" t="inlineStr">
        <is>
          <t>ESS-SFTS-OTMS</t>
        </is>
      </c>
      <c r="Y53" s="3" t="n"/>
      <c r="Z53" s="3" t="inlineStr"/>
      <c r="AA53" s="3" t="inlineStr">
        <is>
          <t>寄付月結</t>
        </is>
      </c>
      <c r="AB53">
        <f>IFERROR(VLOOKUP(Q53&amp;"",對照表!$A:$B,1,FALSE),"")</f>
        <v/>
      </c>
      <c r="AC53">
        <f>IFERROR(VLOOKUP(Q53&amp;"",對照表!$A:$B,2,FALSE),"")</f>
        <v/>
      </c>
    </row>
    <row r="54">
      <c r="A54" s="3" t="inlineStr">
        <is>
          <t>SF5119115815937</t>
        </is>
      </c>
      <c r="B54" s="3" t="n">
        <v>58424106156072</v>
      </c>
      <c r="C54" s="3" t="inlineStr">
        <is>
          <t>已簽收</t>
        </is>
      </c>
      <c r="D54" s="3" t="inlineStr">
        <is>
          <t>2026-07-02 17:01:31</t>
        </is>
      </c>
      <c r="E54" s="3" t="inlineStr">
        <is>
          <t>2026-07-03 13:06</t>
        </is>
      </c>
      <c r="F54" s="3" t="n">
        <v>73.22</v>
      </c>
      <c r="G54" s="3" t="n">
        <v>6</v>
      </c>
      <c r="H54" s="3" t="n"/>
      <c r="I54" s="3" t="inlineStr"/>
      <c r="J54" s="3" t="inlineStr">
        <is>
          <t>Keeta</t>
        </is>
      </c>
      <c r="K54" s="3" t="inlineStr">
        <is>
          <t>****9568</t>
        </is>
      </c>
      <c r="L54" s="3" t="n"/>
      <c r="M54" s="3" t="inlineStr">
        <is>
          <t>***** 物流中心5樓</t>
        </is>
      </c>
      <c r="N54" s="3" t="inlineStr">
        <is>
          <t>北区</t>
        </is>
      </c>
      <c r="O54" s="3" t="inlineStr">
        <is>
          <t>香港</t>
        </is>
      </c>
      <c r="P54" s="3" t="inlineStr">
        <is>
          <t>香港特别行政区</t>
        </is>
      </c>
      <c r="Q54" s="3" t="n">
        <v>491642</v>
      </c>
      <c r="R54" s="3" t="inlineStr">
        <is>
          <t>麥當勞(頌安)McDonalds</t>
        </is>
      </c>
      <c r="S54" s="3" t="inlineStr">
        <is>
          <t>****26334380</t>
        </is>
      </c>
      <c r="T54" s="3" t="inlineStr">
        <is>
          <t>****26334380</t>
        </is>
      </c>
      <c r="U54" s="3" t="inlineStr">
        <is>
          <t>***** 安商場6號舖</t>
        </is>
      </c>
      <c r="V54" s="3" t="inlineStr">
        <is>
          <t>香港</t>
        </is>
      </c>
      <c r="W54" s="3" t="inlineStr">
        <is>
          <t>纸袋【通版】/ 箱出, 机纸/小票纸 / 包出</t>
        </is>
      </c>
      <c r="X54" s="3" t="inlineStr">
        <is>
          <t>ESS-SFTS-OTMS</t>
        </is>
      </c>
      <c r="Y54" s="3" t="n"/>
      <c r="Z54" s="3" t="inlineStr"/>
      <c r="AA54" s="3" t="inlineStr">
        <is>
          <t>寄付月結</t>
        </is>
      </c>
      <c r="AB54">
        <f>IFERROR(VLOOKUP(Q54&amp;"",對照表!$A:$B,1,FALSE),"")</f>
        <v/>
      </c>
      <c r="AC54">
        <f>IFERROR(VLOOKUP(Q54&amp;"",對照表!$A:$B,2,FALSE),"")</f>
        <v/>
      </c>
    </row>
    <row r="55">
      <c r="A55" s="3" t="inlineStr">
        <is>
          <t>SF5119115816003</t>
        </is>
      </c>
      <c r="B55" s="3" t="n">
        <v>58424106156087</v>
      </c>
      <c r="C55" s="3" t="inlineStr">
        <is>
          <t>已簽收</t>
        </is>
      </c>
      <c r="D55" s="3" t="inlineStr">
        <is>
          <t>2026-07-02 15:42:52</t>
        </is>
      </c>
      <c r="E55" s="3" t="inlineStr">
        <is>
          <t>2026-07-03 11:08</t>
        </is>
      </c>
      <c r="F55" s="3" t="n">
        <v>14.5</v>
      </c>
      <c r="G55" s="3" t="n">
        <v>1</v>
      </c>
      <c r="H55" s="3" t="n"/>
      <c r="I55" s="3" t="inlineStr"/>
      <c r="J55" s="3" t="inlineStr">
        <is>
          <t>Keeta</t>
        </is>
      </c>
      <c r="K55" s="3" t="inlineStr">
        <is>
          <t>****9568</t>
        </is>
      </c>
      <c r="L55" s="3" t="n"/>
      <c r="M55" s="3" t="inlineStr">
        <is>
          <t>***** 物流中心5樓</t>
        </is>
      </c>
      <c r="N55" s="3" t="inlineStr">
        <is>
          <t>北区</t>
        </is>
      </c>
      <c r="O55" s="3" t="inlineStr">
        <is>
          <t>香港</t>
        </is>
      </c>
      <c r="P55" s="3" t="inlineStr">
        <is>
          <t>香港特别行政区</t>
        </is>
      </c>
      <c r="Q55" s="3" t="n">
        <v>721529405</v>
      </c>
      <c r="R55" s="3" t="inlineStr">
        <is>
          <t>弼哈海南雞(九龍灣全新推薦, 高質海南雞, 香料全部進口)</t>
        </is>
      </c>
      <c r="S55" s="3" t="inlineStr">
        <is>
          <t>****4119</t>
        </is>
      </c>
      <c r="T55" s="3" t="inlineStr">
        <is>
          <t>****4119</t>
        </is>
      </c>
      <c r="U55" s="3" t="inlineStr">
        <is>
          <t>*****  1樓8號鋪</t>
        </is>
      </c>
      <c r="V55" s="3" t="inlineStr">
        <is>
          <t>香港</t>
        </is>
      </c>
      <c r="W55" s="3" t="inlineStr">
        <is>
          <t>纸袋【通版】/ 箱出</t>
        </is>
      </c>
      <c r="X55" s="3" t="inlineStr">
        <is>
          <t>ESS-SFTS-OTMS</t>
        </is>
      </c>
      <c r="Y55" s="3" t="n"/>
      <c r="Z55" s="3" t="inlineStr"/>
      <c r="AA55" s="3" t="inlineStr">
        <is>
          <t>寄付月結</t>
        </is>
      </c>
      <c r="AB55">
        <f>IFERROR(VLOOKUP(Q55&amp;"",對照表!$A:$B,1,FALSE),"")</f>
        <v/>
      </c>
      <c r="AC55">
        <f>IFERROR(VLOOKUP(Q55&amp;"",對照表!$A:$B,2,FALSE),"")</f>
        <v/>
      </c>
    </row>
    <row r="56">
      <c r="A56" s="3" t="inlineStr">
        <is>
          <t>SF5119115815788</t>
        </is>
      </c>
      <c r="B56" s="3" t="n">
        <v>58424106156043</v>
      </c>
      <c r="C56" s="3" t="inlineStr">
        <is>
          <t>已簽收</t>
        </is>
      </c>
      <c r="D56" s="3" t="inlineStr">
        <is>
          <t>2026-07-02 15:44:07</t>
        </is>
      </c>
      <c r="E56" s="3" t="inlineStr">
        <is>
          <t>2026-07-03 09:00</t>
        </is>
      </c>
      <c r="F56" s="3" t="n">
        <v>29</v>
      </c>
      <c r="G56" s="3" t="n">
        <v>2</v>
      </c>
      <c r="H56" s="3" t="n"/>
      <c r="I56" s="3" t="inlineStr"/>
      <c r="J56" s="3" t="inlineStr">
        <is>
          <t>Keeta</t>
        </is>
      </c>
      <c r="K56" s="3" t="inlineStr">
        <is>
          <t>****9568</t>
        </is>
      </c>
      <c r="L56" s="3" t="n"/>
      <c r="M56" s="3" t="inlineStr">
        <is>
          <t>***** 物流中心5樓</t>
        </is>
      </c>
      <c r="N56" s="3" t="inlineStr">
        <is>
          <t>北区</t>
        </is>
      </c>
      <c r="O56" s="3" t="inlineStr">
        <is>
          <t>香港</t>
        </is>
      </c>
      <c r="P56" s="3" t="inlineStr">
        <is>
          <t>香港特别行政区</t>
        </is>
      </c>
      <c r="Q56" s="3" t="n">
        <v>596292</v>
      </c>
      <c r="R56" s="3" t="inlineStr">
        <is>
          <t>麥當勞(皇后大道中)McDonalds</t>
        </is>
      </c>
      <c r="S56" s="3" t="inlineStr">
        <is>
          <t>****25418667</t>
        </is>
      </c>
      <c r="T56" s="3" t="inlineStr">
        <is>
          <t>****25418667</t>
        </is>
      </c>
      <c r="U56" s="3" t="inlineStr">
        <is>
          <t>***** 2A&amp;2B舖</t>
        </is>
      </c>
      <c r="V56" s="3" t="inlineStr">
        <is>
          <t>香港</t>
        </is>
      </c>
      <c r="W56" s="3" t="inlineStr">
        <is>
          <t>纸袋【通版】/ 箱出</t>
        </is>
      </c>
      <c r="X56" s="3" t="inlineStr">
        <is>
          <t>ESS-SFTS-OTMS</t>
        </is>
      </c>
      <c r="Y56" s="3" t="n"/>
      <c r="Z56" s="3" t="inlineStr"/>
      <c r="AA56" s="3" t="inlineStr">
        <is>
          <t>寄付月結</t>
        </is>
      </c>
      <c r="AB56">
        <f>IFERROR(VLOOKUP(Q56&amp;"",對照表!$A:$B,1,FALSE),"")</f>
        <v/>
      </c>
      <c r="AC56">
        <f>IFERROR(VLOOKUP(Q56&amp;"",對照表!$A:$B,2,FALSE),"")</f>
        <v/>
      </c>
    </row>
    <row r="57">
      <c r="A57" s="3" t="inlineStr">
        <is>
          <t>SF5119115815964</t>
        </is>
      </c>
      <c r="B57" s="3" t="n">
        <v>58424106156078</v>
      </c>
      <c r="C57" s="3" t="inlineStr">
        <is>
          <t>已簽收</t>
        </is>
      </c>
      <c r="D57" s="3" t="inlineStr">
        <is>
          <t>2026-07-02 16:58:05</t>
        </is>
      </c>
      <c r="E57" s="3" t="inlineStr">
        <is>
          <t>2026-07-03 09:22</t>
        </is>
      </c>
      <c r="F57" s="3" t="n">
        <v>14.5</v>
      </c>
      <c r="G57" s="3" t="n">
        <v>1</v>
      </c>
      <c r="H57" s="3" t="n"/>
      <c r="I57" s="3" t="inlineStr"/>
      <c r="J57" s="3" t="inlineStr">
        <is>
          <t>Keeta</t>
        </is>
      </c>
      <c r="K57" s="3" t="inlineStr">
        <is>
          <t>****9568</t>
        </is>
      </c>
      <c r="L57" s="3" t="n"/>
      <c r="M57" s="3" t="inlineStr">
        <is>
          <t>***** 物流中心5樓</t>
        </is>
      </c>
      <c r="N57" s="3" t="inlineStr">
        <is>
          <t>北区</t>
        </is>
      </c>
      <c r="O57" s="3" t="inlineStr">
        <is>
          <t>香港</t>
        </is>
      </c>
      <c r="P57" s="3" t="inlineStr">
        <is>
          <t>香港特别行政区</t>
        </is>
      </c>
      <c r="Q57" s="3" t="n">
        <v>721525425</v>
      </c>
      <c r="R57" s="3" t="inlineStr">
        <is>
          <t>青木食堂</t>
        </is>
      </c>
      <c r="S57" s="3" t="inlineStr">
        <is>
          <t>****4427</t>
        </is>
      </c>
      <c r="T57" s="3" t="inlineStr">
        <is>
          <t>****4427</t>
        </is>
      </c>
      <c r="U57" s="3" t="inlineStr">
        <is>
          <t>***** 11樓15室</t>
        </is>
      </c>
      <c r="V57" s="3" t="inlineStr">
        <is>
          <t>香港</t>
        </is>
      </c>
      <c r="W57" s="3" t="inlineStr">
        <is>
          <t>纸袋【通版】/ 箱出</t>
        </is>
      </c>
      <c r="X57" s="3" t="inlineStr">
        <is>
          <t>ESS-SFTS-OTMS</t>
        </is>
      </c>
      <c r="Y57" s="3" t="n"/>
      <c r="Z57" s="3" t="inlineStr"/>
      <c r="AA57" s="3" t="inlineStr">
        <is>
          <t>寄付月結</t>
        </is>
      </c>
      <c r="AB57">
        <f>IFERROR(VLOOKUP(Q57&amp;"",對照表!$A:$B,1,FALSE),"")</f>
        <v/>
      </c>
      <c r="AC57">
        <f>IFERROR(VLOOKUP(Q57&amp;"",對照表!$A:$B,2,FALSE),"")</f>
        <v/>
      </c>
    </row>
    <row r="58">
      <c r="A58" s="3" t="inlineStr">
        <is>
          <t>SF5119115815919</t>
        </is>
      </c>
      <c r="B58" s="3" t="n">
        <v>58424106156069</v>
      </c>
      <c r="C58" s="3" t="inlineStr">
        <is>
          <t>已簽收</t>
        </is>
      </c>
      <c r="D58" s="3" t="inlineStr">
        <is>
          <t>2026-07-02 15:42:52</t>
        </is>
      </c>
      <c r="E58" s="3" t="inlineStr">
        <is>
          <t>2026-07-03 10:30</t>
        </is>
      </c>
      <c r="F58" s="3" t="n">
        <v>14.5</v>
      </c>
      <c r="G58" s="3" t="n">
        <v>1</v>
      </c>
      <c r="H58" s="3" t="n"/>
      <c r="I58" s="3" t="inlineStr"/>
      <c r="J58" s="3" t="inlineStr">
        <is>
          <t>Keeta</t>
        </is>
      </c>
      <c r="K58" s="3" t="inlineStr">
        <is>
          <t>****9568</t>
        </is>
      </c>
      <c r="L58" s="3" t="n"/>
      <c r="M58" s="3" t="inlineStr">
        <is>
          <t>***** 物流中心5樓</t>
        </is>
      </c>
      <c r="N58" s="3" t="inlineStr">
        <is>
          <t>北区</t>
        </is>
      </c>
      <c r="O58" s="3" t="inlineStr">
        <is>
          <t>香港</t>
        </is>
      </c>
      <c r="P58" s="3" t="inlineStr">
        <is>
          <t>香港特别行政区</t>
        </is>
      </c>
      <c r="Q58" s="3" t="n">
        <v>721523398</v>
      </c>
      <c r="R58" s="3" t="inlineStr">
        <is>
          <t>Mr Oppa Kitchen</t>
        </is>
      </c>
      <c r="S58" s="3" t="inlineStr">
        <is>
          <t>****4723884</t>
        </is>
      </c>
      <c r="T58" s="3" t="inlineStr">
        <is>
          <t>****4723884</t>
        </is>
      </c>
      <c r="U58" s="3" t="inlineStr">
        <is>
          <t>***** 車區餐車一號</t>
        </is>
      </c>
      <c r="V58" s="3" t="inlineStr">
        <is>
          <t>香港</t>
        </is>
      </c>
      <c r="W58" s="3" t="inlineStr">
        <is>
          <t>纸袋【通版】/ 箱出</t>
        </is>
      </c>
      <c r="X58" s="3" t="inlineStr">
        <is>
          <t>ESS-SFTS-OTMS</t>
        </is>
      </c>
      <c r="Y58" s="3" t="n"/>
      <c r="Z58" s="3" t="inlineStr"/>
      <c r="AA58" s="3" t="inlineStr">
        <is>
          <t>寄付月結</t>
        </is>
      </c>
      <c r="AB58">
        <f>IFERROR(VLOOKUP(Q58&amp;"",對照表!$A:$B,1,FALSE),"")</f>
        <v/>
      </c>
      <c r="AC58">
        <f>IFERROR(VLOOKUP(Q58&amp;"",對照表!$A:$B,2,FALSE),"")</f>
        <v/>
      </c>
    </row>
    <row r="59">
      <c r="A59" s="3" t="inlineStr">
        <is>
          <t>SF5119115816182</t>
        </is>
      </c>
      <c r="B59" s="3" t="n">
        <v>58424106156125</v>
      </c>
      <c r="C59" s="3" t="inlineStr">
        <is>
          <t>已簽收</t>
        </is>
      </c>
      <c r="D59" s="3" t="inlineStr">
        <is>
          <t>2026-07-02 14:20:09</t>
        </is>
      </c>
      <c r="E59" s="3" t="inlineStr">
        <is>
          <t>2026-07-03 12:45</t>
        </is>
      </c>
      <c r="F59" s="3" t="n">
        <v>4.45</v>
      </c>
      <c r="G59" s="3" t="n">
        <v>1</v>
      </c>
      <c r="H59" s="3" t="n"/>
      <c r="I59" s="3" t="inlineStr"/>
      <c r="J59" s="3" t="inlineStr">
        <is>
          <t>Keeta</t>
        </is>
      </c>
      <c r="K59" s="3" t="inlineStr">
        <is>
          <t>****9568</t>
        </is>
      </c>
      <c r="L59" s="3" t="n"/>
      <c r="M59" s="3" t="inlineStr">
        <is>
          <t>***** 物流中心5樓</t>
        </is>
      </c>
      <c r="N59" s="3" t="inlineStr">
        <is>
          <t>北区</t>
        </is>
      </c>
      <c r="O59" s="3" t="inlineStr">
        <is>
          <t>香港</t>
        </is>
      </c>
      <c r="P59" s="3" t="inlineStr">
        <is>
          <t>香港特别行政区</t>
        </is>
      </c>
      <c r="Q59" s="3" t="n">
        <v>608024</v>
      </c>
      <c r="R59" s="3" t="inlineStr">
        <is>
          <t>秋田冰室（調景嶺店）</t>
        </is>
      </c>
      <c r="S59" s="3" t="inlineStr">
        <is>
          <t>****67371100</t>
        </is>
      </c>
      <c r="T59" s="3" t="inlineStr">
        <is>
          <t>****67371100</t>
        </is>
      </c>
      <c r="U59" s="3" t="inlineStr">
        <is>
          <t>***** N O,NT</t>
        </is>
      </c>
      <c r="V59" s="3" t="inlineStr">
        <is>
          <t>香港</t>
        </is>
      </c>
      <c r="W59" s="3" t="inlineStr">
        <is>
          <t>机纸/小票纸 / 包出</t>
        </is>
      </c>
      <c r="X59" s="3" t="inlineStr">
        <is>
          <t>ESS-SFTS-OTMS</t>
        </is>
      </c>
      <c r="Y59" s="3" t="n"/>
      <c r="Z59" s="3" t="inlineStr"/>
      <c r="AA59" s="3" t="inlineStr">
        <is>
          <t>寄付月結</t>
        </is>
      </c>
      <c r="AB59">
        <f>IFERROR(VLOOKUP(Q59&amp;"",對照表!$A:$B,1,FALSE),"")</f>
        <v/>
      </c>
      <c r="AC59">
        <f>IFERROR(VLOOKUP(Q59&amp;"",對照表!$A:$B,2,FALSE),"")</f>
        <v/>
      </c>
    </row>
    <row r="60">
      <c r="A60" s="3" t="inlineStr">
        <is>
          <t>SF5119115816058</t>
        </is>
      </c>
      <c r="B60" s="3" t="n">
        <v>58424106156097</v>
      </c>
      <c r="C60" s="3" t="inlineStr">
        <is>
          <t>已簽收</t>
        </is>
      </c>
      <c r="D60" s="3" t="inlineStr">
        <is>
          <t>2026-07-02 14:20:10</t>
        </is>
      </c>
      <c r="E60" s="3" t="inlineStr">
        <is>
          <t>2026-07-03 09:39</t>
        </is>
      </c>
      <c r="F60" s="3" t="n">
        <v>4.45</v>
      </c>
      <c r="G60" s="3" t="n">
        <v>1</v>
      </c>
      <c r="H60" s="3" t="n"/>
      <c r="I60" s="3" t="inlineStr"/>
      <c r="J60" s="3" t="inlineStr">
        <is>
          <t>Keeta</t>
        </is>
      </c>
      <c r="K60" s="3" t="inlineStr">
        <is>
          <t>****9568</t>
        </is>
      </c>
      <c r="L60" s="3" t="n"/>
      <c r="M60" s="3" t="inlineStr">
        <is>
          <t>***** 物流中心5樓</t>
        </is>
      </c>
      <c r="N60" s="3" t="inlineStr">
        <is>
          <t>北区</t>
        </is>
      </c>
      <c r="O60" s="3" t="inlineStr">
        <is>
          <t>香港</t>
        </is>
      </c>
      <c r="P60" s="3" t="inlineStr">
        <is>
          <t>香港特别行政区</t>
        </is>
      </c>
      <c r="Q60" s="3" t="n">
        <v>491448</v>
      </c>
      <c r="R60" s="3" t="inlineStr">
        <is>
          <t>KFC肯德基(家維邨商場)</t>
        </is>
      </c>
      <c r="S60" s="3" t="inlineStr">
        <is>
          <t>****27961211</t>
        </is>
      </c>
      <c r="T60" s="3" t="inlineStr">
        <is>
          <t>****27961211</t>
        </is>
      </c>
      <c r="U60" s="3" t="inlineStr">
        <is>
          <t>***** 及LG5號舖</t>
        </is>
      </c>
      <c r="V60" s="3" t="inlineStr">
        <is>
          <t>香港</t>
        </is>
      </c>
      <c r="W60" s="3" t="inlineStr">
        <is>
          <t>机纸/小票纸 / 包出</t>
        </is>
      </c>
      <c r="X60" s="3" t="inlineStr">
        <is>
          <t>ESS-SFTS-OTMS</t>
        </is>
      </c>
      <c r="Y60" s="3" t="n"/>
      <c r="Z60" s="3" t="inlineStr"/>
      <c r="AA60" s="3" t="inlineStr">
        <is>
          <t>寄付月結</t>
        </is>
      </c>
      <c r="AB60">
        <f>IFERROR(VLOOKUP(Q60&amp;"",對照表!$A:$B,1,FALSE),"")</f>
        <v/>
      </c>
      <c r="AC60">
        <f>IFERROR(VLOOKUP(Q60&amp;"",對照表!$A:$B,2,FALSE),"")</f>
        <v/>
      </c>
    </row>
    <row r="61">
      <c r="A61" s="3" t="inlineStr">
        <is>
          <t>SF5119115816359</t>
        </is>
      </c>
      <c r="B61" s="3" t="n">
        <v>58424106156157</v>
      </c>
      <c r="C61" s="3" t="inlineStr">
        <is>
          <t>已簽收</t>
        </is>
      </c>
      <c r="D61" s="3" t="inlineStr">
        <is>
          <t>2026-07-02 15:44:12</t>
        </is>
      </c>
      <c r="E61" s="3" t="inlineStr">
        <is>
          <t>2026-07-03 13:39</t>
        </is>
      </c>
      <c r="F61" s="3" t="n">
        <v>29</v>
      </c>
      <c r="G61" s="3" t="n">
        <v>2</v>
      </c>
      <c r="H61" s="3" t="n"/>
      <c r="I61" s="3" t="inlineStr"/>
      <c r="J61" s="3" t="inlineStr">
        <is>
          <t>Keeta</t>
        </is>
      </c>
      <c r="K61" s="3" t="inlineStr">
        <is>
          <t>****9568</t>
        </is>
      </c>
      <c r="L61" s="3" t="n"/>
      <c r="M61" s="3" t="inlineStr">
        <is>
          <t>***** 物流中心5樓</t>
        </is>
      </c>
      <c r="N61" s="3" t="inlineStr">
        <is>
          <t>北区</t>
        </is>
      </c>
      <c r="O61" s="3" t="inlineStr">
        <is>
          <t>香港</t>
        </is>
      </c>
      <c r="P61" s="3" t="inlineStr">
        <is>
          <t>香港特别行政区</t>
        </is>
      </c>
      <c r="Q61" s="3" t="n">
        <v>475184</v>
      </c>
      <c r="R61" s="3" t="inlineStr">
        <is>
          <t>麥當勞(新達廣場II)McDonalds</t>
        </is>
      </c>
      <c r="S61" s="3" t="inlineStr">
        <is>
          <t>****26529900</t>
        </is>
      </c>
      <c r="T61" s="3" t="inlineStr">
        <is>
          <t>****26529900</t>
        </is>
      </c>
      <c r="U61" s="3" t="inlineStr">
        <is>
          <t>***** -085號舖</t>
        </is>
      </c>
      <c r="V61" s="3" t="inlineStr">
        <is>
          <t>香港</t>
        </is>
      </c>
      <c r="W61" s="3" t="inlineStr">
        <is>
          <t>纸袋【通版】/ 箱出</t>
        </is>
      </c>
      <c r="X61" s="3" t="inlineStr">
        <is>
          <t>ESS-SFTS-OTMS</t>
        </is>
      </c>
      <c r="Y61" s="3" t="n"/>
      <c r="Z61" s="3" t="inlineStr"/>
      <c r="AA61" s="3" t="inlineStr">
        <is>
          <t>寄付月結</t>
        </is>
      </c>
      <c r="AB61">
        <f>IFERROR(VLOOKUP(Q61&amp;"",對照表!$A:$B,1,FALSE),"")</f>
        <v/>
      </c>
      <c r="AC61">
        <f>IFERROR(VLOOKUP(Q61&amp;"",對照表!$A:$B,2,FALSE),"")</f>
        <v/>
      </c>
    </row>
    <row r="62">
      <c r="A62" s="3" t="inlineStr">
        <is>
          <t>SF5119115815885</t>
        </is>
      </c>
      <c r="B62" s="3" t="n">
        <v>58424106156062</v>
      </c>
      <c r="C62" s="3" t="inlineStr">
        <is>
          <t>已簽收</t>
        </is>
      </c>
      <c r="D62" s="3" t="inlineStr">
        <is>
          <t>2026-07-02 14:43:25</t>
        </is>
      </c>
      <c r="E62" s="3" t="inlineStr">
        <is>
          <t>2026-07-03 11:06</t>
        </is>
      </c>
      <c r="F62" s="3" t="n">
        <v>0.67</v>
      </c>
      <c r="G62" s="3" t="n">
        <v>1</v>
      </c>
      <c r="H62" s="3" t="n"/>
      <c r="I62" s="3" t="inlineStr"/>
      <c r="J62" s="3" t="inlineStr">
        <is>
          <t>Keeta</t>
        </is>
      </c>
      <c r="K62" s="3" t="inlineStr">
        <is>
          <t>****9568</t>
        </is>
      </c>
      <c r="L62" s="3" t="n"/>
      <c r="M62" s="3" t="inlineStr">
        <is>
          <t>***** 物流中心5樓</t>
        </is>
      </c>
      <c r="N62" s="3" t="inlineStr">
        <is>
          <t>北区</t>
        </is>
      </c>
      <c r="O62" s="3" t="inlineStr">
        <is>
          <t>香港</t>
        </is>
      </c>
      <c r="P62" s="3" t="inlineStr">
        <is>
          <t>香港特别行政区</t>
        </is>
      </c>
      <c r="Q62" s="3" t="n">
        <v>455557</v>
      </c>
      <c r="R62" s="3" t="inlineStr">
        <is>
          <t>一口齊格仔餅雞蛋仔專門店</t>
        </is>
      </c>
      <c r="S62" s="3" t="inlineStr">
        <is>
          <t>****55463069</t>
        </is>
      </c>
      <c r="T62" s="3" t="inlineStr">
        <is>
          <t>****55463069</t>
        </is>
      </c>
      <c r="U62" s="3" t="inlineStr">
        <is>
          <t>***** 號地下3號舖</t>
        </is>
      </c>
      <c r="V62" s="3" t="inlineStr">
        <is>
          <t>香港</t>
        </is>
      </c>
      <c r="W62" s="3" t="inlineStr">
        <is>
          <t>机纸/小票纸 / 包出</t>
        </is>
      </c>
      <c r="X62" s="3" t="inlineStr">
        <is>
          <t>ESS-SFTS-OTMS</t>
        </is>
      </c>
      <c r="Y62" s="3" t="n"/>
      <c r="Z62" s="3" t="inlineStr"/>
      <c r="AA62" s="3" t="inlineStr">
        <is>
          <t>寄付月結</t>
        </is>
      </c>
      <c r="AB62">
        <f>IFERROR(VLOOKUP(Q62&amp;"",對照表!$A:$B,1,FALSE),"")</f>
        <v/>
      </c>
      <c r="AC62">
        <f>IFERROR(VLOOKUP(Q62&amp;"",對照表!$A:$B,2,FALSE),"")</f>
        <v/>
      </c>
    </row>
    <row r="63">
      <c r="A63" s="3" t="inlineStr">
        <is>
          <t>SF5119115816234</t>
        </is>
      </c>
      <c r="B63" s="3" t="n">
        <v>58424106156132</v>
      </c>
      <c r="C63" s="3" t="inlineStr">
        <is>
          <t>已簽收</t>
        </is>
      </c>
      <c r="D63" s="3" t="inlineStr">
        <is>
          <t>2026-07-02 15:43:10</t>
        </is>
      </c>
      <c r="E63" s="3" t="inlineStr">
        <is>
          <t>2026-07-03 18:26</t>
        </is>
      </c>
      <c r="F63" s="3" t="n">
        <v>72.5</v>
      </c>
      <c r="G63" s="3" t="n">
        <v>5</v>
      </c>
      <c r="H63" s="3" t="n"/>
      <c r="I63" s="3" t="inlineStr"/>
      <c r="J63" s="3" t="inlineStr">
        <is>
          <t>Keeta</t>
        </is>
      </c>
      <c r="K63" s="3" t="inlineStr">
        <is>
          <t>****9568</t>
        </is>
      </c>
      <c r="L63" s="3" t="n"/>
      <c r="M63" s="3" t="inlineStr">
        <is>
          <t>***** 物流中心5樓</t>
        </is>
      </c>
      <c r="N63" s="3" t="inlineStr">
        <is>
          <t>北区</t>
        </is>
      </c>
      <c r="O63" s="3" t="inlineStr">
        <is>
          <t>香港</t>
        </is>
      </c>
      <c r="P63" s="3" t="inlineStr">
        <is>
          <t>香港特别行政区</t>
        </is>
      </c>
      <c r="Q63" s="3" t="n">
        <v>491487</v>
      </c>
      <c r="R63" s="3" t="inlineStr">
        <is>
          <t>麥當勞(元朗南)McDonalds</t>
        </is>
      </c>
      <c r="S63" s="3" t="inlineStr">
        <is>
          <t>****24430738</t>
        </is>
      </c>
      <c r="T63" s="3" t="inlineStr">
        <is>
          <t>****24430738</t>
        </is>
      </c>
      <c r="U63" s="3" t="inlineStr">
        <is>
          <t>***** 下1&amp;11舖</t>
        </is>
      </c>
      <c r="V63" s="3" t="inlineStr">
        <is>
          <t>香港</t>
        </is>
      </c>
      <c r="W63" s="3" t="inlineStr">
        <is>
          <t>纸袋【通版】/ 箱出</t>
        </is>
      </c>
      <c r="X63" s="3" t="inlineStr">
        <is>
          <t>ESS-SFTS-OTMS</t>
        </is>
      </c>
      <c r="Y63" s="3" t="n"/>
      <c r="Z63" s="3" t="inlineStr"/>
      <c r="AA63" s="3" t="inlineStr">
        <is>
          <t>寄付月結</t>
        </is>
      </c>
      <c r="AB63">
        <f>IFERROR(VLOOKUP(Q63&amp;"",對照表!$A:$B,1,FALSE),"")</f>
        <v/>
      </c>
      <c r="AC63">
        <f>IFERROR(VLOOKUP(Q63&amp;"",對照表!$A:$B,2,FALSE),"")</f>
        <v/>
      </c>
    </row>
    <row r="64">
      <c r="A64" s="3" t="inlineStr">
        <is>
          <t>SF5119115816289</t>
        </is>
      </c>
      <c r="B64" s="3" t="n">
        <v>58424106156145</v>
      </c>
      <c r="C64" s="3" t="inlineStr">
        <is>
          <t>已簽收</t>
        </is>
      </c>
      <c r="D64" s="3" t="inlineStr">
        <is>
          <t>2026-07-02 15:38:56</t>
        </is>
      </c>
      <c r="E64" s="3" t="inlineStr">
        <is>
          <t>2026-07-03 11:48</t>
        </is>
      </c>
      <c r="F64" s="3" t="n">
        <v>43.5</v>
      </c>
      <c r="G64" s="3" t="n">
        <v>3</v>
      </c>
      <c r="H64" s="3" t="n"/>
      <c r="I64" s="3" t="inlineStr"/>
      <c r="J64" s="3" t="inlineStr">
        <is>
          <t>Keeta</t>
        </is>
      </c>
      <c r="K64" s="3" t="inlineStr">
        <is>
          <t>****9568</t>
        </is>
      </c>
      <c r="L64" s="3" t="n"/>
      <c r="M64" s="3" t="inlineStr">
        <is>
          <t>***** 物流中心5樓</t>
        </is>
      </c>
      <c r="N64" s="3" t="inlineStr">
        <is>
          <t>北区</t>
        </is>
      </c>
      <c r="O64" s="3" t="inlineStr">
        <is>
          <t>香港</t>
        </is>
      </c>
      <c r="P64" s="3" t="inlineStr">
        <is>
          <t>香港特别行政区</t>
        </is>
      </c>
      <c r="Q64" s="3" t="n">
        <v>453966</v>
      </c>
      <c r="R64" s="3" t="inlineStr">
        <is>
          <t>麥當勞(樂富II)McDonalds</t>
        </is>
      </c>
      <c r="S64" s="3" t="inlineStr">
        <is>
          <t>****23385032</t>
        </is>
      </c>
      <c r="T64" s="3" t="inlineStr">
        <is>
          <t>****23385032</t>
        </is>
      </c>
      <c r="U64" s="3" t="inlineStr">
        <is>
          <t>***** 3114號舖</t>
        </is>
      </c>
      <c r="V64" s="3" t="inlineStr">
        <is>
          <t>香港</t>
        </is>
      </c>
      <c r="W64" s="3" t="inlineStr">
        <is>
          <t>纸袋【通版】/ 箱出</t>
        </is>
      </c>
      <c r="X64" s="3" t="inlineStr">
        <is>
          <t>ESS-SFTS-OTMS</t>
        </is>
      </c>
      <c r="Y64" s="3" t="n"/>
      <c r="Z64" s="3" t="inlineStr"/>
      <c r="AA64" s="3" t="inlineStr">
        <is>
          <t>寄付月結</t>
        </is>
      </c>
      <c r="AB64">
        <f>IFERROR(VLOOKUP(Q64&amp;"",對照表!$A:$B,1,FALSE),"")</f>
        <v/>
      </c>
      <c r="AC64">
        <f>IFERROR(VLOOKUP(Q64&amp;"",對照表!$A:$B,2,FALSE),"")</f>
        <v/>
      </c>
    </row>
    <row r="65">
      <c r="A65" s="3" t="inlineStr">
        <is>
          <t>SF5119115816446</t>
        </is>
      </c>
      <c r="B65" s="3" t="n">
        <v>58424106156175</v>
      </c>
      <c r="C65" s="3" t="inlineStr">
        <is>
          <t>已簽收</t>
        </is>
      </c>
      <c r="D65" s="3" t="inlineStr">
        <is>
          <t>2026-07-02 15:43:05</t>
        </is>
      </c>
      <c r="E65" s="3" t="inlineStr">
        <is>
          <t>2026-07-03 08:59</t>
        </is>
      </c>
      <c r="F65" s="3" t="n">
        <v>14.5</v>
      </c>
      <c r="G65" s="3" t="n">
        <v>1</v>
      </c>
      <c r="H65" s="3" t="n"/>
      <c r="I65" s="3" t="inlineStr"/>
      <c r="J65" s="3" t="inlineStr">
        <is>
          <t>Keeta</t>
        </is>
      </c>
      <c r="K65" s="3" t="inlineStr">
        <is>
          <t>****9568</t>
        </is>
      </c>
      <c r="L65" s="3" t="n"/>
      <c r="M65" s="3" t="inlineStr">
        <is>
          <t>***** 物流中心5樓</t>
        </is>
      </c>
      <c r="N65" s="3" t="inlineStr">
        <is>
          <t>北区</t>
        </is>
      </c>
      <c r="O65" s="3" t="inlineStr">
        <is>
          <t>香港</t>
        </is>
      </c>
      <c r="P65" s="3" t="inlineStr">
        <is>
          <t>香港特别行政区</t>
        </is>
      </c>
      <c r="Q65" s="3" t="n">
        <v>721529410</v>
      </c>
      <c r="R65" s="3" t="inlineStr">
        <is>
          <t>嚐聚館</t>
        </is>
      </c>
      <c r="S65" s="3" t="inlineStr">
        <is>
          <t>****9592665</t>
        </is>
      </c>
      <c r="T65" s="3" t="inlineStr">
        <is>
          <t>****9592665</t>
        </is>
      </c>
      <c r="U65" s="3" t="inlineStr">
        <is>
          <t>***** 廈15號地鋪</t>
        </is>
      </c>
      <c r="V65" s="3" t="inlineStr">
        <is>
          <t>香港</t>
        </is>
      </c>
      <c r="W65" s="3" t="inlineStr">
        <is>
          <t>纸袋【通版】/ 箱出</t>
        </is>
      </c>
      <c r="X65" s="3" t="inlineStr">
        <is>
          <t>ESS-SFTS-OTMS</t>
        </is>
      </c>
      <c r="Y65" s="3" t="n"/>
      <c r="Z65" s="3" t="inlineStr"/>
      <c r="AA65" s="3" t="inlineStr">
        <is>
          <t>寄付月結</t>
        </is>
      </c>
      <c r="AB65">
        <f>IFERROR(VLOOKUP(Q65&amp;"",對照表!$A:$B,1,FALSE),"")</f>
        <v/>
      </c>
      <c r="AC65">
        <f>IFERROR(VLOOKUP(Q65&amp;"",對照表!$A:$B,2,FALSE),"")</f>
        <v/>
      </c>
    </row>
    <row r="66">
      <c r="A66" s="3" t="inlineStr">
        <is>
          <t>SF5119115816216</t>
        </is>
      </c>
      <c r="B66" s="3" t="n">
        <v>58424106156131</v>
      </c>
      <c r="C66" s="3" t="inlineStr">
        <is>
          <t>已簽收</t>
        </is>
      </c>
      <c r="D66" s="3" t="inlineStr">
        <is>
          <t>2026-07-02 16:40:06</t>
        </is>
      </c>
      <c r="E66" s="3" t="inlineStr">
        <is>
          <t>2026-07-03 11:37</t>
        </is>
      </c>
      <c r="F66" s="3" t="n">
        <v>5.7</v>
      </c>
      <c r="G66" s="3" t="n">
        <v>1</v>
      </c>
      <c r="H66" s="3" t="n"/>
      <c r="I66" s="3" t="inlineStr"/>
      <c r="J66" s="3" t="inlineStr">
        <is>
          <t>Keeta</t>
        </is>
      </c>
      <c r="K66" s="3" t="inlineStr">
        <is>
          <t>****9568</t>
        </is>
      </c>
      <c r="L66" s="3" t="n"/>
      <c r="M66" s="3" t="inlineStr">
        <is>
          <t>***** 物流中心5樓</t>
        </is>
      </c>
      <c r="N66" s="3" t="inlineStr">
        <is>
          <t>北区</t>
        </is>
      </c>
      <c r="O66" s="3" t="inlineStr">
        <is>
          <t>香港</t>
        </is>
      </c>
      <c r="P66" s="3" t="inlineStr">
        <is>
          <t>香港特别行政区</t>
        </is>
      </c>
      <c r="Q66" s="3" t="n">
        <v>603700</v>
      </c>
      <c r="R66" s="3" t="inlineStr">
        <is>
          <t>ThePastaShack(Wanchai)</t>
        </is>
      </c>
      <c r="S66" s="3" t="inlineStr">
        <is>
          <t>****23252725</t>
        </is>
      </c>
      <c r="T66" s="3" t="inlineStr">
        <is>
          <t>****23252725</t>
        </is>
      </c>
      <c r="U66" s="3" t="inlineStr">
        <is>
          <t>***** 下B2A號舖</t>
        </is>
      </c>
      <c r="V66" s="3" t="inlineStr">
        <is>
          <t>香港</t>
        </is>
      </c>
      <c r="W66" s="3" t="inlineStr">
        <is>
          <t>塑料袋【小】/ 扎出, 封签【通版】/ 扎出, 塑料袋【大】/ 扎出</t>
        </is>
      </c>
      <c r="X66" s="3" t="inlineStr">
        <is>
          <t>ESS-SFTS-OTMS</t>
        </is>
      </c>
      <c r="Y66" s="3" t="n"/>
      <c r="Z66" s="3" t="inlineStr"/>
      <c r="AA66" s="3" t="inlineStr">
        <is>
          <t>寄付月結</t>
        </is>
      </c>
      <c r="AB66">
        <f>IFERROR(VLOOKUP(Q66&amp;"",對照表!$A:$B,1,FALSE),"")</f>
        <v/>
      </c>
      <c r="AC66">
        <f>IFERROR(VLOOKUP(Q66&amp;"",對照表!$A:$B,2,FALSE),"")</f>
        <v/>
      </c>
    </row>
    <row r="67">
      <c r="A67" s="3" t="inlineStr">
        <is>
          <t>SF5119115815876</t>
        </is>
      </c>
      <c r="B67" s="3" t="n">
        <v>58424106156060</v>
      </c>
      <c r="C67" s="3" t="inlineStr">
        <is>
          <t>已簽收</t>
        </is>
      </c>
      <c r="D67" s="3" t="inlineStr">
        <is>
          <t>2026-07-02 16:59:21</t>
        </is>
      </c>
      <c r="E67" s="3" t="inlineStr">
        <is>
          <t>2026-07-03 14:07</t>
        </is>
      </c>
      <c r="F67" s="3" t="n">
        <v>19.59</v>
      </c>
      <c r="G67" s="3" t="n">
        <v>2</v>
      </c>
      <c r="H67" s="3" t="n"/>
      <c r="I67" s="3" t="inlineStr"/>
      <c r="J67" s="3" t="inlineStr">
        <is>
          <t>Keeta</t>
        </is>
      </c>
      <c r="K67" s="3" t="inlineStr">
        <is>
          <t>****9568</t>
        </is>
      </c>
      <c r="L67" s="3" t="n"/>
      <c r="M67" s="3" t="inlineStr">
        <is>
          <t>***** 物流中心5樓</t>
        </is>
      </c>
      <c r="N67" s="3" t="inlineStr">
        <is>
          <t>北区</t>
        </is>
      </c>
      <c r="O67" s="3" t="inlineStr">
        <is>
          <t>香港</t>
        </is>
      </c>
      <c r="P67" s="3" t="inlineStr">
        <is>
          <t>香港特别行政区</t>
        </is>
      </c>
      <c r="Q67" s="3" t="n">
        <v>448595</v>
      </c>
      <c r="R67" s="3" t="inlineStr">
        <is>
          <t>ChilliLime(MONTEREYPlace)</t>
        </is>
      </c>
      <c r="S67" s="3" t="inlineStr">
        <is>
          <t>****22460055</t>
        </is>
      </c>
      <c r="T67" s="3" t="inlineStr">
        <is>
          <t>****22460055</t>
        </is>
      </c>
      <c r="U67" s="3" t="inlineStr">
        <is>
          <t>***** 下G07號舖</t>
        </is>
      </c>
      <c r="V67" s="3" t="inlineStr">
        <is>
          <t>香港</t>
        </is>
      </c>
      <c r="W67" s="3" t="inlineStr">
        <is>
          <t>无纺布【规格四大号】/ 箱出, 无纺布【规格二双杯】/ 箱出</t>
        </is>
      </c>
      <c r="X67" s="3" t="inlineStr">
        <is>
          <t>ESS-SFTS-OTMS</t>
        </is>
      </c>
      <c r="Y67" s="3" t="n"/>
      <c r="Z67" s="3" t="inlineStr"/>
      <c r="AA67" s="3" t="inlineStr">
        <is>
          <t>寄付月結</t>
        </is>
      </c>
      <c r="AB67">
        <f>IFERROR(VLOOKUP(Q67&amp;"",對照表!$A:$B,1,FALSE),"")</f>
        <v/>
      </c>
      <c r="AC67">
        <f>IFERROR(VLOOKUP(Q67&amp;"",對照表!$A:$B,2,FALSE),"")</f>
        <v/>
      </c>
    </row>
    <row r="68">
      <c r="A68" s="3" t="inlineStr">
        <is>
          <t>SF5119115816464</t>
        </is>
      </c>
      <c r="B68" s="3" t="n">
        <v>58424106156178</v>
      </c>
      <c r="C68" s="3" t="inlineStr">
        <is>
          <t>已簽收</t>
        </is>
      </c>
      <c r="D68" s="3" t="inlineStr">
        <is>
          <t>2026-07-02 15:41:04</t>
        </is>
      </c>
      <c r="E68" s="3" t="inlineStr">
        <is>
          <t>2026-07-03 10:44</t>
        </is>
      </c>
      <c r="F68" s="3" t="n">
        <v>14.5</v>
      </c>
      <c r="G68" s="3" t="n">
        <v>1</v>
      </c>
      <c r="H68" s="3" t="n"/>
      <c r="I68" s="3" t="inlineStr"/>
      <c r="J68" s="3" t="inlineStr">
        <is>
          <t>Keeta</t>
        </is>
      </c>
      <c r="K68" s="3" t="inlineStr">
        <is>
          <t>****9568</t>
        </is>
      </c>
      <c r="L68" s="3" t="n"/>
      <c r="M68" s="3" t="inlineStr">
        <is>
          <t>***** 物流中心5樓</t>
        </is>
      </c>
      <c r="N68" s="3" t="inlineStr">
        <is>
          <t>北区</t>
        </is>
      </c>
      <c r="O68" s="3" t="inlineStr">
        <is>
          <t>香港</t>
        </is>
      </c>
      <c r="P68" s="3" t="inlineStr">
        <is>
          <t>香港特别行政区</t>
        </is>
      </c>
      <c r="Q68" s="3" t="n">
        <v>566661</v>
      </c>
      <c r="R68" s="3" t="inlineStr">
        <is>
          <t>麥當勞(軒尼詩)McDonalds</t>
        </is>
      </c>
      <c r="S68" s="3" t="inlineStr">
        <is>
          <t>****28939503</t>
        </is>
      </c>
      <c r="T68" s="3" t="inlineStr">
        <is>
          <t>****28939503</t>
        </is>
      </c>
      <c r="U68" s="3" t="inlineStr">
        <is>
          <t>***** 高層(部分)</t>
        </is>
      </c>
      <c r="V68" s="3" t="inlineStr">
        <is>
          <t>香港</t>
        </is>
      </c>
      <c r="W68" s="3" t="inlineStr">
        <is>
          <t>纸袋【通版】/ 箱出</t>
        </is>
      </c>
      <c r="X68" s="3" t="inlineStr">
        <is>
          <t>ESS-SFTS-OTMS</t>
        </is>
      </c>
      <c r="Y68" s="3" t="n"/>
      <c r="Z68" s="3" t="inlineStr"/>
      <c r="AA68" s="3" t="inlineStr">
        <is>
          <t>寄付月結</t>
        </is>
      </c>
      <c r="AB68">
        <f>IFERROR(VLOOKUP(Q68&amp;"",對照表!$A:$B,1,FALSE),"")</f>
        <v/>
      </c>
      <c r="AC68">
        <f>IFERROR(VLOOKUP(Q68&amp;"",對照表!$A:$B,2,FALSE),"")</f>
        <v/>
      </c>
    </row>
    <row r="69">
      <c r="A69" s="3" t="inlineStr">
        <is>
          <t>SF5119115816270</t>
        </is>
      </c>
      <c r="B69" s="3" t="n">
        <v>58424106156140</v>
      </c>
      <c r="C69" s="3" t="inlineStr">
        <is>
          <t>已簽收</t>
        </is>
      </c>
      <c r="D69" s="3" t="inlineStr">
        <is>
          <t>2026-07-02 15:43:14</t>
        </is>
      </c>
      <c r="E69" s="3" t="inlineStr">
        <is>
          <t>2026-07-03 13:16</t>
        </is>
      </c>
      <c r="F69" s="3" t="n">
        <v>72.5</v>
      </c>
      <c r="G69" s="3" t="n">
        <v>5</v>
      </c>
      <c r="H69" s="3" t="n"/>
      <c r="I69" s="3" t="inlineStr"/>
      <c r="J69" s="3" t="inlineStr">
        <is>
          <t>Keeta</t>
        </is>
      </c>
      <c r="K69" s="3" t="inlineStr">
        <is>
          <t>****9568</t>
        </is>
      </c>
      <c r="L69" s="3" t="n"/>
      <c r="M69" s="3" t="inlineStr">
        <is>
          <t>***** 物流中心5樓</t>
        </is>
      </c>
      <c r="N69" s="3" t="inlineStr">
        <is>
          <t>北区</t>
        </is>
      </c>
      <c r="O69" s="3" t="inlineStr">
        <is>
          <t>香港</t>
        </is>
      </c>
      <c r="P69" s="3" t="inlineStr">
        <is>
          <t>香港特别行政区</t>
        </is>
      </c>
      <c r="Q69" s="3" t="n">
        <v>485058</v>
      </c>
      <c r="R69" s="3" t="inlineStr">
        <is>
          <t>麥當勞(彩雲II)McDonalds</t>
        </is>
      </c>
      <c r="S69" s="3" t="inlineStr">
        <is>
          <t>****27775288</t>
        </is>
      </c>
      <c r="T69" s="3" t="inlineStr">
        <is>
          <t>****27775288</t>
        </is>
      </c>
      <c r="U69" s="3" t="inlineStr">
        <is>
          <t>***** A115號店</t>
        </is>
      </c>
      <c r="V69" s="3" t="inlineStr">
        <is>
          <t>香港</t>
        </is>
      </c>
      <c r="W69" s="3" t="inlineStr">
        <is>
          <t>纸袋【通版】/ 箱出</t>
        </is>
      </c>
      <c r="X69" s="3" t="inlineStr">
        <is>
          <t>ESS-SFTS-OTMS</t>
        </is>
      </c>
      <c r="Y69" s="3" t="n"/>
      <c r="Z69" s="3" t="inlineStr"/>
      <c r="AA69" s="3" t="inlineStr">
        <is>
          <t>寄付月結</t>
        </is>
      </c>
      <c r="AB69">
        <f>IFERROR(VLOOKUP(Q69&amp;"",對照表!$A:$B,1,FALSE),"")</f>
        <v/>
      </c>
      <c r="AC69">
        <f>IFERROR(VLOOKUP(Q69&amp;"",對照表!$A:$B,2,FALSE),"")</f>
        <v/>
      </c>
    </row>
    <row r="70">
      <c r="A70" s="3" t="inlineStr">
        <is>
          <t>SF5119115816252</t>
        </is>
      </c>
      <c r="B70" s="3" t="n">
        <v>58424106156137</v>
      </c>
      <c r="C70" s="3" t="inlineStr">
        <is>
          <t>已簽收</t>
        </is>
      </c>
      <c r="D70" s="3" t="inlineStr">
        <is>
          <t>2026-07-02 16:39:59</t>
        </is>
      </c>
      <c r="E70" s="3" t="inlineStr">
        <is>
          <t>2026-07-03 11:27</t>
        </is>
      </c>
      <c r="F70" s="3" t="n">
        <v>27.59</v>
      </c>
      <c r="G70" s="3" t="n">
        <v>3</v>
      </c>
      <c r="H70" s="3" t="n"/>
      <c r="I70" s="3" t="inlineStr"/>
      <c r="J70" s="3" t="inlineStr">
        <is>
          <t>Keeta</t>
        </is>
      </c>
      <c r="K70" s="3" t="inlineStr">
        <is>
          <t>****9568</t>
        </is>
      </c>
      <c r="L70" s="3" t="n"/>
      <c r="M70" s="3" t="inlineStr">
        <is>
          <t>***** 物流中心5樓</t>
        </is>
      </c>
      <c r="N70" s="3" t="inlineStr">
        <is>
          <t>北区</t>
        </is>
      </c>
      <c r="O70" s="3" t="inlineStr">
        <is>
          <t>香港</t>
        </is>
      </c>
      <c r="P70" s="3" t="inlineStr">
        <is>
          <t>香港特别行政区</t>
        </is>
      </c>
      <c r="Q70" s="3" t="n">
        <v>494704</v>
      </c>
      <c r="R70" s="3" t="inlineStr">
        <is>
          <t>快樂蜂(荃灣88)Jollibee(Plaza88)</t>
        </is>
      </c>
      <c r="S70" s="3" t="inlineStr">
        <is>
          <t>****26771411</t>
        </is>
      </c>
      <c r="T70" s="3" t="inlineStr">
        <is>
          <t>****26771411</t>
        </is>
      </c>
      <c r="U70" s="3" t="inlineStr">
        <is>
          <t>***** 樓17A號舖</t>
        </is>
      </c>
      <c r="V70" s="3" t="inlineStr">
        <is>
          <t>香港</t>
        </is>
      </c>
      <c r="W70" s="3" t="inlineStr">
        <is>
          <t>机纸/小票纸 / 包出, 无纺布【规格四大号】/ 箱出, 纸袋【通版】/ 箱出</t>
        </is>
      </c>
      <c r="X70" s="3" t="inlineStr">
        <is>
          <t>ESS-SFTS-OTMS</t>
        </is>
      </c>
      <c r="Y70" s="3" t="n"/>
      <c r="Z70" s="3" t="inlineStr"/>
      <c r="AA70" s="3" t="inlineStr">
        <is>
          <t>寄付月結</t>
        </is>
      </c>
      <c r="AB70">
        <f>IFERROR(VLOOKUP(Q70&amp;"",對照表!$A:$B,1,FALSE),"")</f>
        <v/>
      </c>
      <c r="AC70">
        <f>IFERROR(VLOOKUP(Q70&amp;"",對照表!$A:$B,2,FALSE),"")</f>
        <v/>
      </c>
    </row>
    <row r="71">
      <c r="A71" s="3" t="inlineStr">
        <is>
          <t>SF5119115816304</t>
        </is>
      </c>
      <c r="B71" s="3" t="n">
        <v>58424106156146</v>
      </c>
      <c r="C71" s="3" t="inlineStr">
        <is>
          <t>已簽收</t>
        </is>
      </c>
      <c r="D71" s="3" t="inlineStr">
        <is>
          <t>2026-07-02 15:45:06</t>
        </is>
      </c>
      <c r="E71" s="3" t="inlineStr">
        <is>
          <t>2026-07-03 13:25</t>
        </is>
      </c>
      <c r="F71" s="3" t="n">
        <v>29</v>
      </c>
      <c r="G71" s="3" t="n">
        <v>2</v>
      </c>
      <c r="H71" s="3" t="n"/>
      <c r="I71" s="3" t="inlineStr"/>
      <c r="J71" s="3" t="inlineStr">
        <is>
          <t>Keeta</t>
        </is>
      </c>
      <c r="K71" s="3" t="inlineStr">
        <is>
          <t>****9568</t>
        </is>
      </c>
      <c r="L71" s="3" t="n"/>
      <c r="M71" s="3" t="inlineStr">
        <is>
          <t>***** 物流中心5樓</t>
        </is>
      </c>
      <c r="N71" s="3" t="inlineStr">
        <is>
          <t>北区</t>
        </is>
      </c>
      <c r="O71" s="3" t="inlineStr">
        <is>
          <t>香港</t>
        </is>
      </c>
      <c r="P71" s="3" t="inlineStr">
        <is>
          <t>香港特别行政区</t>
        </is>
      </c>
      <c r="Q71" s="3" t="n">
        <v>594122</v>
      </c>
      <c r="R71" s="3" t="inlineStr">
        <is>
          <t>茶皇殿點心燒味住家菜平台力推同區首選(晴朗)</t>
        </is>
      </c>
      <c r="S71" s="3" t="inlineStr">
        <is>
          <t>****26269208</t>
        </is>
      </c>
      <c r="T71" s="3" t="inlineStr">
        <is>
          <t>****26269208</t>
        </is>
      </c>
      <c r="U71" s="3" t="inlineStr">
        <is>
          <t>***** A102號舖</t>
        </is>
      </c>
      <c r="V71" s="3" t="inlineStr">
        <is>
          <t>香港</t>
        </is>
      </c>
      <c r="W71" s="3" t="inlineStr">
        <is>
          <t>纸袋【通版】/ 箱出</t>
        </is>
      </c>
      <c r="X71" s="3" t="inlineStr">
        <is>
          <t>ESS-SFTS-OTMS</t>
        </is>
      </c>
      <c r="Y71" s="3" t="n"/>
      <c r="Z71" s="3" t="inlineStr"/>
      <c r="AA71" s="3" t="inlineStr">
        <is>
          <t>寄付月結</t>
        </is>
      </c>
      <c r="AB71">
        <f>IFERROR(VLOOKUP(Q71&amp;"",對照表!$A:$B,1,FALSE),"")</f>
        <v/>
      </c>
      <c r="AC71">
        <f>IFERROR(VLOOKUP(Q71&amp;"",對照表!$A:$B,2,FALSE),"")</f>
        <v/>
      </c>
    </row>
    <row r="72">
      <c r="A72" s="3" t="inlineStr">
        <is>
          <t>SF5119115816368</t>
        </is>
      </c>
      <c r="B72" s="3" t="n">
        <v>58424106156158</v>
      </c>
      <c r="C72" s="3" t="inlineStr">
        <is>
          <t>已簽收</t>
        </is>
      </c>
      <c r="D72" s="3" t="inlineStr">
        <is>
          <t>2026-07-02 15:16:14</t>
        </is>
      </c>
      <c r="E72" s="3" t="inlineStr">
        <is>
          <t>2026-07-03 12:22</t>
        </is>
      </c>
      <c r="F72" s="3" t="n">
        <v>1.5</v>
      </c>
      <c r="G72" s="3" t="n">
        <v>1</v>
      </c>
      <c r="H72" s="3" t="n"/>
      <c r="I72" s="3" t="inlineStr"/>
      <c r="J72" s="3" t="inlineStr">
        <is>
          <t>Keeta</t>
        </is>
      </c>
      <c r="K72" s="3" t="inlineStr">
        <is>
          <t>****9568</t>
        </is>
      </c>
      <c r="L72" s="3" t="n"/>
      <c r="M72" s="3" t="inlineStr">
        <is>
          <t>***** 物流中心5樓</t>
        </is>
      </c>
      <c r="N72" s="3" t="inlineStr">
        <is>
          <t>北区</t>
        </is>
      </c>
      <c r="O72" s="3" t="inlineStr">
        <is>
          <t>香港</t>
        </is>
      </c>
      <c r="P72" s="3" t="inlineStr">
        <is>
          <t>香港特别行政区</t>
        </is>
      </c>
      <c r="Q72" s="3" t="n">
        <v>721518308</v>
      </c>
      <c r="R72" s="3" t="inlineStr">
        <is>
          <t>McDonald&amp;apos;s (Fu Cheong)</t>
        </is>
      </c>
      <c r="S72" s="3" t="inlineStr">
        <is>
          <t>****67534132</t>
        </is>
      </c>
      <c r="T72" s="3" t="inlineStr">
        <is>
          <t>****67534132</t>
        </is>
      </c>
      <c r="U72" s="3" t="inlineStr">
        <is>
          <t>***** 號地下4號鋪</t>
        </is>
      </c>
      <c r="V72" s="3" t="inlineStr">
        <is>
          <t>香港</t>
        </is>
      </c>
      <c r="W72" s="3" t="inlineStr">
        <is>
          <t>机纸/小票纸 / 包出</t>
        </is>
      </c>
      <c r="X72" s="3" t="inlineStr">
        <is>
          <t>ESS-SFTS-OTMS</t>
        </is>
      </c>
      <c r="Y72" s="3" t="n"/>
      <c r="Z72" s="3" t="inlineStr"/>
      <c r="AA72" s="3" t="inlineStr">
        <is>
          <t>寄付月結</t>
        </is>
      </c>
      <c r="AB72">
        <f>IFERROR(VLOOKUP(Q72&amp;"",對照表!$A:$B,1,FALSE),"")</f>
        <v/>
      </c>
      <c r="AC72">
        <f>IFERROR(VLOOKUP(Q72&amp;"",對照表!$A:$B,2,FALSE),"")</f>
        <v/>
      </c>
    </row>
    <row r="73">
      <c r="A73" s="3" t="inlineStr">
        <is>
          <t>SF5119115815946</t>
        </is>
      </c>
      <c r="B73" s="3" t="n">
        <v>58424106156075</v>
      </c>
      <c r="C73" s="3" t="inlineStr">
        <is>
          <t>已簽收</t>
        </is>
      </c>
      <c r="D73" s="3" t="inlineStr">
        <is>
          <t>2026-07-02 15:47:46</t>
        </is>
      </c>
      <c r="E73" s="3" t="inlineStr">
        <is>
          <t>2026-07-03 12:37</t>
        </is>
      </c>
      <c r="F73" s="3" t="n">
        <v>58</v>
      </c>
      <c r="G73" s="3" t="n">
        <v>4</v>
      </c>
      <c r="H73" s="3" t="n"/>
      <c r="I73" s="3" t="inlineStr"/>
      <c r="J73" s="3" t="inlineStr">
        <is>
          <t>Keeta</t>
        </is>
      </c>
      <c r="K73" s="3" t="inlineStr">
        <is>
          <t>****9568</t>
        </is>
      </c>
      <c r="L73" s="3" t="n"/>
      <c r="M73" s="3" t="inlineStr">
        <is>
          <t>***** 物流中心5樓</t>
        </is>
      </c>
      <c r="N73" s="3" t="inlineStr">
        <is>
          <t>北区</t>
        </is>
      </c>
      <c r="O73" s="3" t="inlineStr">
        <is>
          <t>香港</t>
        </is>
      </c>
      <c r="P73" s="3" t="inlineStr">
        <is>
          <t>香港特别行政区</t>
        </is>
      </c>
      <c r="Q73" s="3" t="n">
        <v>721517368</v>
      </c>
      <c r="R73" s="3" t="inlineStr">
        <is>
          <t>麥當勞 (富昌) McDonald&amp;apos;s</t>
        </is>
      </c>
      <c r="S73" s="3" t="inlineStr">
        <is>
          <t>****21424961</t>
        </is>
      </c>
      <c r="T73" s="3" t="inlineStr">
        <is>
          <t>****21424961</t>
        </is>
      </c>
      <c r="U73" s="3" t="inlineStr">
        <is>
          <t>***** 至129號舖</t>
        </is>
      </c>
      <c r="V73" s="3" t="inlineStr">
        <is>
          <t>香港</t>
        </is>
      </c>
      <c r="W73" s="3" t="inlineStr">
        <is>
          <t>纸袋【通版】/ 箱出</t>
        </is>
      </c>
      <c r="X73" s="3" t="inlineStr">
        <is>
          <t>ESS-SFTS-OTMS</t>
        </is>
      </c>
      <c r="Y73" s="3" t="n"/>
      <c r="Z73" s="3" t="inlineStr"/>
      <c r="AA73" s="3" t="inlineStr">
        <is>
          <t>寄付月結</t>
        </is>
      </c>
      <c r="AB73">
        <f>IFERROR(VLOOKUP(Q73&amp;"",對照表!$A:$B,1,FALSE),"")</f>
        <v/>
      </c>
      <c r="AC73">
        <f>IFERROR(VLOOKUP(Q73&amp;"",對照表!$A:$B,2,FALSE),"")</f>
        <v/>
      </c>
    </row>
    <row r="74">
      <c r="A74" s="3" t="inlineStr">
        <is>
          <t>SF5119115816437</t>
        </is>
      </c>
      <c r="B74" s="3" t="n">
        <v>58424106156173</v>
      </c>
      <c r="C74" s="3" t="inlineStr">
        <is>
          <t>已簽收</t>
        </is>
      </c>
      <c r="D74" s="3" t="inlineStr">
        <is>
          <t>2026-07-02 15:15:24</t>
        </is>
      </c>
      <c r="E74" s="3" t="inlineStr">
        <is>
          <t>2026-07-03 13:10</t>
        </is>
      </c>
      <c r="F74" s="3" t="n">
        <v>1.5</v>
      </c>
      <c r="G74" s="3" t="n">
        <v>1</v>
      </c>
      <c r="H74" s="3" t="n"/>
      <c r="I74" s="3" t="inlineStr"/>
      <c r="J74" s="3" t="inlineStr">
        <is>
          <t>Keeta</t>
        </is>
      </c>
      <c r="K74" s="3" t="inlineStr">
        <is>
          <t>****9568</t>
        </is>
      </c>
      <c r="L74" s="3" t="n"/>
      <c r="M74" s="3" t="inlineStr">
        <is>
          <t>***** 物流中心5樓</t>
        </is>
      </c>
      <c r="N74" s="3" t="inlineStr">
        <is>
          <t>北区</t>
        </is>
      </c>
      <c r="O74" s="3" t="inlineStr">
        <is>
          <t>香港</t>
        </is>
      </c>
      <c r="P74" s="3" t="inlineStr">
        <is>
          <t>香港特别行政区</t>
        </is>
      </c>
      <c r="Q74" s="3" t="n">
        <v>566666</v>
      </c>
      <c r="R74" s="3" t="inlineStr">
        <is>
          <t>月居酒屋(大坑)</t>
        </is>
      </c>
      <c r="S74" s="3" t="inlineStr">
        <is>
          <t>****97182967</t>
        </is>
      </c>
      <c r="T74" s="3" t="inlineStr">
        <is>
          <t>****97182967</t>
        </is>
      </c>
      <c r="U74" s="3" t="inlineStr">
        <is>
          <t>***** 安庶庇街6號</t>
        </is>
      </c>
      <c r="V74" s="3" t="inlineStr">
        <is>
          <t>香港</t>
        </is>
      </c>
      <c r="W74" s="3" t="inlineStr">
        <is>
          <t>机纸/小票纸 / 包出</t>
        </is>
      </c>
      <c r="X74" s="3" t="inlineStr">
        <is>
          <t>ESS-SFTS-OTMS</t>
        </is>
      </c>
      <c r="Y74" s="3" t="n"/>
      <c r="Z74" s="3" t="inlineStr"/>
      <c r="AA74" s="3" t="inlineStr">
        <is>
          <t>寄付月結</t>
        </is>
      </c>
      <c r="AB74">
        <f>IFERROR(VLOOKUP(Q74&amp;"",對照表!$A:$B,1,FALSE),"")</f>
        <v/>
      </c>
      <c r="AC74">
        <f>IFERROR(VLOOKUP(Q74&amp;"",對照表!$A:$B,2,FALSE),"")</f>
        <v/>
      </c>
    </row>
    <row r="75">
      <c r="A75" s="3" t="inlineStr">
        <is>
          <t>SF5119115816191</t>
        </is>
      </c>
      <c r="B75" s="3" t="n">
        <v>58424106156126</v>
      </c>
      <c r="C75" s="3" t="inlineStr">
        <is>
          <t>已簽收</t>
        </is>
      </c>
      <c r="D75" s="3" t="inlineStr">
        <is>
          <t>2026-07-02 14:35:25</t>
        </is>
      </c>
      <c r="E75" s="3" t="inlineStr">
        <is>
          <t>2026-07-03 10:52</t>
        </is>
      </c>
      <c r="F75" s="3" t="n">
        <v>2.8</v>
      </c>
      <c r="G75" s="3" t="n">
        <v>1</v>
      </c>
      <c r="H75" s="3" t="n"/>
      <c r="I75" s="3" t="inlineStr"/>
      <c r="J75" s="3" t="inlineStr">
        <is>
          <t>Keeta</t>
        </is>
      </c>
      <c r="K75" s="3" t="inlineStr">
        <is>
          <t>****9568</t>
        </is>
      </c>
      <c r="L75" s="3" t="n"/>
      <c r="M75" s="3" t="inlineStr">
        <is>
          <t>***** 物流中心5樓</t>
        </is>
      </c>
      <c r="N75" s="3" t="inlineStr">
        <is>
          <t>北区</t>
        </is>
      </c>
      <c r="O75" s="3" t="inlineStr">
        <is>
          <t>香港</t>
        </is>
      </c>
      <c r="P75" s="3" t="inlineStr">
        <is>
          <t>香港特别行政区</t>
        </is>
      </c>
      <c r="Q75" s="3" t="n">
        <v>604498</v>
      </c>
      <c r="R75" s="3" t="inlineStr">
        <is>
          <t>JamesBonbonBakery銅鑼灣超人氣麻糬波波</t>
        </is>
      </c>
      <c r="S75" s="3" t="inlineStr">
        <is>
          <t>****98599678</t>
        </is>
      </c>
      <c r="T75" s="3" t="inlineStr">
        <is>
          <t>****98599678</t>
        </is>
      </c>
      <c r="U75" s="3" t="inlineStr">
        <is>
          <t>***** G,I及H鋪</t>
        </is>
      </c>
      <c r="V75" s="3" t="inlineStr">
        <is>
          <t>香港</t>
        </is>
      </c>
      <c r="W75" s="3" t="inlineStr">
        <is>
          <t>机纸/小票纸 / 包出</t>
        </is>
      </c>
      <c r="X75" s="3" t="inlineStr">
        <is>
          <t>ESS-SFTS-OTMS</t>
        </is>
      </c>
      <c r="Y75" s="3" t="n"/>
      <c r="Z75" s="3" t="inlineStr"/>
      <c r="AA75" s="3" t="inlineStr">
        <is>
          <t>寄付月結</t>
        </is>
      </c>
      <c r="AB75">
        <f>IFERROR(VLOOKUP(Q75&amp;"",對照表!$A:$B,1,FALSE),"")</f>
        <v/>
      </c>
      <c r="AC75">
        <f>IFERROR(VLOOKUP(Q75&amp;"",對照表!$A:$B,2,FALSE),"")</f>
        <v/>
      </c>
    </row>
    <row r="76">
      <c r="A76" s="3" t="inlineStr">
        <is>
          <t>SF5119115816243</t>
        </is>
      </c>
      <c r="B76" s="3" t="n">
        <v>58424106156134</v>
      </c>
      <c r="C76" s="3" t="inlineStr">
        <is>
          <t>已簽收</t>
        </is>
      </c>
      <c r="D76" s="3" t="inlineStr">
        <is>
          <t>2026-07-02 15:47:59</t>
        </is>
      </c>
      <c r="E76" s="3" t="inlineStr">
        <is>
          <t>2026-07-03 13:14</t>
        </is>
      </c>
      <c r="F76" s="3" t="n">
        <v>58</v>
      </c>
      <c r="G76" s="3" t="n">
        <v>4</v>
      </c>
      <c r="H76" s="3" t="n"/>
      <c r="I76" s="3" t="inlineStr"/>
      <c r="J76" s="3" t="inlineStr">
        <is>
          <t>Keeta</t>
        </is>
      </c>
      <c r="K76" s="3" t="inlineStr">
        <is>
          <t>****9568</t>
        </is>
      </c>
      <c r="L76" s="3" t="n"/>
      <c r="M76" s="3" t="inlineStr">
        <is>
          <t>***** 物流中心5樓</t>
        </is>
      </c>
      <c r="N76" s="3" t="inlineStr">
        <is>
          <t>北区</t>
        </is>
      </c>
      <c r="O76" s="3" t="inlineStr">
        <is>
          <t>香港</t>
        </is>
      </c>
      <c r="P76" s="3" t="inlineStr">
        <is>
          <t>香港特别行政区</t>
        </is>
      </c>
      <c r="Q76" s="3" t="n">
        <v>475343</v>
      </c>
      <c r="R76" s="3" t="inlineStr">
        <is>
          <t>麥當勞(康澤花園)McDonalds</t>
        </is>
      </c>
      <c r="S76" s="3" t="inlineStr">
        <is>
          <t>****25783870</t>
        </is>
      </c>
      <c r="T76" s="3" t="inlineStr">
        <is>
          <t>****25783870</t>
        </is>
      </c>
      <c r="U76" s="3" t="inlineStr">
        <is>
          <t>***** 及 B3號舖</t>
        </is>
      </c>
      <c r="V76" s="3" t="inlineStr">
        <is>
          <t>香港</t>
        </is>
      </c>
      <c r="W76" s="3" t="inlineStr">
        <is>
          <t>纸袋【通版】/ 箱出</t>
        </is>
      </c>
      <c r="X76" s="3" t="inlineStr">
        <is>
          <t>ESS-SFTS-OTMS</t>
        </is>
      </c>
      <c r="Y76" s="3" t="n"/>
      <c r="Z76" s="3" t="inlineStr"/>
      <c r="AA76" s="3" t="inlineStr">
        <is>
          <t>寄付月結</t>
        </is>
      </c>
      <c r="AB76">
        <f>IFERROR(VLOOKUP(Q76&amp;"",對照表!$A:$B,1,FALSE),"")</f>
        <v/>
      </c>
      <c r="AC76">
        <f>IFERROR(VLOOKUP(Q76&amp;"",對照表!$A:$B,2,FALSE),"")</f>
        <v/>
      </c>
    </row>
    <row r="77">
      <c r="A77" s="3" t="inlineStr">
        <is>
          <t>SF5119115815900</t>
        </is>
      </c>
      <c r="B77" s="3" t="n">
        <v>58424106156067</v>
      </c>
      <c r="C77" s="3" t="inlineStr">
        <is>
          <t>已簽收</t>
        </is>
      </c>
      <c r="D77" s="3" t="inlineStr">
        <is>
          <t>2026-07-02 16:58:59</t>
        </is>
      </c>
      <c r="E77" s="3" t="inlineStr">
        <is>
          <t>2026-07-03 08:57</t>
        </is>
      </c>
      <c r="F77" s="3" t="n">
        <v>31.39</v>
      </c>
      <c r="G77" s="3" t="n">
        <v>3</v>
      </c>
      <c r="H77" s="3" t="n"/>
      <c r="I77" s="3" t="inlineStr"/>
      <c r="J77" s="3" t="inlineStr">
        <is>
          <t>Keeta</t>
        </is>
      </c>
      <c r="K77" s="3" t="inlineStr">
        <is>
          <t>****9568</t>
        </is>
      </c>
      <c r="L77" s="3" t="n"/>
      <c r="M77" s="3" t="inlineStr">
        <is>
          <t>***** 物流中心5樓</t>
        </is>
      </c>
      <c r="N77" s="3" t="inlineStr">
        <is>
          <t>北区</t>
        </is>
      </c>
      <c r="O77" s="3" t="inlineStr">
        <is>
          <t>香港</t>
        </is>
      </c>
      <c r="P77" s="3" t="inlineStr">
        <is>
          <t>香港特别行政区</t>
        </is>
      </c>
      <c r="Q77" s="3" t="n">
        <v>484763</v>
      </c>
      <c r="R77" s="3" t="inlineStr">
        <is>
          <t>LeeLaksa(上環)招牌叻沙</t>
        </is>
      </c>
      <c r="S77" s="3" t="inlineStr">
        <is>
          <t>****22658999</t>
        </is>
      </c>
      <c r="T77" s="3" t="inlineStr">
        <is>
          <t>****22658999</t>
        </is>
      </c>
      <c r="U77" s="3" t="inlineStr">
        <is>
          <t>***** 302號地舖</t>
        </is>
      </c>
      <c r="V77" s="3" t="inlineStr">
        <is>
          <t>香港</t>
        </is>
      </c>
      <c r="W77" s="3" t="inlineStr">
        <is>
          <t>无纺布【规格四大号】/ 箱出, 无纺布【规格三中号】/ 箱出</t>
        </is>
      </c>
      <c r="X77" s="3" t="inlineStr">
        <is>
          <t>ESS-SFTS-OTMS</t>
        </is>
      </c>
      <c r="Y77" s="3" t="n"/>
      <c r="Z77" s="3" t="inlineStr"/>
      <c r="AA77" s="3" t="inlineStr">
        <is>
          <t>寄付月結</t>
        </is>
      </c>
      <c r="AB77">
        <f>IFERROR(VLOOKUP(Q77&amp;"",對照表!$A:$B,1,FALSE),"")</f>
        <v/>
      </c>
      <c r="AC77">
        <f>IFERROR(VLOOKUP(Q77&amp;"",對照表!$A:$B,2,FALSE),"")</f>
        <v/>
      </c>
    </row>
    <row r="78">
      <c r="A78" s="3" t="inlineStr">
        <is>
          <t>SF5119115815867</t>
        </is>
      </c>
      <c r="B78" s="3" t="n">
        <v>58424106156059</v>
      </c>
      <c r="C78" s="3" t="inlineStr">
        <is>
          <t>已簽收</t>
        </is>
      </c>
      <c r="D78" s="3" t="inlineStr">
        <is>
          <t>2026-07-02 15:15:58</t>
        </is>
      </c>
      <c r="E78" s="3" t="inlineStr">
        <is>
          <t>2026-07-03 12:50</t>
        </is>
      </c>
      <c r="F78" s="3" t="n">
        <v>1.5</v>
      </c>
      <c r="G78" s="3" t="n">
        <v>1</v>
      </c>
      <c r="H78" s="3" t="n"/>
      <c r="I78" s="3" t="inlineStr"/>
      <c r="J78" s="3" t="inlineStr">
        <is>
          <t>Keeta</t>
        </is>
      </c>
      <c r="K78" s="3" t="inlineStr">
        <is>
          <t>****9568</t>
        </is>
      </c>
      <c r="L78" s="3" t="n"/>
      <c r="M78" s="3" t="inlineStr">
        <is>
          <t>***** 物流中心5樓</t>
        </is>
      </c>
      <c r="N78" s="3" t="inlineStr">
        <is>
          <t>北区</t>
        </is>
      </c>
      <c r="O78" s="3" t="inlineStr">
        <is>
          <t>香港</t>
        </is>
      </c>
      <c r="P78" s="3" t="inlineStr">
        <is>
          <t>香港特别行政区</t>
        </is>
      </c>
      <c r="Q78" s="3" t="n">
        <v>452268</v>
      </c>
      <c r="R78" s="3" t="inlineStr">
        <is>
          <t>全日雞實驗所(海南雞專門店)(旺角)</t>
        </is>
      </c>
      <c r="S78" s="3" t="inlineStr">
        <is>
          <t>****61628057</t>
        </is>
      </c>
      <c r="T78" s="3" t="inlineStr">
        <is>
          <t>****61628057</t>
        </is>
      </c>
      <c r="U78" s="3" t="inlineStr">
        <is>
          <t>***** 街80號地下</t>
        </is>
      </c>
      <c r="V78" s="3" t="inlineStr">
        <is>
          <t>香港</t>
        </is>
      </c>
      <c r="W78" s="3" t="inlineStr">
        <is>
          <t>机纸/小票纸 / 包出</t>
        </is>
      </c>
      <c r="X78" s="3" t="inlineStr">
        <is>
          <t>ESS-SFTS-OTMS</t>
        </is>
      </c>
      <c r="Y78" s="3" t="n"/>
      <c r="Z78" s="3" t="inlineStr"/>
      <c r="AA78" s="3" t="inlineStr">
        <is>
          <t>寄付月結</t>
        </is>
      </c>
      <c r="AB78">
        <f>IFERROR(VLOOKUP(Q78&amp;"",對照表!$A:$B,1,FALSE),"")</f>
        <v/>
      </c>
      <c r="AC78">
        <f>IFERROR(VLOOKUP(Q78&amp;"",對照表!$A:$B,2,FALSE),"")</f>
        <v/>
      </c>
    </row>
    <row r="79">
      <c r="A79" s="3" t="inlineStr">
        <is>
          <t>SF5119115816604</t>
        </is>
      </c>
      <c r="B79" s="3" t="n">
        <v>58424106156200</v>
      </c>
      <c r="C79" s="3" t="inlineStr">
        <is>
          <t>已簽收</t>
        </is>
      </c>
      <c r="D79" s="3" t="inlineStr">
        <is>
          <t>2026-07-02 15:44:53</t>
        </is>
      </c>
      <c r="E79" s="3" t="inlineStr">
        <is>
          <t>2026-07-03 11:31</t>
        </is>
      </c>
      <c r="F79" s="3" t="n">
        <v>29</v>
      </c>
      <c r="G79" s="3" t="n">
        <v>2</v>
      </c>
      <c r="H79" s="3" t="n"/>
      <c r="I79" s="3" t="inlineStr"/>
      <c r="J79" s="3" t="inlineStr">
        <is>
          <t>Keeta</t>
        </is>
      </c>
      <c r="K79" s="3" t="inlineStr">
        <is>
          <t>****9568</t>
        </is>
      </c>
      <c r="L79" s="3" t="n"/>
      <c r="M79" s="3" t="inlineStr">
        <is>
          <t>***** 物流中心5樓</t>
        </is>
      </c>
      <c r="N79" s="3" t="inlineStr">
        <is>
          <t>北区</t>
        </is>
      </c>
      <c r="O79" s="3" t="inlineStr">
        <is>
          <t>香港</t>
        </is>
      </c>
      <c r="P79" s="3" t="inlineStr">
        <is>
          <t>香港特别行政区</t>
        </is>
      </c>
      <c r="Q79" s="3" t="n">
        <v>488205</v>
      </c>
      <c r="R79" s="3" t="inlineStr">
        <is>
          <t>麥當勞(博康)McDonalds</t>
        </is>
      </c>
      <c r="S79" s="3" t="inlineStr">
        <is>
          <t>****21445203</t>
        </is>
      </c>
      <c r="T79" s="3" t="inlineStr">
        <is>
          <t>****21445203</t>
        </is>
      </c>
      <c r="U79" s="3" t="inlineStr">
        <is>
          <t>***** 樓210號舖</t>
        </is>
      </c>
      <c r="V79" s="3" t="inlineStr">
        <is>
          <t>香港</t>
        </is>
      </c>
      <c r="W79" s="3" t="inlineStr">
        <is>
          <t>纸袋【通版】/ 箱出</t>
        </is>
      </c>
      <c r="X79" s="3" t="inlineStr">
        <is>
          <t>ESS-SFTS-OTMS</t>
        </is>
      </c>
      <c r="Y79" s="3" t="n"/>
      <c r="Z79" s="3" t="inlineStr"/>
      <c r="AA79" s="3" t="inlineStr">
        <is>
          <t>寄付月結</t>
        </is>
      </c>
      <c r="AB79">
        <f>IFERROR(VLOOKUP(Q79&amp;"",對照表!$A:$B,1,FALSE),"")</f>
        <v/>
      </c>
      <c r="AC79">
        <f>IFERROR(VLOOKUP(Q79&amp;"",對照表!$A:$B,2,FALSE),"")</f>
        <v/>
      </c>
    </row>
    <row r="80">
      <c r="A80" s="3" t="inlineStr">
        <is>
          <t>SF5119115816491</t>
        </is>
      </c>
      <c r="B80" s="3" t="n">
        <v>58424106156184</v>
      </c>
      <c r="C80" s="3" t="inlineStr">
        <is>
          <t>已簽收</t>
        </is>
      </c>
      <c r="D80" s="3" t="inlineStr">
        <is>
          <t>2026-07-02 16:59:15</t>
        </is>
      </c>
      <c r="E80" s="3" t="inlineStr">
        <is>
          <t>2026-07-03 12:41</t>
        </is>
      </c>
      <c r="F80" s="3" t="n">
        <v>11.59</v>
      </c>
      <c r="G80" s="3" t="n">
        <v>1</v>
      </c>
      <c r="H80" s="3" t="n"/>
      <c r="I80" s="3" t="inlineStr"/>
      <c r="J80" s="3" t="inlineStr">
        <is>
          <t>Keeta</t>
        </is>
      </c>
      <c r="K80" s="3" t="inlineStr">
        <is>
          <t>****9568</t>
        </is>
      </c>
      <c r="L80" s="3" t="n"/>
      <c r="M80" s="3" t="inlineStr">
        <is>
          <t>***** 物流中心5樓</t>
        </is>
      </c>
      <c r="N80" s="3" t="inlineStr">
        <is>
          <t>北区</t>
        </is>
      </c>
      <c r="O80" s="3" t="inlineStr">
        <is>
          <t>香港</t>
        </is>
      </c>
      <c r="P80" s="3" t="inlineStr">
        <is>
          <t>香港特别行政区</t>
        </is>
      </c>
      <c r="Q80" s="3" t="n">
        <v>600656</v>
      </c>
      <c r="R80" s="3" t="inlineStr">
        <is>
          <t>元氣壽司(好爵中心)GenkiSushi</t>
        </is>
      </c>
      <c r="S80" s="3" t="inlineStr">
        <is>
          <t>****24711366</t>
        </is>
      </c>
      <c r="T80" s="3" t="inlineStr">
        <is>
          <t>****24711366</t>
        </is>
      </c>
      <c r="U80" s="3" t="inlineStr">
        <is>
          <t>***** 4-48號舖</t>
        </is>
      </c>
      <c r="V80" s="3" t="inlineStr">
        <is>
          <t>香港</t>
        </is>
      </c>
      <c r="W80" s="3" t="inlineStr">
        <is>
          <t>无纺布【规格四大号】/ 箱出</t>
        </is>
      </c>
      <c r="X80" s="3" t="inlineStr">
        <is>
          <t>ESS-SFTS-OTMS</t>
        </is>
      </c>
      <c r="Y80" s="3" t="n"/>
      <c r="Z80" s="3" t="inlineStr"/>
      <c r="AA80" s="3" t="inlineStr">
        <is>
          <t>寄付月結</t>
        </is>
      </c>
      <c r="AB80">
        <f>IFERROR(VLOOKUP(Q80&amp;"",對照表!$A:$B,1,FALSE),"")</f>
        <v/>
      </c>
      <c r="AC80">
        <f>IFERROR(VLOOKUP(Q80&amp;"",對照表!$A:$B,2,FALSE),"")</f>
        <v/>
      </c>
    </row>
    <row r="81">
      <c r="A81" s="3" t="inlineStr">
        <is>
          <t>SF5119115816386</t>
        </is>
      </c>
      <c r="B81" s="3" t="n">
        <v>58424106156163</v>
      </c>
      <c r="C81" s="3" t="inlineStr">
        <is>
          <t>已簽收</t>
        </is>
      </c>
      <c r="D81" s="3" t="inlineStr">
        <is>
          <t>2026-07-02 16:57:56</t>
        </is>
      </c>
      <c r="E81" s="3" t="inlineStr">
        <is>
          <t>2026-07-03 10:54</t>
        </is>
      </c>
      <c r="F81" s="3" t="n">
        <v>16.66</v>
      </c>
      <c r="G81" s="3" t="n">
        <v>2</v>
      </c>
      <c r="H81" s="3" t="n"/>
      <c r="I81" s="3" t="inlineStr"/>
      <c r="J81" s="3" t="inlineStr">
        <is>
          <t>Keeta</t>
        </is>
      </c>
      <c r="K81" s="3" t="inlineStr">
        <is>
          <t>****9568</t>
        </is>
      </c>
      <c r="L81" s="3" t="n"/>
      <c r="M81" s="3" t="inlineStr">
        <is>
          <t>***** 物流中心5樓</t>
        </is>
      </c>
      <c r="N81" s="3" t="inlineStr">
        <is>
          <t>北区</t>
        </is>
      </c>
      <c r="O81" s="3" t="inlineStr">
        <is>
          <t>香港</t>
        </is>
      </c>
      <c r="P81" s="3" t="inlineStr">
        <is>
          <t>香港特别行政区</t>
        </is>
      </c>
      <c r="Q81" s="3" t="n">
        <v>487838</v>
      </c>
      <c r="R81" s="3" t="inlineStr">
        <is>
          <t>快樂蜂(亞皆老街)Jollibee(ArgyleStreet)</t>
        </is>
      </c>
      <c r="S81" s="3" t="inlineStr">
        <is>
          <t>****26023522</t>
        </is>
      </c>
      <c r="T81" s="3" t="inlineStr">
        <is>
          <t>****26023522</t>
        </is>
      </c>
      <c r="U81" s="3" t="inlineStr">
        <is>
          <t>***** 商業大廈1樓</t>
        </is>
      </c>
      <c r="V81" s="3" t="inlineStr">
        <is>
          <t>香港</t>
        </is>
      </c>
      <c r="W81" s="3" t="inlineStr">
        <is>
          <t>塑料袋【大】/ 扎出, 塑料袋【小】/ 扎出, 纸袋【通版】/ 箱出</t>
        </is>
      </c>
      <c r="X81" s="3" t="inlineStr">
        <is>
          <t>ESS-SFTS-OTMS</t>
        </is>
      </c>
      <c r="Y81" s="3" t="n"/>
      <c r="Z81" s="3" t="inlineStr"/>
      <c r="AA81" s="3" t="inlineStr">
        <is>
          <t>寄付月結</t>
        </is>
      </c>
      <c r="AB81">
        <f>IFERROR(VLOOKUP(Q81&amp;"",對照表!$A:$B,1,FALSE),"")</f>
        <v/>
      </c>
      <c r="AC81">
        <f>IFERROR(VLOOKUP(Q81&amp;"",對照表!$A:$B,2,FALSE),"")</f>
        <v/>
      </c>
    </row>
    <row r="82">
      <c r="A82" s="3" t="inlineStr">
        <is>
          <t>SF5119115816613</t>
        </is>
      </c>
      <c r="B82" s="3" t="n">
        <v>58424106156203</v>
      </c>
      <c r="C82" s="3" t="inlineStr">
        <is>
          <t>已簽收</t>
        </is>
      </c>
      <c r="D82" s="3" t="inlineStr">
        <is>
          <t>2026-07-02 14:20:02</t>
        </is>
      </c>
      <c r="E82" s="3" t="inlineStr">
        <is>
          <t>2026-07-03 13:31</t>
        </is>
      </c>
      <c r="F82" s="3" t="n">
        <v>4.45</v>
      </c>
      <c r="G82" s="3" t="n">
        <v>1</v>
      </c>
      <c r="H82" s="3" t="n"/>
      <c r="I82" s="3" t="inlineStr"/>
      <c r="J82" s="3" t="inlineStr">
        <is>
          <t>Keeta</t>
        </is>
      </c>
      <c r="K82" s="3" t="inlineStr">
        <is>
          <t>****9568</t>
        </is>
      </c>
      <c r="L82" s="3" t="n"/>
      <c r="M82" s="3" t="inlineStr">
        <is>
          <t>***** 物流中心5樓</t>
        </is>
      </c>
      <c r="N82" s="3" t="inlineStr">
        <is>
          <t>北区</t>
        </is>
      </c>
      <c r="O82" s="3" t="inlineStr">
        <is>
          <t>香港</t>
        </is>
      </c>
      <c r="P82" s="3" t="inlineStr">
        <is>
          <t>香港特别行政区</t>
        </is>
      </c>
      <c r="Q82" s="3" t="n">
        <v>465441</v>
      </c>
      <c r="R82" s="3" t="inlineStr">
        <is>
          <t>食得喜粥粉麵（青衣長康店）</t>
        </is>
      </c>
      <c r="S82" s="3" t="inlineStr">
        <is>
          <t>****35202348</t>
        </is>
      </c>
      <c r="T82" s="3" t="inlineStr">
        <is>
          <t>****35202348</t>
        </is>
      </c>
      <c r="U82" s="3" t="inlineStr">
        <is>
          <t>***** 樓102號鋪</t>
        </is>
      </c>
      <c r="V82" s="3" t="inlineStr">
        <is>
          <t>香港</t>
        </is>
      </c>
      <c r="W82" s="3" t="inlineStr">
        <is>
          <t>机纸/小票纸 / 包出</t>
        </is>
      </c>
      <c r="X82" s="3" t="inlineStr">
        <is>
          <t>ESS-SFTS-OTMS</t>
        </is>
      </c>
      <c r="Y82" s="3" t="n"/>
      <c r="Z82" s="3" t="inlineStr"/>
      <c r="AA82" s="3" t="inlineStr">
        <is>
          <t>寄付月結</t>
        </is>
      </c>
      <c r="AB82">
        <f>IFERROR(VLOOKUP(Q82&amp;"",對照表!$A:$B,1,FALSE),"")</f>
        <v/>
      </c>
      <c r="AC82">
        <f>IFERROR(VLOOKUP(Q82&amp;"",對照表!$A:$B,2,FALSE),"")</f>
        <v/>
      </c>
    </row>
    <row r="83">
      <c r="A83" s="3" t="inlineStr">
        <is>
          <t>SF5119115815682</t>
        </is>
      </c>
      <c r="B83" s="3" t="n">
        <v>58424106123269</v>
      </c>
      <c r="C83" s="3" t="inlineStr">
        <is>
          <t>已簽收</t>
        </is>
      </c>
      <c r="D83" s="3" t="inlineStr">
        <is>
          <t>2026-07-02 15:43:09</t>
        </is>
      </c>
      <c r="E83" s="3" t="inlineStr">
        <is>
          <t>2026-07-03 09:31</t>
        </is>
      </c>
      <c r="F83" s="3" t="n">
        <v>14.5</v>
      </c>
      <c r="G83" s="3" t="n">
        <v>1</v>
      </c>
      <c r="H83" s="3" t="n"/>
      <c r="I83" s="3" t="inlineStr"/>
      <c r="J83" s="3" t="inlineStr">
        <is>
          <t>Keeta</t>
        </is>
      </c>
      <c r="K83" s="3" t="inlineStr">
        <is>
          <t>****9568</t>
        </is>
      </c>
      <c r="L83" s="3" t="n"/>
      <c r="M83" s="3" t="inlineStr">
        <is>
          <t>***** 物流中心5樓</t>
        </is>
      </c>
      <c r="N83" s="3" t="inlineStr">
        <is>
          <t>北区</t>
        </is>
      </c>
      <c r="O83" s="3" t="inlineStr">
        <is>
          <t>香港</t>
        </is>
      </c>
      <c r="P83" s="3" t="inlineStr">
        <is>
          <t>香港特别行政区</t>
        </is>
      </c>
      <c r="Q83" s="3" t="n">
        <v>598109</v>
      </c>
      <c r="R83" s="3" t="inlineStr">
        <is>
          <t>7Eleven（灣仔海港中心）0084</t>
        </is>
      </c>
      <c r="S83" s="3" t="inlineStr">
        <is>
          <t>****28270043</t>
        </is>
      </c>
      <c r="T83" s="3" t="inlineStr">
        <is>
          <t>****28270043</t>
        </is>
      </c>
      <c r="U83" s="3" t="inlineStr">
        <is>
          <t>*****  G6 號舖</t>
        </is>
      </c>
      <c r="V83" s="3" t="inlineStr">
        <is>
          <t>香港</t>
        </is>
      </c>
      <c r="W83" s="3" t="inlineStr">
        <is>
          <t>纸袋【通版】/ 箱出</t>
        </is>
      </c>
      <c r="X83" s="3" t="inlineStr">
        <is>
          <t>ESS-SFTS-OTMS</t>
        </is>
      </c>
      <c r="Y83" s="3" t="n"/>
      <c r="Z83" s="3" t="inlineStr"/>
      <c r="AA83" s="3" t="inlineStr">
        <is>
          <t>寄付月結</t>
        </is>
      </c>
      <c r="AB83">
        <f>IFERROR(VLOOKUP(Q83&amp;"",對照表!$A:$B,1,FALSE),"")</f>
        <v/>
      </c>
      <c r="AC83">
        <f>IFERROR(VLOOKUP(Q83&amp;"",對照表!$A:$B,2,FALSE),"")</f>
        <v/>
      </c>
    </row>
    <row r="84">
      <c r="A84" s="3" t="inlineStr">
        <is>
          <t>SF5119115815955</t>
        </is>
      </c>
      <c r="B84" s="3" t="n">
        <v>58424106156076</v>
      </c>
      <c r="C84" s="3" t="inlineStr">
        <is>
          <t>已簽收</t>
        </is>
      </c>
      <c r="D84" s="3" t="inlineStr">
        <is>
          <t>2026-07-02 17:01:37</t>
        </is>
      </c>
      <c r="E84" s="3" t="inlineStr">
        <is>
          <t>2026-07-03 19:09</t>
        </is>
      </c>
      <c r="F84" s="3" t="n">
        <v>88.59999999999999</v>
      </c>
      <c r="G84" s="3" t="n">
        <v>7</v>
      </c>
      <c r="H84" s="3" t="n"/>
      <c r="I84" s="3" t="inlineStr"/>
      <c r="J84" s="3" t="inlineStr">
        <is>
          <t>Keeta</t>
        </is>
      </c>
      <c r="K84" s="3" t="inlineStr">
        <is>
          <t>****9568</t>
        </is>
      </c>
      <c r="L84" s="3" t="n"/>
      <c r="M84" s="3" t="inlineStr">
        <is>
          <t>***** 物流中心5樓</t>
        </is>
      </c>
      <c r="N84" s="3" t="inlineStr">
        <is>
          <t>北区</t>
        </is>
      </c>
      <c r="O84" s="3" t="inlineStr">
        <is>
          <t>香港</t>
        </is>
      </c>
      <c r="P84" s="3" t="inlineStr">
        <is>
          <t>香港特别行政区</t>
        </is>
      </c>
      <c r="Q84" s="3" t="n">
        <v>488372</v>
      </c>
      <c r="R84" s="3" t="inlineStr">
        <is>
          <t>麥當勞(裕民坊)McDonalds</t>
        </is>
      </c>
      <c r="S84" s="3" t="inlineStr">
        <is>
          <t>****24404113</t>
        </is>
      </c>
      <c r="T84" s="3" t="inlineStr">
        <is>
          <t>****24404113</t>
        </is>
      </c>
      <c r="U84" s="3" t="inlineStr">
        <is>
          <t>***** 1樓176舖</t>
        </is>
      </c>
      <c r="V84" s="3" t="inlineStr">
        <is>
          <t>香港</t>
        </is>
      </c>
      <c r="W84" s="3" t="inlineStr">
        <is>
          <t>机纸/小票纸 / 包出, 纸袋【通版】/ 箱出</t>
        </is>
      </c>
      <c r="X84" s="3" t="inlineStr">
        <is>
          <t>ESS-SFTS-OTMS</t>
        </is>
      </c>
      <c r="Y84" s="3" t="n"/>
      <c r="Z84" s="3" t="inlineStr"/>
      <c r="AA84" s="3" t="inlineStr">
        <is>
          <t>寄付月結</t>
        </is>
      </c>
      <c r="AB84">
        <f>IFERROR(VLOOKUP(Q84&amp;"",對照表!$A:$B,1,FALSE),"")</f>
        <v/>
      </c>
      <c r="AC84">
        <f>IFERROR(VLOOKUP(Q84&amp;"",對照表!$A:$B,2,FALSE),"")</f>
        <v/>
      </c>
    </row>
    <row r="85">
      <c r="A85" s="3" t="inlineStr">
        <is>
          <t>SF5119115816843</t>
        </is>
      </c>
      <c r="B85" s="3" t="n">
        <v>58424106156265</v>
      </c>
      <c r="C85" s="3" t="inlineStr">
        <is>
          <t>已簽收</t>
        </is>
      </c>
      <c r="D85" s="3" t="inlineStr">
        <is>
          <t>2026-07-02 15:15:57</t>
        </is>
      </c>
      <c r="E85" s="3" t="inlineStr">
        <is>
          <t>2026-07-03 12:56</t>
        </is>
      </c>
      <c r="F85" s="3" t="n">
        <v>1.5</v>
      </c>
      <c r="G85" s="3" t="n">
        <v>1</v>
      </c>
      <c r="H85" s="3" t="n"/>
      <c r="I85" s="3" t="inlineStr"/>
      <c r="J85" s="3" t="inlineStr">
        <is>
          <t>Keeta</t>
        </is>
      </c>
      <c r="K85" s="3" t="inlineStr">
        <is>
          <t>****9568</t>
        </is>
      </c>
      <c r="L85" s="3" t="n"/>
      <c r="M85" s="3" t="inlineStr">
        <is>
          <t>***** 物流中心5樓</t>
        </is>
      </c>
      <c r="N85" s="3" t="inlineStr">
        <is>
          <t>北区</t>
        </is>
      </c>
      <c r="O85" s="3" t="inlineStr">
        <is>
          <t>香港</t>
        </is>
      </c>
      <c r="P85" s="3" t="inlineStr">
        <is>
          <t>香港特别行政区</t>
        </is>
      </c>
      <c r="Q85" s="3" t="n">
        <v>604539</v>
      </c>
      <c r="R85" s="3" t="inlineStr">
        <is>
          <t>萬波（安定）</t>
        </is>
      </c>
      <c r="S85" s="3" t="inlineStr">
        <is>
          <t>****24278998</t>
        </is>
      </c>
      <c r="T85" s="3" t="inlineStr">
        <is>
          <t>****24278998</t>
        </is>
      </c>
      <c r="U85" s="3" t="inlineStr">
        <is>
          <t>***** A-131鋪</t>
        </is>
      </c>
      <c r="V85" s="3" t="inlineStr">
        <is>
          <t>香港</t>
        </is>
      </c>
      <c r="W85" s="3" t="inlineStr">
        <is>
          <t>机纸/小票纸 / 包出</t>
        </is>
      </c>
      <c r="X85" s="3" t="inlineStr">
        <is>
          <t>ESS-SFTS-OTMS</t>
        </is>
      </c>
      <c r="Y85" s="3" t="n"/>
      <c r="Z85" s="3" t="inlineStr"/>
      <c r="AA85" s="3" t="inlineStr">
        <is>
          <t>寄付月結</t>
        </is>
      </c>
      <c r="AB85">
        <f>IFERROR(VLOOKUP(Q85&amp;"",對照表!$A:$B,1,FALSE),"")</f>
        <v/>
      </c>
      <c r="AC85">
        <f>IFERROR(VLOOKUP(Q85&amp;"",對照表!$A:$B,2,FALSE),"")</f>
        <v/>
      </c>
    </row>
    <row r="86">
      <c r="A86" s="3" t="inlineStr">
        <is>
          <t>SF5119115816455</t>
        </is>
      </c>
      <c r="B86" s="3" t="n">
        <v>58424106156177</v>
      </c>
      <c r="C86" s="3" t="inlineStr">
        <is>
          <t>已簽收</t>
        </is>
      </c>
      <c r="D86" s="3" t="inlineStr">
        <is>
          <t>2026-07-02 15:15:39</t>
        </is>
      </c>
      <c r="E86" s="3" t="inlineStr">
        <is>
          <t>2026-07-03 13:08</t>
        </is>
      </c>
      <c r="F86" s="3" t="n">
        <v>2.36</v>
      </c>
      <c r="G86" s="3" t="n">
        <v>1</v>
      </c>
      <c r="H86" s="3" t="n"/>
      <c r="I86" s="3" t="inlineStr"/>
      <c r="J86" s="3" t="inlineStr">
        <is>
          <t>Keeta</t>
        </is>
      </c>
      <c r="K86" s="3" t="inlineStr">
        <is>
          <t>****9568</t>
        </is>
      </c>
      <c r="L86" s="3" t="n"/>
      <c r="M86" s="3" t="inlineStr">
        <is>
          <t>***** 物流中心5樓</t>
        </is>
      </c>
      <c r="N86" s="3" t="inlineStr">
        <is>
          <t>北区</t>
        </is>
      </c>
      <c r="O86" s="3" t="inlineStr">
        <is>
          <t>香港</t>
        </is>
      </c>
      <c r="P86" s="3" t="inlineStr">
        <is>
          <t>香港特别行政区</t>
        </is>
      </c>
      <c r="Q86" s="3" t="n">
        <v>451590</v>
      </c>
      <c r="R86" s="3" t="inlineStr">
        <is>
          <t>賓墟冰室超人氣茶餐廳抵食量大</t>
        </is>
      </c>
      <c r="S86" s="3" t="inlineStr">
        <is>
          <t>****26683178</t>
        </is>
      </c>
      <c r="T86" s="3" t="inlineStr">
        <is>
          <t>****26683178</t>
        </is>
      </c>
      <c r="U86" s="3" t="inlineStr">
        <is>
          <t>***** 場地下1號舖</t>
        </is>
      </c>
      <c r="V86" s="3" t="inlineStr">
        <is>
          <t>香港</t>
        </is>
      </c>
      <c r="W86" s="3" t="inlineStr">
        <is>
          <t>机纸/小票纸 / 包出</t>
        </is>
      </c>
      <c r="X86" s="3" t="inlineStr">
        <is>
          <t>ESS-SFTS-OTMS</t>
        </is>
      </c>
      <c r="Y86" s="3" t="n"/>
      <c r="Z86" s="3" t="inlineStr"/>
      <c r="AA86" s="3" t="inlineStr">
        <is>
          <t>寄付月結</t>
        </is>
      </c>
      <c r="AB86">
        <f>IFERROR(VLOOKUP(Q86&amp;"",對照表!$A:$B,1,FALSE),"")</f>
        <v/>
      </c>
      <c r="AC86">
        <f>IFERROR(VLOOKUP(Q86&amp;"",對照表!$A:$B,2,FALSE),"")</f>
        <v/>
      </c>
    </row>
    <row r="87">
      <c r="A87" s="3" t="inlineStr">
        <is>
          <t>SF5119115816322</t>
        </is>
      </c>
      <c r="B87" s="3" t="n">
        <v>58424106156151</v>
      </c>
      <c r="C87" s="3" t="inlineStr">
        <is>
          <t>已簽收</t>
        </is>
      </c>
      <c r="D87" s="3" t="inlineStr">
        <is>
          <t>2026-07-02 14:19:48</t>
        </is>
      </c>
      <c r="E87" s="3" t="inlineStr">
        <is>
          <t>2026-07-03 12:14</t>
        </is>
      </c>
      <c r="F87" s="3" t="n">
        <v>4.45</v>
      </c>
      <c r="G87" s="3" t="n">
        <v>1</v>
      </c>
      <c r="H87" s="3" t="n"/>
      <c r="I87" s="3" t="inlineStr"/>
      <c r="J87" s="3" t="inlineStr">
        <is>
          <t>Keeta</t>
        </is>
      </c>
      <c r="K87" s="3" t="inlineStr">
        <is>
          <t>****9568</t>
        </is>
      </c>
      <c r="L87" s="3" t="n"/>
      <c r="M87" s="3" t="inlineStr">
        <is>
          <t>***** 物流中心5樓</t>
        </is>
      </c>
      <c r="N87" s="3" t="inlineStr">
        <is>
          <t>北区</t>
        </is>
      </c>
      <c r="O87" s="3" t="inlineStr">
        <is>
          <t>香港</t>
        </is>
      </c>
      <c r="P87" s="3" t="inlineStr">
        <is>
          <t>香港特别行政区</t>
        </is>
      </c>
      <c r="Q87" s="3" t="n">
        <v>600811</v>
      </c>
      <c r="R87" s="3" t="inlineStr">
        <is>
          <t>三五碗車仔麵上海菜</t>
        </is>
      </c>
      <c r="S87" s="3" t="inlineStr">
        <is>
          <t>****26762388</t>
        </is>
      </c>
      <c r="T87" s="3" t="inlineStr">
        <is>
          <t>****26762388</t>
        </is>
      </c>
      <c r="U87" s="3" t="inlineStr">
        <is>
          <t>***** 336號地下</t>
        </is>
      </c>
      <c r="V87" s="3" t="inlineStr">
        <is>
          <t>香港</t>
        </is>
      </c>
      <c r="W87" s="3" t="inlineStr">
        <is>
          <t>机纸/小票纸 / 包出</t>
        </is>
      </c>
      <c r="X87" s="3" t="inlineStr">
        <is>
          <t>ESS-SFTS-OTMS</t>
        </is>
      </c>
      <c r="Y87" s="3" t="n"/>
      <c r="Z87" s="3" t="inlineStr"/>
      <c r="AA87" s="3" t="inlineStr">
        <is>
          <t>寄付月結</t>
        </is>
      </c>
      <c r="AB87">
        <f>IFERROR(VLOOKUP(Q87&amp;"",對照表!$A:$B,1,FALSE),"")</f>
        <v/>
      </c>
      <c r="AC87">
        <f>IFERROR(VLOOKUP(Q87&amp;"",對照表!$A:$B,2,FALSE),"")</f>
        <v/>
      </c>
    </row>
    <row r="88">
      <c r="A88" s="3" t="inlineStr">
        <is>
          <t>SF5119115816807</t>
        </is>
      </c>
      <c r="B88" s="3" t="n">
        <v>58424106156251</v>
      </c>
      <c r="C88" s="3" t="inlineStr">
        <is>
          <t>已簽收</t>
        </is>
      </c>
      <c r="D88" s="3" t="inlineStr">
        <is>
          <t>2026-07-02 15:44:41</t>
        </is>
      </c>
      <c r="E88" s="3" t="inlineStr">
        <is>
          <t>2026-07-03 10:19</t>
        </is>
      </c>
      <c r="F88" s="3" t="n">
        <v>29</v>
      </c>
      <c r="G88" s="3" t="n">
        <v>2</v>
      </c>
      <c r="H88" s="3" t="n"/>
      <c r="I88" s="3" t="inlineStr"/>
      <c r="J88" s="3" t="inlineStr">
        <is>
          <t>Keeta</t>
        </is>
      </c>
      <c r="K88" s="3" t="inlineStr">
        <is>
          <t>****9568</t>
        </is>
      </c>
      <c r="L88" s="3" t="n"/>
      <c r="M88" s="3" t="inlineStr">
        <is>
          <t>***** 物流中心5樓</t>
        </is>
      </c>
      <c r="N88" s="3" t="inlineStr">
        <is>
          <t>北区</t>
        </is>
      </c>
      <c r="O88" s="3" t="inlineStr">
        <is>
          <t>香港</t>
        </is>
      </c>
      <c r="P88" s="3" t="inlineStr">
        <is>
          <t>香港特别行政区</t>
        </is>
      </c>
      <c r="Q88" s="3" t="n">
        <v>478373</v>
      </c>
      <c r="R88" s="3" t="inlineStr">
        <is>
          <t>麥當勞(駿景廣場)McDonalds</t>
        </is>
      </c>
      <c r="S88" s="3" t="inlineStr">
        <is>
          <t>****26348734</t>
        </is>
      </c>
      <c r="T88" s="3" t="inlineStr">
        <is>
          <t>****26348734</t>
        </is>
      </c>
      <c r="U88" s="3" t="inlineStr">
        <is>
          <t>***** -G85號舖</t>
        </is>
      </c>
      <c r="V88" s="3" t="inlineStr">
        <is>
          <t>香港</t>
        </is>
      </c>
      <c r="W88" s="3" t="inlineStr">
        <is>
          <t>纸袋【通版】/ 箱出</t>
        </is>
      </c>
      <c r="X88" s="3" t="inlineStr">
        <is>
          <t>ESS-SFTS-OTMS</t>
        </is>
      </c>
      <c r="Y88" s="3" t="n"/>
      <c r="Z88" s="3" t="inlineStr"/>
      <c r="AA88" s="3" t="inlineStr">
        <is>
          <t>寄付月結</t>
        </is>
      </c>
      <c r="AB88">
        <f>IFERROR(VLOOKUP(Q88&amp;"",對照表!$A:$B,1,FALSE),"")</f>
        <v/>
      </c>
      <c r="AC88">
        <f>IFERROR(VLOOKUP(Q88&amp;"",對照表!$A:$B,2,FALSE),"")</f>
        <v/>
      </c>
    </row>
    <row r="89">
      <c r="A89" s="3" t="inlineStr">
        <is>
          <t>SF5119115816473</t>
        </is>
      </c>
      <c r="B89" s="3" t="n">
        <v>58424106156180</v>
      </c>
      <c r="C89" s="3" t="inlineStr">
        <is>
          <t>已簽收</t>
        </is>
      </c>
      <c r="D89" s="3" t="inlineStr">
        <is>
          <t>2026-07-02 15:15:46</t>
        </is>
      </c>
      <c r="E89" s="3" t="inlineStr">
        <is>
          <t>2026-07-03 18:12</t>
        </is>
      </c>
      <c r="F89" s="3" t="n">
        <v>1.9</v>
      </c>
      <c r="G89" s="3" t="n">
        <v>1</v>
      </c>
      <c r="H89" s="3" t="n"/>
      <c r="I89" s="3" t="inlineStr"/>
      <c r="J89" s="3" t="inlineStr">
        <is>
          <t>Keeta</t>
        </is>
      </c>
      <c r="K89" s="3" t="inlineStr">
        <is>
          <t>****9568</t>
        </is>
      </c>
      <c r="L89" s="3" t="n"/>
      <c r="M89" s="3" t="inlineStr">
        <is>
          <t>***** 物流中心5樓</t>
        </is>
      </c>
      <c r="N89" s="3" t="inlineStr">
        <is>
          <t>北区</t>
        </is>
      </c>
      <c r="O89" s="3" t="inlineStr">
        <is>
          <t>香港</t>
        </is>
      </c>
      <c r="P89" s="3" t="inlineStr">
        <is>
          <t>香港特别行政区</t>
        </is>
      </c>
      <c r="Q89" s="3" t="n">
        <v>451673</v>
      </c>
      <c r="R89" s="3" t="inlineStr">
        <is>
          <t>Grove(昇悅商場)</t>
        </is>
      </c>
      <c r="S89" s="3" t="inlineStr">
        <is>
          <t>****27264308</t>
        </is>
      </c>
      <c r="T89" s="3" t="inlineStr">
        <is>
          <t>****27264308</t>
        </is>
      </c>
      <c r="U89" s="3" t="inlineStr">
        <is>
          <t>***** g Kong</t>
        </is>
      </c>
      <c r="V89" s="3" t="inlineStr">
        <is>
          <t>香港</t>
        </is>
      </c>
      <c r="W89" s="3" t="inlineStr">
        <is>
          <t>机纸/小票纸 / 包出</t>
        </is>
      </c>
      <c r="X89" s="3" t="inlineStr">
        <is>
          <t>ESS-SFTS-OTMS</t>
        </is>
      </c>
      <c r="Y89" s="3" t="n"/>
      <c r="Z89" s="3" t="inlineStr"/>
      <c r="AA89" s="3" t="inlineStr">
        <is>
          <t>寄付月結</t>
        </is>
      </c>
      <c r="AB89">
        <f>IFERROR(VLOOKUP(Q89&amp;"",對照表!$A:$B,1,FALSE),"")</f>
        <v/>
      </c>
      <c r="AC89">
        <f>IFERROR(VLOOKUP(Q89&amp;"",對照表!$A:$B,2,FALSE),"")</f>
        <v/>
      </c>
    </row>
    <row r="90">
      <c r="A90" s="3" t="inlineStr">
        <is>
          <t>SF5119115815797</t>
        </is>
      </c>
      <c r="B90" s="3" t="n">
        <v>58424106156044</v>
      </c>
      <c r="C90" s="3" t="inlineStr">
        <is>
          <t>已簽收</t>
        </is>
      </c>
      <c r="D90" s="3" t="inlineStr">
        <is>
          <t>2026-07-02 17:02:06</t>
        </is>
      </c>
      <c r="E90" s="3" t="inlineStr">
        <is>
          <t>2026-07-03 12:30</t>
        </is>
      </c>
      <c r="F90" s="3" t="n">
        <v>15.68</v>
      </c>
      <c r="G90" s="3" t="n">
        <v>2</v>
      </c>
      <c r="H90" s="3" t="n"/>
      <c r="I90" s="3" t="inlineStr"/>
      <c r="J90" s="3" t="inlineStr">
        <is>
          <t>Keeta</t>
        </is>
      </c>
      <c r="K90" s="3" t="inlineStr">
        <is>
          <t>****9568</t>
        </is>
      </c>
      <c r="L90" s="3" t="n"/>
      <c r="M90" s="3" t="inlineStr">
        <is>
          <t>***** 物流中心5樓</t>
        </is>
      </c>
      <c r="N90" s="3" t="inlineStr">
        <is>
          <t>北区</t>
        </is>
      </c>
      <c r="O90" s="3" t="inlineStr">
        <is>
          <t>香港</t>
        </is>
      </c>
      <c r="P90" s="3" t="inlineStr">
        <is>
          <t>香港特别行政区</t>
        </is>
      </c>
      <c r="Q90" s="3" t="n">
        <v>614349</v>
      </c>
      <c r="R90" s="3" t="inlineStr">
        <is>
          <t>翠園(PopCorn)</t>
        </is>
      </c>
      <c r="S90" s="3" t="inlineStr">
        <is>
          <t>****21856118</t>
        </is>
      </c>
      <c r="T90" s="3" t="inlineStr">
        <is>
          <t>****21856118</t>
        </is>
      </c>
      <c r="U90" s="3" t="inlineStr">
        <is>
          <t>***** 樓1-2號舖</t>
        </is>
      </c>
      <c r="V90" s="3" t="inlineStr">
        <is>
          <t>香港</t>
        </is>
      </c>
      <c r="W90" s="3" t="inlineStr">
        <is>
          <t>机纸/小票纸 / 包出, 纸袋【通版】/ 箱出</t>
        </is>
      </c>
      <c r="X90" s="3" t="inlineStr">
        <is>
          <t>ESS-SFTS-OTMS</t>
        </is>
      </c>
      <c r="Y90" s="3" t="n"/>
      <c r="Z90" s="3" t="inlineStr"/>
      <c r="AA90" s="3" t="inlineStr">
        <is>
          <t>寄付月結</t>
        </is>
      </c>
      <c r="AB90">
        <f>IFERROR(VLOOKUP(Q90&amp;"",對照表!$A:$B,1,FALSE),"")</f>
        <v/>
      </c>
      <c r="AC90">
        <f>IFERROR(VLOOKUP(Q90&amp;"",對照表!$A:$B,2,FALSE),"")</f>
        <v/>
      </c>
    </row>
    <row r="91">
      <c r="A91" s="3" t="inlineStr">
        <is>
          <t>SF5119115816782</t>
        </is>
      </c>
      <c r="B91" s="3" t="n">
        <v>58424106156245</v>
      </c>
      <c r="C91" s="3" t="inlineStr">
        <is>
          <t>已簽收</t>
        </is>
      </c>
      <c r="D91" s="3" t="inlineStr">
        <is>
          <t>2026-07-02 15:47:21</t>
        </is>
      </c>
      <c r="E91" s="3" t="inlineStr">
        <is>
          <t>2026-07-03 10:03</t>
        </is>
      </c>
      <c r="F91" s="3" t="n">
        <v>58</v>
      </c>
      <c r="G91" s="3" t="n">
        <v>4</v>
      </c>
      <c r="H91" s="3" t="n"/>
      <c r="I91" s="3" t="inlineStr"/>
      <c r="J91" s="3" t="inlineStr">
        <is>
          <t>Keeta</t>
        </is>
      </c>
      <c r="K91" s="3" t="inlineStr">
        <is>
          <t>****9568</t>
        </is>
      </c>
      <c r="L91" s="3" t="n"/>
      <c r="M91" s="3" t="inlineStr">
        <is>
          <t>***** 物流中心5樓</t>
        </is>
      </c>
      <c r="N91" s="3" t="inlineStr">
        <is>
          <t>北区</t>
        </is>
      </c>
      <c r="O91" s="3" t="inlineStr">
        <is>
          <t>香港</t>
        </is>
      </c>
      <c r="P91" s="3" t="inlineStr">
        <is>
          <t>香港特别行政区</t>
        </is>
      </c>
      <c r="Q91" s="3" t="n">
        <v>576564</v>
      </c>
      <c r="R91" s="3" t="inlineStr">
        <is>
          <t>麥當勞(越秀)McDonalds</t>
        </is>
      </c>
      <c r="S91" s="3" t="inlineStr">
        <is>
          <t>****23201578</t>
        </is>
      </c>
      <c r="T91" s="3" t="inlineStr">
        <is>
          <t>****23201578</t>
        </is>
      </c>
      <c r="U91" s="3" t="inlineStr">
        <is>
          <t>***** 2-G05舖</t>
        </is>
      </c>
      <c r="V91" s="3" t="inlineStr">
        <is>
          <t>香港</t>
        </is>
      </c>
      <c r="W91" s="3" t="inlineStr">
        <is>
          <t>纸袋【通版】/ 箱出</t>
        </is>
      </c>
      <c r="X91" s="3" t="inlineStr">
        <is>
          <t>ESS-SFTS-OTMS</t>
        </is>
      </c>
      <c r="Y91" s="3" t="n"/>
      <c r="Z91" s="3" t="inlineStr"/>
      <c r="AA91" s="3" t="inlineStr">
        <is>
          <t>寄付月結</t>
        </is>
      </c>
      <c r="AB91">
        <f>IFERROR(VLOOKUP(Q91&amp;"",對照表!$A:$B,1,FALSE),"")</f>
        <v/>
      </c>
      <c r="AC91">
        <f>IFERROR(VLOOKUP(Q91&amp;"",對照表!$A:$B,2,FALSE),"")</f>
        <v/>
      </c>
    </row>
    <row r="92">
      <c r="A92" s="3" t="inlineStr">
        <is>
          <t>SF5119115816746</t>
        </is>
      </c>
      <c r="B92" s="3" t="n">
        <v>58424106156234</v>
      </c>
      <c r="C92" s="3" t="inlineStr">
        <is>
          <t>已簽收</t>
        </is>
      </c>
      <c r="D92" s="3" t="inlineStr">
        <is>
          <t>2026-07-02 16:40:15</t>
        </is>
      </c>
      <c r="E92" s="3" t="inlineStr">
        <is>
          <t>2026-07-03 10:40</t>
        </is>
      </c>
      <c r="F92" s="3" t="n">
        <v>3.78</v>
      </c>
      <c r="G92" s="3" t="n">
        <v>1</v>
      </c>
      <c r="H92" s="3" t="n"/>
      <c r="I92" s="3" t="inlineStr"/>
      <c r="J92" s="3" t="inlineStr">
        <is>
          <t>Keeta</t>
        </is>
      </c>
      <c r="K92" s="3" t="inlineStr">
        <is>
          <t>****9568</t>
        </is>
      </c>
      <c r="L92" s="3" t="n"/>
      <c r="M92" s="3" t="inlineStr">
        <is>
          <t>***** 物流中心5樓</t>
        </is>
      </c>
      <c r="N92" s="3" t="inlineStr">
        <is>
          <t>北区</t>
        </is>
      </c>
      <c r="O92" s="3" t="inlineStr">
        <is>
          <t>香港</t>
        </is>
      </c>
      <c r="P92" s="3" t="inlineStr">
        <is>
          <t>香港特别行政区</t>
        </is>
      </c>
      <c r="Q92" s="3" t="n">
        <v>610296</v>
      </c>
      <c r="R92" s="3" t="inlineStr">
        <is>
          <t>鐵牛台灣牛肉麵（中環店）</t>
        </is>
      </c>
      <c r="S92" s="3" t="inlineStr">
        <is>
          <t>****26608321</t>
        </is>
      </c>
      <c r="T92" s="3" t="inlineStr">
        <is>
          <t>****26608321</t>
        </is>
      </c>
      <c r="U92" s="3" t="inlineStr">
        <is>
          <t>***** 樓A及B號舖</t>
        </is>
      </c>
      <c r="V92" s="3" t="inlineStr">
        <is>
          <t>香港</t>
        </is>
      </c>
      <c r="W92" s="3" t="inlineStr">
        <is>
          <t>封签【通版】/ 扎出</t>
        </is>
      </c>
      <c r="X92" s="3" t="inlineStr">
        <is>
          <t>ESS-SFTS-OTMS</t>
        </is>
      </c>
      <c r="Y92" s="3" t="n"/>
      <c r="Z92" s="3" t="inlineStr"/>
      <c r="AA92" s="3" t="inlineStr">
        <is>
          <t>寄付月結</t>
        </is>
      </c>
      <c r="AB92">
        <f>IFERROR(VLOOKUP(Q92&amp;"",對照表!$A:$B,1,FALSE),"")</f>
        <v/>
      </c>
      <c r="AC92">
        <f>IFERROR(VLOOKUP(Q92&amp;"",對照表!$A:$B,2,FALSE),"")</f>
        <v/>
      </c>
    </row>
    <row r="93">
      <c r="A93" s="3" t="inlineStr">
        <is>
          <t>SF5119115816834</t>
        </is>
      </c>
      <c r="B93" s="3" t="n">
        <v>58424106156262</v>
      </c>
      <c r="C93" s="3" t="inlineStr">
        <is>
          <t>已簽收</t>
        </is>
      </c>
      <c r="D93" s="3" t="inlineStr">
        <is>
          <t>2026-07-02 16:59:00</t>
        </is>
      </c>
      <c r="E93" s="3" t="inlineStr">
        <is>
          <t>2026-07-03 10:38</t>
        </is>
      </c>
      <c r="F93" s="3" t="n">
        <v>9.9</v>
      </c>
      <c r="G93" s="3" t="n">
        <v>1</v>
      </c>
      <c r="H93" s="3" t="n"/>
      <c r="I93" s="3" t="inlineStr"/>
      <c r="J93" s="3" t="inlineStr">
        <is>
          <t>Keeta</t>
        </is>
      </c>
      <c r="K93" s="3" t="inlineStr">
        <is>
          <t>****9568</t>
        </is>
      </c>
      <c r="L93" s="3" t="n"/>
      <c r="M93" s="3" t="inlineStr">
        <is>
          <t>***** 物流中心5樓</t>
        </is>
      </c>
      <c r="N93" s="3" t="inlineStr">
        <is>
          <t>北区</t>
        </is>
      </c>
      <c r="O93" s="3" t="inlineStr">
        <is>
          <t>香港</t>
        </is>
      </c>
      <c r="P93" s="3" t="inlineStr">
        <is>
          <t>香港特别行政区</t>
        </is>
      </c>
      <c r="Q93" s="3" t="n">
        <v>399024</v>
      </c>
      <c r="R93" s="3" t="inlineStr">
        <is>
          <t>RotiKingIndianFusionCuisine</t>
        </is>
      </c>
      <c r="S93" s="3" t="inlineStr">
        <is>
          <t>****24143030</t>
        </is>
      </c>
      <c r="T93" s="3" t="inlineStr">
        <is>
          <t>****24143030</t>
        </is>
      </c>
      <c r="U93" s="3" t="inlineStr">
        <is>
          <t>***** 大廈地下4號</t>
        </is>
      </c>
      <c r="V93" s="3" t="inlineStr">
        <is>
          <t>香港</t>
        </is>
      </c>
      <c r="W93" s="3" t="inlineStr">
        <is>
          <t>无纺布【规格三中号】/ 箱出</t>
        </is>
      </c>
      <c r="X93" s="3" t="inlineStr">
        <is>
          <t>ESS-SFTS-OTMS</t>
        </is>
      </c>
      <c r="Y93" s="3" t="n"/>
      <c r="Z93" s="3" t="inlineStr"/>
      <c r="AA93" s="3" t="inlineStr">
        <is>
          <t>寄付月結</t>
        </is>
      </c>
      <c r="AB93">
        <f>IFERROR(VLOOKUP(Q93&amp;"",對照表!$A:$B,1,FALSE),"")</f>
        <v/>
      </c>
      <c r="AC93">
        <f>IFERROR(VLOOKUP(Q93&amp;"",對照表!$A:$B,2,FALSE),"")</f>
        <v/>
      </c>
    </row>
    <row r="94">
      <c r="A94" s="3" t="inlineStr">
        <is>
          <t>SF5119115816631</t>
        </is>
      </c>
      <c r="B94" s="3" t="n">
        <v>58424106156206</v>
      </c>
      <c r="C94" s="3" t="inlineStr">
        <is>
          <t>已簽收</t>
        </is>
      </c>
      <c r="D94" s="3" t="inlineStr">
        <is>
          <t>2026-07-02 15:16:33</t>
        </is>
      </c>
      <c r="E94" s="3" t="inlineStr">
        <is>
          <t>2026-07-03 11:01</t>
        </is>
      </c>
      <c r="F94" s="3" t="n">
        <v>1.5</v>
      </c>
      <c r="G94" s="3" t="n">
        <v>1</v>
      </c>
      <c r="H94" s="3" t="n"/>
      <c r="I94" s="3" t="inlineStr"/>
      <c r="J94" s="3" t="inlineStr">
        <is>
          <t>Keeta</t>
        </is>
      </c>
      <c r="K94" s="3" t="inlineStr">
        <is>
          <t>****9568</t>
        </is>
      </c>
      <c r="L94" s="3" t="n"/>
      <c r="M94" s="3" t="inlineStr">
        <is>
          <t>***** 物流中心5樓</t>
        </is>
      </c>
      <c r="N94" s="3" t="inlineStr">
        <is>
          <t>北区</t>
        </is>
      </c>
      <c r="O94" s="3" t="inlineStr">
        <is>
          <t>香港</t>
        </is>
      </c>
      <c r="P94" s="3" t="inlineStr">
        <is>
          <t>香港特别行政区</t>
        </is>
      </c>
      <c r="Q94" s="3" t="n">
        <v>483758</v>
      </c>
      <c r="R94" s="3" t="inlineStr">
        <is>
          <t>賞茶(九龍塘站)</t>
        </is>
      </c>
      <c r="S94" s="3" t="inlineStr">
        <is>
          <t>****28611825</t>
        </is>
      </c>
      <c r="T94" s="3" t="inlineStr">
        <is>
          <t>****28611825</t>
        </is>
      </c>
      <c r="U94" s="3" t="inlineStr">
        <is>
          <t>*****  114號舖</t>
        </is>
      </c>
      <c r="V94" s="3" t="inlineStr">
        <is>
          <t>香港</t>
        </is>
      </c>
      <c r="W94" s="3" t="inlineStr">
        <is>
          <t>机纸/小票纸 / 包出</t>
        </is>
      </c>
      <c r="X94" s="3" t="inlineStr">
        <is>
          <t>ESS-SFTS-OTMS</t>
        </is>
      </c>
      <c r="Y94" s="3" t="n"/>
      <c r="Z94" s="3" t="inlineStr"/>
      <c r="AA94" s="3" t="inlineStr">
        <is>
          <t>寄付月結</t>
        </is>
      </c>
      <c r="AB94">
        <f>IFERROR(VLOOKUP(Q94&amp;"",對照表!$A:$B,1,FALSE),"")</f>
        <v/>
      </c>
      <c r="AC94">
        <f>IFERROR(VLOOKUP(Q94&amp;"",對照表!$A:$B,2,FALSE),"")</f>
        <v/>
      </c>
    </row>
    <row r="95">
      <c r="A95" s="3" t="inlineStr">
        <is>
          <t>SF5119115816525</t>
        </is>
      </c>
      <c r="B95" s="3" t="n">
        <v>58424106156191</v>
      </c>
      <c r="C95" s="3" t="inlineStr">
        <is>
          <t>已簽收</t>
        </is>
      </c>
      <c r="D95" s="3" t="inlineStr">
        <is>
          <t>2026-07-02 15:41:05</t>
        </is>
      </c>
      <c r="E95" s="3" t="inlineStr">
        <is>
          <t>2026-07-03 12:57</t>
        </is>
      </c>
      <c r="F95" s="3" t="n">
        <v>14.5</v>
      </c>
      <c r="G95" s="3" t="n">
        <v>1</v>
      </c>
      <c r="H95" s="3" t="n"/>
      <c r="I95" s="3" t="inlineStr"/>
      <c r="J95" s="3" t="inlineStr">
        <is>
          <t>Keeta</t>
        </is>
      </c>
      <c r="K95" s="3" t="inlineStr">
        <is>
          <t>****9568</t>
        </is>
      </c>
      <c r="L95" s="3" t="n"/>
      <c r="M95" s="3" t="inlineStr">
        <is>
          <t>***** 物流中心5樓</t>
        </is>
      </c>
      <c r="N95" s="3" t="inlineStr">
        <is>
          <t>北区</t>
        </is>
      </c>
      <c r="O95" s="3" t="inlineStr">
        <is>
          <t>香港</t>
        </is>
      </c>
      <c r="P95" s="3" t="inlineStr">
        <is>
          <t>香港特别行政区</t>
        </is>
      </c>
      <c r="Q95" s="3" t="n">
        <v>721524359</v>
      </c>
      <c r="R95" s="3" t="inlineStr">
        <is>
          <t>Jagger</t>
        </is>
      </c>
      <c r="S95" s="3" t="inlineStr">
        <is>
          <t>****7276</t>
        </is>
      </c>
      <c r="T95" s="3" t="inlineStr">
        <is>
          <t>****7276</t>
        </is>
      </c>
      <c r="U95" s="3" t="inlineStr">
        <is>
          <t>***** 6-30號鋪</t>
        </is>
      </c>
      <c r="V95" s="3" t="inlineStr">
        <is>
          <t>香港</t>
        </is>
      </c>
      <c r="W95" s="3" t="inlineStr">
        <is>
          <t>纸袋【通版】/ 箱出</t>
        </is>
      </c>
      <c r="X95" s="3" t="inlineStr">
        <is>
          <t>ESS-SFTS-OTMS</t>
        </is>
      </c>
      <c r="Y95" s="3" t="n"/>
      <c r="Z95" s="3" t="inlineStr"/>
      <c r="AA95" s="3" t="inlineStr">
        <is>
          <t>寄付月結</t>
        </is>
      </c>
      <c r="AB95">
        <f>IFERROR(VLOOKUP(Q95&amp;"",對照表!$A:$B,1,FALSE),"")</f>
        <v/>
      </c>
      <c r="AC95">
        <f>IFERROR(VLOOKUP(Q95&amp;"",對照表!$A:$B,2,FALSE),"")</f>
        <v/>
      </c>
    </row>
    <row r="96">
      <c r="A96" s="3" t="inlineStr">
        <is>
          <t>SF5119115816507</t>
        </is>
      </c>
      <c r="B96" s="3" t="n">
        <v>58424106156186</v>
      </c>
      <c r="C96" s="3" t="inlineStr">
        <is>
          <t>已簽收</t>
        </is>
      </c>
      <c r="D96" s="3" t="inlineStr">
        <is>
          <t>2026-07-02 15:41:05</t>
        </is>
      </c>
      <c r="E96" s="3" t="inlineStr">
        <is>
          <t>2026-07-03 09:47</t>
        </is>
      </c>
      <c r="F96" s="3" t="n">
        <v>14.5</v>
      </c>
      <c r="G96" s="3" t="n">
        <v>1</v>
      </c>
      <c r="H96" s="3" t="n"/>
      <c r="I96" s="3" t="inlineStr"/>
      <c r="J96" s="3" t="inlineStr">
        <is>
          <t>Keeta</t>
        </is>
      </c>
      <c r="K96" s="3" t="inlineStr">
        <is>
          <t>****9568</t>
        </is>
      </c>
      <c r="L96" s="3" t="n"/>
      <c r="M96" s="3" t="inlineStr">
        <is>
          <t>***** 物流中心5樓</t>
        </is>
      </c>
      <c r="N96" s="3" t="inlineStr">
        <is>
          <t>北区</t>
        </is>
      </c>
      <c r="O96" s="3" t="inlineStr">
        <is>
          <t>香港</t>
        </is>
      </c>
      <c r="P96" s="3" t="inlineStr">
        <is>
          <t>香港特别行政区</t>
        </is>
      </c>
      <c r="Q96" s="3" t="n">
        <v>721526387</v>
      </c>
      <c r="R96" s="3" t="inlineStr">
        <is>
          <t>仨心兩意| 自家烘焙</t>
        </is>
      </c>
      <c r="S96" s="3" t="inlineStr">
        <is>
          <t>****3520</t>
        </is>
      </c>
      <c r="T96" s="3" t="inlineStr">
        <is>
          <t>****3520</t>
        </is>
      </c>
      <c r="U96" s="3" t="inlineStr">
        <is>
          <t>***** B座4樓3室</t>
        </is>
      </c>
      <c r="V96" s="3" t="inlineStr">
        <is>
          <t>香港</t>
        </is>
      </c>
      <c r="W96" s="3" t="inlineStr">
        <is>
          <t>纸袋【通版】/ 箱出</t>
        </is>
      </c>
      <c r="X96" s="3" t="inlineStr">
        <is>
          <t>ESS-SFTS-OTMS</t>
        </is>
      </c>
      <c r="Y96" s="3" t="n"/>
      <c r="Z96" s="3" t="inlineStr"/>
      <c r="AA96" s="3" t="inlineStr">
        <is>
          <t>寄付月結</t>
        </is>
      </c>
      <c r="AB96">
        <f>IFERROR(VLOOKUP(Q96&amp;"",對照表!$A:$B,1,FALSE),"")</f>
        <v/>
      </c>
      <c r="AC96">
        <f>IFERROR(VLOOKUP(Q96&amp;"",對照表!$A:$B,2,FALSE),"")</f>
        <v/>
      </c>
    </row>
    <row r="97">
      <c r="A97" s="3" t="inlineStr">
        <is>
          <t>SF5119115816825</t>
        </is>
      </c>
      <c r="B97" s="3" t="n">
        <v>58424106156254</v>
      </c>
      <c r="C97" s="3" t="inlineStr">
        <is>
          <t>已簽收</t>
        </is>
      </c>
      <c r="D97" s="3" t="inlineStr">
        <is>
          <t>2026-07-02 15:39:56</t>
        </is>
      </c>
      <c r="E97" s="3" t="inlineStr">
        <is>
          <t>2026-07-03 13:07</t>
        </is>
      </c>
      <c r="F97" s="3" t="n">
        <v>14.5</v>
      </c>
      <c r="G97" s="3" t="n">
        <v>1</v>
      </c>
      <c r="H97" s="3" t="n"/>
      <c r="I97" s="3" t="inlineStr"/>
      <c r="J97" s="3" t="inlineStr">
        <is>
          <t>Keeta</t>
        </is>
      </c>
      <c r="K97" s="3" t="inlineStr">
        <is>
          <t>****9568</t>
        </is>
      </c>
      <c r="L97" s="3" t="n"/>
      <c r="M97" s="3" t="inlineStr">
        <is>
          <t>***** 物流中心5樓</t>
        </is>
      </c>
      <c r="N97" s="3" t="inlineStr">
        <is>
          <t>北区</t>
        </is>
      </c>
      <c r="O97" s="3" t="inlineStr">
        <is>
          <t>香港</t>
        </is>
      </c>
      <c r="P97" s="3" t="inlineStr">
        <is>
          <t>香港特别行政区</t>
        </is>
      </c>
      <c r="Q97" s="3" t="n">
        <v>458600</v>
      </c>
      <c r="R97" s="3" t="inlineStr">
        <is>
          <t>麥當勞(天平)McDonalds</t>
        </is>
      </c>
      <c r="S97" s="3" t="inlineStr">
        <is>
          <t>****26392254</t>
        </is>
      </c>
      <c r="T97" s="3" t="inlineStr">
        <is>
          <t>****26392254</t>
        </is>
      </c>
      <c r="U97" s="3" t="inlineStr">
        <is>
          <t>***** 下122號舖</t>
        </is>
      </c>
      <c r="V97" s="3" t="inlineStr">
        <is>
          <t>香港</t>
        </is>
      </c>
      <c r="W97" s="3" t="inlineStr">
        <is>
          <t>纸袋【通版】/ 箱出</t>
        </is>
      </c>
      <c r="X97" s="3" t="inlineStr">
        <is>
          <t>ESS-SFTS-OTMS</t>
        </is>
      </c>
      <c r="Y97" s="3" t="n"/>
      <c r="Z97" s="3" t="inlineStr"/>
      <c r="AA97" s="3" t="inlineStr">
        <is>
          <t>寄付月結</t>
        </is>
      </c>
      <c r="AB97">
        <f>IFERROR(VLOOKUP(Q97&amp;"",對照表!$A:$B,1,FALSE),"")</f>
        <v/>
      </c>
      <c r="AC97">
        <f>IFERROR(VLOOKUP(Q97&amp;"",對照表!$A:$B,2,FALSE),"")</f>
        <v/>
      </c>
    </row>
    <row r="98">
      <c r="A98" s="3" t="inlineStr">
        <is>
          <t>SF5119115816773</t>
        </is>
      </c>
      <c r="B98" s="3" t="n">
        <v>58424106156243</v>
      </c>
      <c r="C98" s="3" t="inlineStr">
        <is>
          <t>已簽收</t>
        </is>
      </c>
      <c r="D98" s="3" t="inlineStr">
        <is>
          <t>2026-07-02 17:03:25</t>
        </is>
      </c>
      <c r="E98" s="3" t="inlineStr">
        <is>
          <t>2026-07-03 12:52</t>
        </is>
      </c>
      <c r="F98" s="3" t="n">
        <v>0.84</v>
      </c>
      <c r="G98" s="3" t="n">
        <v>1</v>
      </c>
      <c r="H98" s="3" t="n"/>
      <c r="I98" s="3" t="inlineStr"/>
      <c r="J98" s="3" t="inlineStr">
        <is>
          <t>Keeta</t>
        </is>
      </c>
      <c r="K98" s="3" t="inlineStr">
        <is>
          <t>****9568</t>
        </is>
      </c>
      <c r="L98" s="3" t="n"/>
      <c r="M98" s="3" t="inlineStr">
        <is>
          <t>***** 物流中心5樓</t>
        </is>
      </c>
      <c r="N98" s="3" t="inlineStr">
        <is>
          <t>北区</t>
        </is>
      </c>
      <c r="O98" s="3" t="inlineStr">
        <is>
          <t>香港</t>
        </is>
      </c>
      <c r="P98" s="3" t="inlineStr">
        <is>
          <t>香港特别行政区</t>
        </is>
      </c>
      <c r="Q98" s="3" t="n">
        <v>481390</v>
      </c>
      <c r="R98" s="3" t="inlineStr">
        <is>
          <t>Eaaathere</t>
        </is>
      </c>
      <c r="S98" s="3" t="inlineStr">
        <is>
          <t>****24486738</t>
        </is>
      </c>
      <c r="T98" s="3" t="inlineStr">
        <is>
          <t>****24486738</t>
        </is>
      </c>
      <c r="U98" s="3" t="inlineStr">
        <is>
          <t>***** G704號舖</t>
        </is>
      </c>
      <c r="V98" s="3" t="inlineStr">
        <is>
          <t>香港</t>
        </is>
      </c>
      <c r="W98" s="3" t="inlineStr">
        <is>
          <t>塑料袋【小】/ 扎出</t>
        </is>
      </c>
      <c r="X98" s="3" t="inlineStr">
        <is>
          <t>ESS-SFTS-OTMS</t>
        </is>
      </c>
      <c r="Y98" s="3" t="n"/>
      <c r="Z98" s="3" t="inlineStr"/>
      <c r="AA98" s="3" t="inlineStr">
        <is>
          <t>寄付月結</t>
        </is>
      </c>
      <c r="AB98">
        <f>IFERROR(VLOOKUP(Q98&amp;"",對照表!$A:$B,1,FALSE),"")</f>
        <v/>
      </c>
      <c r="AC98">
        <f>IFERROR(VLOOKUP(Q98&amp;"",對照表!$A:$B,2,FALSE),"")</f>
        <v/>
      </c>
    </row>
    <row r="99">
      <c r="A99" s="3" t="inlineStr">
        <is>
          <t>SF5119115816677</t>
        </is>
      </c>
      <c r="B99" s="3" t="n">
        <v>58424106156214</v>
      </c>
      <c r="C99" s="3" t="inlineStr">
        <is>
          <t>已簽收</t>
        </is>
      </c>
      <c r="D99" s="3" t="inlineStr">
        <is>
          <t>2026-07-02 15:41:53</t>
        </is>
      </c>
      <c r="E99" s="3" t="inlineStr">
        <is>
          <t>2026-07-03 09:28</t>
        </is>
      </c>
      <c r="F99" s="3" t="n">
        <v>14.5</v>
      </c>
      <c r="G99" s="3" t="n">
        <v>1</v>
      </c>
      <c r="H99" s="3" t="n"/>
      <c r="I99" s="3" t="inlineStr"/>
      <c r="J99" s="3" t="inlineStr">
        <is>
          <t>Keeta</t>
        </is>
      </c>
      <c r="K99" s="3" t="inlineStr">
        <is>
          <t>****9568</t>
        </is>
      </c>
      <c r="L99" s="3" t="n"/>
      <c r="M99" s="3" t="inlineStr">
        <is>
          <t>***** 物流中心5樓</t>
        </is>
      </c>
      <c r="N99" s="3" t="inlineStr">
        <is>
          <t>北区</t>
        </is>
      </c>
      <c r="O99" s="3" t="inlineStr">
        <is>
          <t>香港</t>
        </is>
      </c>
      <c r="P99" s="3" t="inlineStr">
        <is>
          <t>香港特别行政区</t>
        </is>
      </c>
      <c r="Q99" s="3" t="n">
        <v>721525415</v>
      </c>
      <c r="R99" s="3" t="inlineStr">
        <is>
          <t>KREISHA</t>
        </is>
      </c>
      <c r="S99" s="3" t="inlineStr">
        <is>
          <t>****3210</t>
        </is>
      </c>
      <c r="T99" s="3" t="inlineStr">
        <is>
          <t>****3210</t>
        </is>
      </c>
      <c r="U99" s="3" t="inlineStr">
        <is>
          <t>***** OAD KL</t>
        </is>
      </c>
      <c r="V99" s="3" t="inlineStr">
        <is>
          <t>香港</t>
        </is>
      </c>
      <c r="W99" s="3" t="inlineStr">
        <is>
          <t>纸袋【通版】/ 箱出</t>
        </is>
      </c>
      <c r="X99" s="3" t="inlineStr">
        <is>
          <t>ESS-SFTS-OTMS</t>
        </is>
      </c>
      <c r="Y99" s="3" t="n"/>
      <c r="Z99" s="3" t="inlineStr"/>
      <c r="AA99" s="3" t="inlineStr">
        <is>
          <t>寄付月結</t>
        </is>
      </c>
      <c r="AB99">
        <f>IFERROR(VLOOKUP(Q99&amp;"",對照表!$A:$B,1,FALSE),"")</f>
        <v/>
      </c>
      <c r="AC99">
        <f>IFERROR(VLOOKUP(Q99&amp;"",對照表!$A:$B,2,FALSE),"")</f>
        <v/>
      </c>
    </row>
    <row r="100">
      <c r="A100" s="3" t="inlineStr">
        <is>
          <t>SF5119115815691</t>
        </is>
      </c>
      <c r="B100" s="3" t="n">
        <v>58424106123270</v>
      </c>
      <c r="C100" s="3" t="inlineStr">
        <is>
          <t>已簽收</t>
        </is>
      </c>
      <c r="D100" s="3" t="inlineStr">
        <is>
          <t>2026-07-02 15:40:37</t>
        </is>
      </c>
      <c r="E100" s="3" t="inlineStr">
        <is>
          <t>2026-07-03 10:07</t>
        </is>
      </c>
      <c r="F100" s="3" t="n">
        <v>87</v>
      </c>
      <c r="G100" s="3" t="n">
        <v>6</v>
      </c>
      <c r="H100" s="3" t="n"/>
      <c r="I100" s="3" t="inlineStr"/>
      <c r="J100" s="3" t="inlineStr">
        <is>
          <t>Keeta</t>
        </is>
      </c>
      <c r="K100" s="3" t="inlineStr">
        <is>
          <t>****9568</t>
        </is>
      </c>
      <c r="L100" s="3" t="n"/>
      <c r="M100" s="3" t="inlineStr">
        <is>
          <t>***** 物流中心5樓</t>
        </is>
      </c>
      <c r="N100" s="3" t="inlineStr">
        <is>
          <t>北区</t>
        </is>
      </c>
      <c r="O100" s="3" t="inlineStr">
        <is>
          <t>香港</t>
        </is>
      </c>
      <c r="P100" s="3" t="inlineStr">
        <is>
          <t>香港特别行政区</t>
        </is>
      </c>
      <c r="Q100" s="3" t="n">
        <v>494395</v>
      </c>
      <c r="R100" s="3" t="inlineStr">
        <is>
          <t>麥當勞(海達邨)McDonalds</t>
        </is>
      </c>
      <c r="S100" s="3" t="inlineStr">
        <is>
          <t>****25595727</t>
        </is>
      </c>
      <c r="T100" s="3" t="inlineStr">
        <is>
          <t>****25595727</t>
        </is>
      </c>
      <c r="U100" s="3" t="inlineStr">
        <is>
          <t>***** 台1樓3號舖</t>
        </is>
      </c>
      <c r="V100" s="3" t="inlineStr">
        <is>
          <t>香港</t>
        </is>
      </c>
      <c r="W100" s="3" t="inlineStr">
        <is>
          <t>纸袋【通版】/ 箱出</t>
        </is>
      </c>
      <c r="X100" s="3" t="inlineStr">
        <is>
          <t>ESS-SFTS-OTMS</t>
        </is>
      </c>
      <c r="Y100" s="3" t="n"/>
      <c r="Z100" s="3" t="inlineStr"/>
      <c r="AA100" s="3" t="inlineStr">
        <is>
          <t>寄付月結</t>
        </is>
      </c>
      <c r="AB100">
        <f>IFERROR(VLOOKUP(Q100&amp;"",對照表!$A:$B,1,FALSE),"")</f>
        <v/>
      </c>
      <c r="AC100">
        <f>IFERROR(VLOOKUP(Q100&amp;"",對照表!$A:$B,2,FALSE),"")</f>
        <v/>
      </c>
    </row>
    <row r="101">
      <c r="A101" s="3" t="inlineStr">
        <is>
          <t>SF5119115816686</t>
        </is>
      </c>
      <c r="B101" s="3" t="n">
        <v>58424106156217</v>
      </c>
      <c r="C101" s="3" t="inlineStr">
        <is>
          <t>已簽收</t>
        </is>
      </c>
      <c r="D101" s="3" t="inlineStr">
        <is>
          <t>2026-07-02 15:41:52</t>
        </is>
      </c>
      <c r="E101" s="3" t="inlineStr">
        <is>
          <t>2026-07-03 12:18</t>
        </is>
      </c>
      <c r="F101" s="3" t="n">
        <v>14.5</v>
      </c>
      <c r="G101" s="3" t="n">
        <v>1</v>
      </c>
      <c r="H101" s="3" t="n"/>
      <c r="I101" s="3" t="inlineStr"/>
      <c r="J101" s="3" t="inlineStr">
        <is>
          <t>Keeta</t>
        </is>
      </c>
      <c r="K101" s="3" t="inlineStr">
        <is>
          <t>****9568</t>
        </is>
      </c>
      <c r="L101" s="3" t="n"/>
      <c r="M101" s="3" t="inlineStr">
        <is>
          <t>***** 物流中心5樓</t>
        </is>
      </c>
      <c r="N101" s="3" t="inlineStr">
        <is>
          <t>北区</t>
        </is>
      </c>
      <c r="O101" s="3" t="inlineStr">
        <is>
          <t>香港</t>
        </is>
      </c>
      <c r="P101" s="3" t="inlineStr">
        <is>
          <t>香港特别行政区</t>
        </is>
      </c>
      <c r="Q101" s="3" t="n">
        <v>721523402</v>
      </c>
      <c r="R101" s="3" t="inlineStr">
        <is>
          <t>yogurt moment</t>
        </is>
      </c>
      <c r="S101" s="3" t="inlineStr">
        <is>
          <t>****1377003</t>
        </is>
      </c>
      <c r="T101" s="3" t="inlineStr">
        <is>
          <t>****1377003</t>
        </is>
      </c>
      <c r="U101" s="3" t="inlineStr">
        <is>
          <t>***** 商場地下3鋪</t>
        </is>
      </c>
      <c r="V101" s="3" t="inlineStr">
        <is>
          <t>香港</t>
        </is>
      </c>
      <c r="W101" s="3" t="inlineStr">
        <is>
          <t>纸袋【通版】/ 箱出</t>
        </is>
      </c>
      <c r="X101" s="3" t="inlineStr">
        <is>
          <t>ESS-SFTS-OTMS</t>
        </is>
      </c>
      <c r="Y101" s="3" t="n"/>
      <c r="Z101" s="3" t="inlineStr"/>
      <c r="AA101" s="3" t="inlineStr">
        <is>
          <t>寄付月結</t>
        </is>
      </c>
      <c r="AB101">
        <f>IFERROR(VLOOKUP(Q101&amp;"",對照表!$A:$B,1,FALSE),"")</f>
        <v/>
      </c>
      <c r="AC101">
        <f>IFERROR(VLOOKUP(Q101&amp;"",對照表!$A:$B,2,FALSE),"")</f>
        <v/>
      </c>
    </row>
    <row r="102">
      <c r="A102" s="3" t="inlineStr">
        <is>
          <t>SF5119115816755</t>
        </is>
      </c>
      <c r="B102" s="3" t="n">
        <v>58424106156237</v>
      </c>
      <c r="C102" s="3" t="inlineStr">
        <is>
          <t>已簽收</t>
        </is>
      </c>
      <c r="D102" s="3" t="inlineStr">
        <is>
          <t>2026-07-02 15:41:57</t>
        </is>
      </c>
      <c r="E102" s="3" t="inlineStr">
        <is>
          <t>2026-07-03 11:11</t>
        </is>
      </c>
      <c r="F102" s="3" t="n">
        <v>14.5</v>
      </c>
      <c r="G102" s="3" t="n">
        <v>1</v>
      </c>
      <c r="H102" s="3" t="n"/>
      <c r="I102" s="3" t="inlineStr"/>
      <c r="J102" s="3" t="inlineStr">
        <is>
          <t>Keeta</t>
        </is>
      </c>
      <c r="K102" s="3" t="inlineStr">
        <is>
          <t>****9568</t>
        </is>
      </c>
      <c r="L102" s="3" t="n"/>
      <c r="M102" s="3" t="inlineStr">
        <is>
          <t>***** 物流中心5樓</t>
        </is>
      </c>
      <c r="N102" s="3" t="inlineStr">
        <is>
          <t>北区</t>
        </is>
      </c>
      <c r="O102" s="3" t="inlineStr">
        <is>
          <t>香港</t>
        </is>
      </c>
      <c r="P102" s="3" t="inlineStr">
        <is>
          <t>香港特别行政区</t>
        </is>
      </c>
      <c r="Q102" s="3" t="n">
        <v>408881</v>
      </c>
      <c r="R102" s="3" t="inlineStr">
        <is>
          <t>麥當勞(萬盛閣)McDonalds</t>
        </is>
      </c>
      <c r="S102" s="3" t="inlineStr">
        <is>
          <t>****23906570</t>
        </is>
      </c>
      <c r="T102" s="3" t="inlineStr">
        <is>
          <t>****23906570</t>
        </is>
      </c>
      <c r="U102" s="3" t="inlineStr">
        <is>
          <t>***** owloon</t>
        </is>
      </c>
      <c r="V102" s="3" t="inlineStr">
        <is>
          <t>香港</t>
        </is>
      </c>
      <c r="W102" s="3" t="inlineStr">
        <is>
          <t>纸袋【通版】/ 箱出</t>
        </is>
      </c>
      <c r="X102" s="3" t="inlineStr">
        <is>
          <t>ESS-SFTS-OTMS</t>
        </is>
      </c>
      <c r="Y102" s="3" t="n"/>
      <c r="Z102" s="3" t="inlineStr"/>
      <c r="AA102" s="3" t="inlineStr">
        <is>
          <t>寄付月結</t>
        </is>
      </c>
      <c r="AB102">
        <f>IFERROR(VLOOKUP(Q102&amp;"",對照表!$A:$B,1,FALSE),"")</f>
        <v/>
      </c>
      <c r="AC102">
        <f>IFERROR(VLOOKUP(Q102&amp;"",對照表!$A:$B,2,FALSE),"")</f>
        <v/>
      </c>
    </row>
    <row r="103">
      <c r="A103" s="3" t="inlineStr">
        <is>
          <t>SF5119115815982</t>
        </is>
      </c>
      <c r="B103" s="3" t="n">
        <v>58424106156083</v>
      </c>
      <c r="C103" s="3" t="inlineStr">
        <is>
          <t>已簽收</t>
        </is>
      </c>
      <c r="D103" s="3" t="inlineStr">
        <is>
          <t>2026-07-02 14:20:04</t>
        </is>
      </c>
      <c r="E103" s="3" t="inlineStr">
        <is>
          <t>2026-07-03 11:27</t>
        </is>
      </c>
      <c r="F103" s="3" t="n">
        <v>4.45</v>
      </c>
      <c r="G103" s="3" t="n">
        <v>1</v>
      </c>
      <c r="H103" s="3" t="n"/>
      <c r="I103" s="3" t="inlineStr"/>
      <c r="J103" s="3" t="inlineStr">
        <is>
          <t>Keeta</t>
        </is>
      </c>
      <c r="K103" s="3" t="inlineStr">
        <is>
          <t>****9568</t>
        </is>
      </c>
      <c r="L103" s="3" t="n"/>
      <c r="M103" s="3" t="inlineStr">
        <is>
          <t>***** 物流中心5樓</t>
        </is>
      </c>
      <c r="N103" s="3" t="inlineStr">
        <is>
          <t>北区</t>
        </is>
      </c>
      <c r="O103" s="3" t="inlineStr">
        <is>
          <t>香港</t>
        </is>
      </c>
      <c r="P103" s="3" t="inlineStr">
        <is>
          <t>香港特别行政区</t>
        </is>
      </c>
      <c r="Q103" s="3" t="n">
        <v>584747</v>
      </c>
      <c r="R103" s="3" t="inlineStr">
        <is>
          <t>越圓越式小店</t>
        </is>
      </c>
      <c r="S103" s="3" t="inlineStr">
        <is>
          <t>****51225788</t>
        </is>
      </c>
      <c r="T103" s="3" t="inlineStr">
        <is>
          <t>****51225788</t>
        </is>
      </c>
      <c r="U103" s="3" t="inlineStr">
        <is>
          <t>***** 地下15號舖</t>
        </is>
      </c>
      <c r="V103" s="3" t="inlineStr">
        <is>
          <t>香港</t>
        </is>
      </c>
      <c r="W103" s="3" t="inlineStr">
        <is>
          <t>机纸/小票纸 / 包出</t>
        </is>
      </c>
      <c r="X103" s="3" t="inlineStr">
        <is>
          <t>ESS-SFTS-OTMS</t>
        </is>
      </c>
      <c r="Y103" s="3" t="n"/>
      <c r="Z103" s="3" t="inlineStr"/>
      <c r="AA103" s="3" t="inlineStr">
        <is>
          <t>寄付月結</t>
        </is>
      </c>
      <c r="AB103">
        <f>IFERROR(VLOOKUP(Q103&amp;"",對照表!$A:$B,1,FALSE),"")</f>
        <v/>
      </c>
      <c r="AC103">
        <f>IFERROR(VLOOKUP(Q103&amp;"",對照表!$A:$B,2,FALSE),"")</f>
        <v/>
      </c>
    </row>
    <row r="104">
      <c r="A104" s="3" t="inlineStr">
        <is>
          <t>SF5119115816719</t>
        </is>
      </c>
      <c r="B104" s="3" t="n">
        <v>58424106156226</v>
      </c>
      <c r="C104" s="3" t="inlineStr">
        <is>
          <t>已簽收</t>
        </is>
      </c>
      <c r="D104" s="3" t="inlineStr">
        <is>
          <t>2026-07-02 15:16:16</t>
        </is>
      </c>
      <c r="E104" s="3" t="inlineStr">
        <is>
          <t>2026-07-03 11:55</t>
        </is>
      </c>
      <c r="F104" s="3" t="n">
        <v>1.9</v>
      </c>
      <c r="G104" s="3" t="n">
        <v>1</v>
      </c>
      <c r="H104" s="3" t="n"/>
      <c r="I104" s="3" t="inlineStr"/>
      <c r="J104" s="3" t="inlineStr">
        <is>
          <t>Keeta</t>
        </is>
      </c>
      <c r="K104" s="3" t="inlineStr">
        <is>
          <t>****9568</t>
        </is>
      </c>
      <c r="L104" s="3" t="n"/>
      <c r="M104" s="3" t="inlineStr">
        <is>
          <t>***** 物流中心5樓</t>
        </is>
      </c>
      <c r="N104" s="3" t="inlineStr">
        <is>
          <t>北区</t>
        </is>
      </c>
      <c r="O104" s="3" t="inlineStr">
        <is>
          <t>香港</t>
        </is>
      </c>
      <c r="P104" s="3" t="inlineStr">
        <is>
          <t>香港特别行政区</t>
        </is>
      </c>
      <c r="Q104" s="3" t="n">
        <v>481652</v>
      </c>
      <c r="R104" s="3" t="inlineStr">
        <is>
          <t>林香檸手打檸檬茶(葵芳)</t>
        </is>
      </c>
      <c r="S104" s="3" t="inlineStr">
        <is>
          <t>****62197232</t>
        </is>
      </c>
      <c r="T104" s="3" t="inlineStr">
        <is>
          <t>****62197232</t>
        </is>
      </c>
      <c r="U104" s="3" t="inlineStr">
        <is>
          <t>***** 樓469號舖</t>
        </is>
      </c>
      <c r="V104" s="3" t="inlineStr">
        <is>
          <t>香港</t>
        </is>
      </c>
      <c r="W104" s="3" t="inlineStr">
        <is>
          <t>机纸/小票纸 / 包出</t>
        </is>
      </c>
      <c r="X104" s="3" t="inlineStr">
        <is>
          <t>ESS-SFTS-OTMS</t>
        </is>
      </c>
      <c r="Y104" s="3" t="n"/>
      <c r="Z104" s="3" t="inlineStr"/>
      <c r="AA104" s="3" t="inlineStr">
        <is>
          <t>寄付月結</t>
        </is>
      </c>
      <c r="AB104">
        <f>IFERROR(VLOOKUP(Q104&amp;"",對照表!$A:$B,1,FALSE),"")</f>
        <v/>
      </c>
      <c r="AC104">
        <f>IFERROR(VLOOKUP(Q104&amp;"",對照表!$A:$B,2,FALSE),"")</f>
        <v/>
      </c>
    </row>
    <row r="105">
      <c r="A105" s="3" t="inlineStr">
        <is>
          <t>SF5119115816728</t>
        </is>
      </c>
      <c r="B105" s="3" t="n">
        <v>58424106156230</v>
      </c>
      <c r="C105" s="3" t="inlineStr">
        <is>
          <t>已簽收</t>
        </is>
      </c>
      <c r="D105" s="3" t="inlineStr">
        <is>
          <t>2026-07-02 14:19:47</t>
        </is>
      </c>
      <c r="E105" s="3" t="inlineStr">
        <is>
          <t>2026-07-03 14:35</t>
        </is>
      </c>
      <c r="F105" s="3" t="n">
        <v>4.45</v>
      </c>
      <c r="G105" s="3" t="n">
        <v>1</v>
      </c>
      <c r="H105" s="3" t="n"/>
      <c r="I105" s="3" t="inlineStr"/>
      <c r="J105" s="3" t="inlineStr">
        <is>
          <t>Keeta</t>
        </is>
      </c>
      <c r="K105" s="3" t="inlineStr">
        <is>
          <t>****9568</t>
        </is>
      </c>
      <c r="L105" s="3" t="n"/>
      <c r="M105" s="3" t="inlineStr">
        <is>
          <t>***** 物流中心5樓</t>
        </is>
      </c>
      <c r="N105" s="3" t="inlineStr">
        <is>
          <t>北区</t>
        </is>
      </c>
      <c r="O105" s="3" t="inlineStr">
        <is>
          <t>香港</t>
        </is>
      </c>
      <c r="P105" s="3" t="inlineStr">
        <is>
          <t>香港特别行政区</t>
        </is>
      </c>
      <c r="Q105" s="3" t="n">
        <v>451194</v>
      </c>
      <c r="R105" s="3" t="inlineStr">
        <is>
          <t>朝日館火鍋小菜必叫夜宵點心小炒午市套餐</t>
        </is>
      </c>
      <c r="S105" s="3" t="inlineStr">
        <is>
          <t>****92698839</t>
        </is>
      </c>
      <c r="T105" s="3" t="inlineStr">
        <is>
          <t>****92698839</t>
        </is>
      </c>
      <c r="U105" s="3" t="inlineStr">
        <is>
          <t>***** 周氏大廈1樓</t>
        </is>
      </c>
      <c r="V105" s="3" t="inlineStr">
        <is>
          <t>香港</t>
        </is>
      </c>
      <c r="W105" s="3" t="inlineStr">
        <is>
          <t>机纸/小票纸 / 包出</t>
        </is>
      </c>
      <c r="X105" s="3" t="inlineStr">
        <is>
          <t>ESS-SFTS-OTMS</t>
        </is>
      </c>
      <c r="Y105" s="3" t="n"/>
      <c r="Z105" s="3" t="inlineStr"/>
      <c r="AA105" s="3" t="inlineStr">
        <is>
          <t>寄付月結</t>
        </is>
      </c>
      <c r="AB105">
        <f>IFERROR(VLOOKUP(Q105&amp;"",對照表!$A:$B,1,FALSE),"")</f>
        <v/>
      </c>
      <c r="AC105">
        <f>IFERROR(VLOOKUP(Q105&amp;"",對照表!$A:$B,2,FALSE),"")</f>
        <v/>
      </c>
    </row>
    <row r="106">
      <c r="A106" s="3" t="inlineStr">
        <is>
          <t>SF5119115816816</t>
        </is>
      </c>
      <c r="B106" s="3" t="n">
        <v>58424106156252</v>
      </c>
      <c r="C106" s="3" t="inlineStr">
        <is>
          <t>已簽收</t>
        </is>
      </c>
      <c r="D106" s="3" t="inlineStr">
        <is>
          <t>2026-07-02 14:43:12</t>
        </is>
      </c>
      <c r="E106" s="3" t="inlineStr">
        <is>
          <t>2026-07-03 11:02</t>
        </is>
      </c>
      <c r="F106" s="3" t="n">
        <v>1.1</v>
      </c>
      <c r="G106" s="3" t="n">
        <v>1</v>
      </c>
      <c r="H106" s="3" t="n"/>
      <c r="I106" s="3" t="inlineStr"/>
      <c r="J106" s="3" t="inlineStr">
        <is>
          <t>Keeta</t>
        </is>
      </c>
      <c r="K106" s="3" t="inlineStr">
        <is>
          <t>****9568</t>
        </is>
      </c>
      <c r="L106" s="3" t="n"/>
      <c r="M106" s="3" t="inlineStr">
        <is>
          <t>***** 物流中心5樓</t>
        </is>
      </c>
      <c r="N106" s="3" t="inlineStr">
        <is>
          <t>北区</t>
        </is>
      </c>
      <c r="O106" s="3" t="inlineStr">
        <is>
          <t>香港</t>
        </is>
      </c>
      <c r="P106" s="3" t="inlineStr">
        <is>
          <t>香港特别行政区</t>
        </is>
      </c>
      <c r="Q106" s="3" t="n">
        <v>721540329</v>
      </c>
      <c r="R106" s="3" t="inlineStr">
        <is>
          <t>BABAEXPRESS新品厚切Juicy大雞扒上市日本青森風味蘋果咖哩招牌滷肉(觀塘店)</t>
        </is>
      </c>
      <c r="S106" s="3" t="inlineStr">
        <is>
          <t>****57871825</t>
        </is>
      </c>
      <c r="T106" s="3" t="inlineStr">
        <is>
          <t>****57871825</t>
        </is>
      </c>
      <c r="U106" s="3" t="inlineStr">
        <is>
          <t>***** 廈6樓28室</t>
        </is>
      </c>
      <c r="V106" s="3" t="inlineStr">
        <is>
          <t>香港</t>
        </is>
      </c>
      <c r="W106" s="3" t="inlineStr">
        <is>
          <t>机纸/小票纸 / 包出</t>
        </is>
      </c>
      <c r="X106" s="3" t="inlineStr">
        <is>
          <t>ESS-SFTS-OTMS</t>
        </is>
      </c>
      <c r="Y106" s="3" t="n"/>
      <c r="Z106" s="3" t="inlineStr"/>
      <c r="AA106" s="3" t="inlineStr">
        <is>
          <t>寄付月結</t>
        </is>
      </c>
      <c r="AB106">
        <f>IFERROR(VLOOKUP(Q106&amp;"",對照表!$A:$B,1,FALSE),"")</f>
        <v/>
      </c>
      <c r="AC106">
        <f>IFERROR(VLOOKUP(Q106&amp;"",對照表!$A:$B,2,FALSE),"")</f>
        <v/>
      </c>
    </row>
    <row r="107">
      <c r="A107" s="3" t="inlineStr">
        <is>
          <t>SF5119115817105</t>
        </is>
      </c>
      <c r="B107" s="3" t="n">
        <v>58424106156322</v>
      </c>
      <c r="C107" s="3" t="inlineStr">
        <is>
          <t>已簽收</t>
        </is>
      </c>
      <c r="D107" s="3" t="inlineStr">
        <is>
          <t>2026-07-02 14:35:23</t>
        </is>
      </c>
      <c r="E107" s="3" t="inlineStr">
        <is>
          <t>2026-07-03 11:52</t>
        </is>
      </c>
      <c r="F107" s="3" t="n">
        <v>2.8</v>
      </c>
      <c r="G107" s="3" t="n">
        <v>1</v>
      </c>
      <c r="H107" s="3" t="n"/>
      <c r="I107" s="3" t="inlineStr"/>
      <c r="J107" s="3" t="inlineStr">
        <is>
          <t>Keeta</t>
        </is>
      </c>
      <c r="K107" s="3" t="inlineStr">
        <is>
          <t>****9568</t>
        </is>
      </c>
      <c r="L107" s="3" t="n"/>
      <c r="M107" s="3" t="inlineStr">
        <is>
          <t>***** 物流中心5樓</t>
        </is>
      </c>
      <c r="N107" s="3" t="inlineStr">
        <is>
          <t>北区</t>
        </is>
      </c>
      <c r="O107" s="3" t="inlineStr">
        <is>
          <t>香港</t>
        </is>
      </c>
      <c r="P107" s="3" t="inlineStr">
        <is>
          <t>香港特别行政区</t>
        </is>
      </c>
      <c r="Q107" s="3" t="n">
        <v>721529361</v>
      </c>
      <c r="R107" s="3" t="inlineStr">
        <is>
          <t>餃滋味</t>
        </is>
      </c>
      <c r="S107" s="3" t="inlineStr">
        <is>
          <t>****97353056</t>
        </is>
      </c>
      <c r="T107" s="3" t="inlineStr">
        <is>
          <t>****97353056</t>
        </is>
      </c>
      <c r="U107" s="3" t="inlineStr">
        <is>
          <t>***** 樂樓地下B鋪</t>
        </is>
      </c>
      <c r="V107" s="3" t="inlineStr">
        <is>
          <t>香港</t>
        </is>
      </c>
      <c r="W107" s="3" t="inlineStr">
        <is>
          <t>机纸/小票纸 / 包出</t>
        </is>
      </c>
      <c r="X107" s="3" t="inlineStr">
        <is>
          <t>ESS-SFTS-OTMS</t>
        </is>
      </c>
      <c r="Y107" s="3" t="n"/>
      <c r="Z107" s="3" t="inlineStr"/>
      <c r="AA107" s="3" t="inlineStr">
        <is>
          <t>寄付月結</t>
        </is>
      </c>
      <c r="AB107">
        <f>IFERROR(VLOOKUP(Q107&amp;"",對照表!$A:$B,1,FALSE),"")</f>
        <v/>
      </c>
      <c r="AC107">
        <f>IFERROR(VLOOKUP(Q107&amp;"",對照表!$A:$B,2,FALSE),"")</f>
        <v/>
      </c>
    </row>
    <row r="108">
      <c r="A108" s="3" t="inlineStr">
        <is>
          <t>SF5119115816640</t>
        </is>
      </c>
      <c r="B108" s="3" t="n">
        <v>58424106156209</v>
      </c>
      <c r="C108" s="3" t="inlineStr">
        <is>
          <t>已簽收</t>
        </is>
      </c>
      <c r="D108" s="3" t="inlineStr">
        <is>
          <t>2026-07-02 14:19:57</t>
        </is>
      </c>
      <c r="E108" s="3" t="inlineStr">
        <is>
          <t>2026-07-03 11:42</t>
        </is>
      </c>
      <c r="F108" s="3" t="n">
        <v>4.45</v>
      </c>
      <c r="G108" s="3" t="n">
        <v>1</v>
      </c>
      <c r="H108" s="3" t="n"/>
      <c r="I108" s="3" t="inlineStr"/>
      <c r="J108" s="3" t="inlineStr">
        <is>
          <t>Keeta</t>
        </is>
      </c>
      <c r="K108" s="3" t="inlineStr">
        <is>
          <t>****9568</t>
        </is>
      </c>
      <c r="L108" s="3" t="n"/>
      <c r="M108" s="3" t="inlineStr">
        <is>
          <t>***** 物流中心5樓</t>
        </is>
      </c>
      <c r="N108" s="3" t="inlineStr">
        <is>
          <t>北区</t>
        </is>
      </c>
      <c r="O108" s="3" t="inlineStr">
        <is>
          <t>香港</t>
        </is>
      </c>
      <c r="P108" s="3" t="inlineStr">
        <is>
          <t>香港特别行政区</t>
        </is>
      </c>
      <c r="Q108" s="3" t="n">
        <v>492850</v>
      </c>
      <c r="R108" s="3" t="inlineStr">
        <is>
          <t>堅信號上海生煎皇(屯門時代廣場)</t>
        </is>
      </c>
      <c r="S108" s="3" t="inlineStr">
        <is>
          <t>****26992828</t>
        </is>
      </c>
      <c r="T108" s="3" t="inlineStr">
        <is>
          <t>****26992828</t>
        </is>
      </c>
      <c r="U108" s="3" t="inlineStr">
        <is>
          <t>***** en Mun</t>
        </is>
      </c>
      <c r="V108" s="3" t="inlineStr">
        <is>
          <t>香港</t>
        </is>
      </c>
      <c r="W108" s="3" t="inlineStr">
        <is>
          <t>机纸/小票纸 / 包出</t>
        </is>
      </c>
      <c r="X108" s="3" t="inlineStr">
        <is>
          <t>ESS-SFTS-OTMS</t>
        </is>
      </c>
      <c r="Y108" s="3" t="n"/>
      <c r="Z108" s="3" t="inlineStr"/>
      <c r="AA108" s="3" t="inlineStr">
        <is>
          <t>寄付月結</t>
        </is>
      </c>
      <c r="AB108">
        <f>IFERROR(VLOOKUP(Q108&amp;"",對照表!$A:$B,1,FALSE),"")</f>
        <v/>
      </c>
      <c r="AC108">
        <f>IFERROR(VLOOKUP(Q108&amp;"",對照表!$A:$B,2,FALSE),"")</f>
        <v/>
      </c>
    </row>
    <row r="109">
      <c r="A109" s="3" t="inlineStr">
        <is>
          <t>SF5119115816598</t>
        </is>
      </c>
      <c r="B109" s="3" t="n">
        <v>58424106156199</v>
      </c>
      <c r="C109" s="3" t="inlineStr">
        <is>
          <t>已簽收</t>
        </is>
      </c>
      <c r="D109" s="3" t="inlineStr">
        <is>
          <t>2026-07-02 15:44:55</t>
        </is>
      </c>
      <c r="E109" s="3" t="inlineStr">
        <is>
          <t>2026-07-03 14:26</t>
        </is>
      </c>
      <c r="F109" s="3" t="n">
        <v>29</v>
      </c>
      <c r="G109" s="3" t="n">
        <v>2</v>
      </c>
      <c r="H109" s="3" t="n"/>
      <c r="I109" s="3" t="inlineStr"/>
      <c r="J109" s="3" t="inlineStr">
        <is>
          <t>Keeta</t>
        </is>
      </c>
      <c r="K109" s="3" t="inlineStr">
        <is>
          <t>****9568</t>
        </is>
      </c>
      <c r="L109" s="3" t="n"/>
      <c r="M109" s="3" t="inlineStr">
        <is>
          <t>***** 物流中心5樓</t>
        </is>
      </c>
      <c r="N109" s="3" t="inlineStr">
        <is>
          <t>北区</t>
        </is>
      </c>
      <c r="O109" s="3" t="inlineStr">
        <is>
          <t>香港</t>
        </is>
      </c>
      <c r="P109" s="3" t="inlineStr">
        <is>
          <t>香港特别行政区</t>
        </is>
      </c>
      <c r="Q109" s="3" t="n">
        <v>560078</v>
      </c>
      <c r="R109" s="3" t="inlineStr">
        <is>
          <t>麥當勞(新港城II)McDonalds</t>
        </is>
      </c>
      <c r="S109" s="3" t="inlineStr">
        <is>
          <t>****26334460</t>
        </is>
      </c>
      <c r="T109" s="3" t="inlineStr">
        <is>
          <t>****26334460</t>
        </is>
      </c>
      <c r="U109" s="3" t="inlineStr">
        <is>
          <t>***** 2138號舖</t>
        </is>
      </c>
      <c r="V109" s="3" t="inlineStr">
        <is>
          <t>香港</t>
        </is>
      </c>
      <c r="W109" s="3" t="inlineStr">
        <is>
          <t>纸袋【通版】/ 箱出</t>
        </is>
      </c>
      <c r="X109" s="3" t="inlineStr">
        <is>
          <t>ESS-SFTS-OTMS</t>
        </is>
      </c>
      <c r="Y109" s="3" t="n"/>
      <c r="Z109" s="3" t="inlineStr"/>
      <c r="AA109" s="3" t="inlineStr">
        <is>
          <t>寄付月結</t>
        </is>
      </c>
      <c r="AB109">
        <f>IFERROR(VLOOKUP(Q109&amp;"",對照表!$A:$B,1,FALSE),"")</f>
        <v/>
      </c>
      <c r="AC109">
        <f>IFERROR(VLOOKUP(Q109&amp;"",對照表!$A:$B,2,FALSE),"")</f>
        <v/>
      </c>
    </row>
    <row r="110">
      <c r="A110" s="3" t="inlineStr">
        <is>
          <t>SF5119115816791</t>
        </is>
      </c>
      <c r="B110" s="3" t="n">
        <v>58424106156246</v>
      </c>
      <c r="C110" s="3" t="inlineStr">
        <is>
          <t>已簽收</t>
        </is>
      </c>
      <c r="D110" s="3" t="inlineStr">
        <is>
          <t>2026-07-02 15:48:43</t>
        </is>
      </c>
      <c r="E110" s="3" t="inlineStr">
        <is>
          <t>2026-07-03 12:04</t>
        </is>
      </c>
      <c r="F110" s="3" t="n">
        <v>58</v>
      </c>
      <c r="G110" s="3" t="n">
        <v>4</v>
      </c>
      <c r="H110" s="3" t="n"/>
      <c r="I110" s="3" t="inlineStr"/>
      <c r="J110" s="3" t="inlineStr">
        <is>
          <t>Keeta</t>
        </is>
      </c>
      <c r="K110" s="3" t="inlineStr">
        <is>
          <t>****9568</t>
        </is>
      </c>
      <c r="L110" s="3" t="n"/>
      <c r="M110" s="3" t="inlineStr">
        <is>
          <t>***** 物流中心5樓</t>
        </is>
      </c>
      <c r="N110" s="3" t="inlineStr">
        <is>
          <t>北区</t>
        </is>
      </c>
      <c r="O110" s="3" t="inlineStr">
        <is>
          <t>香港</t>
        </is>
      </c>
      <c r="P110" s="3" t="inlineStr">
        <is>
          <t>香港特别行政区</t>
        </is>
      </c>
      <c r="Q110" s="3" t="n">
        <v>721531373</v>
      </c>
      <c r="R110" s="3" t="inlineStr">
        <is>
          <t>麥當勞 (幸福商場) McDonald&amp;apos;s</t>
        </is>
      </c>
      <c r="S110" s="3" t="inlineStr">
        <is>
          <t>****27583292</t>
        </is>
      </c>
      <c r="T110" s="3" t="inlineStr">
        <is>
          <t>****27583292</t>
        </is>
      </c>
      <c r="U110" s="3" t="inlineStr">
        <is>
          <t>***** 1樓111舖</t>
        </is>
      </c>
      <c r="V110" s="3" t="inlineStr">
        <is>
          <t>香港</t>
        </is>
      </c>
      <c r="W110" s="3" t="inlineStr">
        <is>
          <t>纸袋【通版】/ 箱出</t>
        </is>
      </c>
      <c r="X110" s="3" t="inlineStr">
        <is>
          <t>ESS-SFTS-OTMS</t>
        </is>
      </c>
      <c r="Y110" s="3" t="n"/>
      <c r="Z110" s="3" t="inlineStr"/>
      <c r="AA110" s="3" t="inlineStr">
        <is>
          <t>寄付月結</t>
        </is>
      </c>
      <c r="AB110">
        <f>IFERROR(VLOOKUP(Q110&amp;"",對照表!$A:$B,1,FALSE),"")</f>
        <v/>
      </c>
      <c r="AC110">
        <f>IFERROR(VLOOKUP(Q110&amp;"",對照表!$A:$B,2,FALSE),"")</f>
        <v/>
      </c>
    </row>
    <row r="111">
      <c r="A111" s="3" t="inlineStr">
        <is>
          <t>SF5119115816668</t>
        </is>
      </c>
      <c r="B111" s="3" t="n">
        <v>58424106156213</v>
      </c>
      <c r="C111" s="3" t="inlineStr">
        <is>
          <t>已簽收</t>
        </is>
      </c>
      <c r="D111" s="3" t="inlineStr">
        <is>
          <t>2026-07-02 15:48:25</t>
        </is>
      </c>
      <c r="E111" s="3" t="inlineStr">
        <is>
          <t>2026-07-03 13:51</t>
        </is>
      </c>
      <c r="F111" s="3" t="n">
        <v>58</v>
      </c>
      <c r="G111" s="3" t="n">
        <v>4</v>
      </c>
      <c r="H111" s="3" t="n"/>
      <c r="I111" s="3" t="inlineStr"/>
      <c r="J111" s="3" t="inlineStr">
        <is>
          <t>Keeta</t>
        </is>
      </c>
      <c r="K111" s="3" t="inlineStr">
        <is>
          <t>****9568</t>
        </is>
      </c>
      <c r="L111" s="3" t="n"/>
      <c r="M111" s="3" t="inlineStr">
        <is>
          <t>***** 物流中心5樓</t>
        </is>
      </c>
      <c r="N111" s="3" t="inlineStr">
        <is>
          <t>北区</t>
        </is>
      </c>
      <c r="O111" s="3" t="inlineStr">
        <is>
          <t>香港</t>
        </is>
      </c>
      <c r="P111" s="3" t="inlineStr">
        <is>
          <t>香港特别行政区</t>
        </is>
      </c>
      <c r="Q111" s="3" t="n">
        <v>491491</v>
      </c>
      <c r="R111" s="3" t="inlineStr">
        <is>
          <t>麥當勞(海悅豪園)McDonalds</t>
        </is>
      </c>
      <c r="S111" s="3" t="inlineStr">
        <is>
          <t>****22744106</t>
        </is>
      </c>
      <c r="T111" s="3" t="inlineStr">
        <is>
          <t>****22744106</t>
        </is>
      </c>
      <c r="U111" s="3" t="inlineStr">
        <is>
          <t>***** 園地下九號舖</t>
        </is>
      </c>
      <c r="V111" s="3" t="inlineStr">
        <is>
          <t>香港</t>
        </is>
      </c>
      <c r="W111" s="3" t="inlineStr">
        <is>
          <t>纸袋【通版】/ 箱出</t>
        </is>
      </c>
      <c r="X111" s="3" t="inlineStr">
        <is>
          <t>ESS-SFTS-OTMS</t>
        </is>
      </c>
      <c r="Y111" s="3" t="n"/>
      <c r="Z111" s="3" t="inlineStr"/>
      <c r="AA111" s="3" t="inlineStr">
        <is>
          <t>寄付月結</t>
        </is>
      </c>
      <c r="AB111">
        <f>IFERROR(VLOOKUP(Q111&amp;"",對照表!$A:$B,1,FALSE),"")</f>
        <v/>
      </c>
      <c r="AC111">
        <f>IFERROR(VLOOKUP(Q111&amp;"",對照表!$A:$B,2,FALSE),"")</f>
        <v/>
      </c>
    </row>
    <row r="112">
      <c r="A112" s="3" t="inlineStr">
        <is>
          <t>SF5119115816764</t>
        </is>
      </c>
      <c r="B112" s="3" t="n">
        <v>58424106156241</v>
      </c>
      <c r="C112" s="3" t="inlineStr">
        <is>
          <t>已簽收</t>
        </is>
      </c>
      <c r="D112" s="3" t="inlineStr">
        <is>
          <t>2026-07-02 15:49:00</t>
        </is>
      </c>
      <c r="E112" s="3" t="inlineStr">
        <is>
          <t>2026-07-03 15:10</t>
        </is>
      </c>
      <c r="F112" s="3" t="n">
        <v>58</v>
      </c>
      <c r="G112" s="3" t="n">
        <v>4</v>
      </c>
      <c r="H112" s="3" t="n"/>
      <c r="I112" s="3" t="inlineStr"/>
      <c r="J112" s="3" t="inlineStr">
        <is>
          <t>Keeta</t>
        </is>
      </c>
      <c r="K112" s="3" t="inlineStr">
        <is>
          <t>****9568</t>
        </is>
      </c>
      <c r="L112" s="3" t="n"/>
      <c r="M112" s="3" t="inlineStr">
        <is>
          <t>***** 物流中心5樓</t>
        </is>
      </c>
      <c r="N112" s="3" t="inlineStr">
        <is>
          <t>北区</t>
        </is>
      </c>
      <c r="O112" s="3" t="inlineStr">
        <is>
          <t>香港</t>
        </is>
      </c>
      <c r="P112" s="3" t="inlineStr">
        <is>
          <t>香港特别行政区</t>
        </is>
      </c>
      <c r="Q112" s="3" t="n">
        <v>474707</v>
      </c>
      <c r="R112" s="3" t="inlineStr">
        <is>
          <t>麥當勞（愛民）McDonalds</t>
        </is>
      </c>
      <c r="S112" s="3" t="inlineStr">
        <is>
          <t>****27577891</t>
        </is>
      </c>
      <c r="T112" s="3" t="inlineStr">
        <is>
          <t>****27577891</t>
        </is>
      </c>
      <c r="U112" s="3" t="inlineStr">
        <is>
          <t>***** 號A部份地庫</t>
        </is>
      </c>
      <c r="V112" s="3" t="inlineStr">
        <is>
          <t>香港</t>
        </is>
      </c>
      <c r="W112" s="3" t="inlineStr">
        <is>
          <t>纸袋【通版】/ 箱出</t>
        </is>
      </c>
      <c r="X112" s="3" t="inlineStr">
        <is>
          <t>ESS-SFTS-OTMS</t>
        </is>
      </c>
      <c r="Y112" s="3" t="n"/>
      <c r="Z112" s="3" t="inlineStr"/>
      <c r="AA112" s="3" t="inlineStr">
        <is>
          <t>寄付月結</t>
        </is>
      </c>
      <c r="AB112">
        <f>IFERROR(VLOOKUP(Q112&amp;"",對照表!$A:$B,1,FALSE),"")</f>
        <v/>
      </c>
      <c r="AC112">
        <f>IFERROR(VLOOKUP(Q112&amp;"",對照表!$A:$B,2,FALSE),"")</f>
        <v/>
      </c>
    </row>
    <row r="113">
      <c r="A113" s="3" t="inlineStr">
        <is>
          <t>SF5119115816700</t>
        </is>
      </c>
      <c r="B113" s="3" t="n">
        <v>58424106156224</v>
      </c>
      <c r="C113" s="3" t="inlineStr">
        <is>
          <t>已簽收</t>
        </is>
      </c>
      <c r="D113" s="3" t="inlineStr">
        <is>
          <t>2026-07-02 15:41:54</t>
        </is>
      </c>
      <c r="E113" s="3" t="inlineStr">
        <is>
          <t>2026-07-03 12:23</t>
        </is>
      </c>
      <c r="F113" s="3" t="n">
        <v>14.5</v>
      </c>
      <c r="G113" s="3" t="n">
        <v>1</v>
      </c>
      <c r="H113" s="3" t="n"/>
      <c r="I113" s="3" t="inlineStr"/>
      <c r="J113" s="3" t="inlineStr">
        <is>
          <t>Keeta</t>
        </is>
      </c>
      <c r="K113" s="3" t="inlineStr">
        <is>
          <t>****9568</t>
        </is>
      </c>
      <c r="L113" s="3" t="n"/>
      <c r="M113" s="3" t="inlineStr">
        <is>
          <t>***** 物流中心5樓</t>
        </is>
      </c>
      <c r="N113" s="3" t="inlineStr">
        <is>
          <t>北区</t>
        </is>
      </c>
      <c r="O113" s="3" t="inlineStr">
        <is>
          <t>香港</t>
        </is>
      </c>
      <c r="P113" s="3" t="inlineStr">
        <is>
          <t>香港特别行政区</t>
        </is>
      </c>
      <c r="Q113" s="3" t="n">
        <v>20260703</v>
      </c>
      <c r="R113" s="3" t="inlineStr">
        <is>
          <t>COMENUYTEA(德福廣場)</t>
        </is>
      </c>
      <c r="S113" s="3" t="inlineStr">
        <is>
          <t>****6098</t>
        </is>
      </c>
      <c r="T113" s="3" t="inlineStr">
        <is>
          <t>****6098</t>
        </is>
      </c>
      <c r="U113" s="3" t="inlineStr">
        <is>
          <t>*****  G60 舖</t>
        </is>
      </c>
      <c r="V113" s="3" t="inlineStr">
        <is>
          <t>香港</t>
        </is>
      </c>
      <c r="W113" s="3" t="inlineStr">
        <is>
          <t>纸袋【通版】/ 箱出</t>
        </is>
      </c>
      <c r="X113" s="3" t="inlineStr">
        <is>
          <t>ESS-SFTS-OTMS</t>
        </is>
      </c>
      <c r="Y113" s="3" t="n"/>
      <c r="Z113" s="3" t="inlineStr"/>
      <c r="AA113" s="3" t="inlineStr">
        <is>
          <t>寄付月結</t>
        </is>
      </c>
      <c r="AB113">
        <f>IFERROR(VLOOKUP(Q113&amp;"",對照表!$A:$B,1,FALSE),"")</f>
        <v/>
      </c>
      <c r="AC113">
        <f>IFERROR(VLOOKUP(Q113&amp;"",對照表!$A:$B,2,FALSE),"")</f>
        <v/>
      </c>
    </row>
    <row r="114">
      <c r="A114" s="3" t="inlineStr">
        <is>
          <t>SF5119115816737</t>
        </is>
      </c>
      <c r="B114" s="3" t="n">
        <v>58424106156233</v>
      </c>
      <c r="C114" s="3" t="inlineStr">
        <is>
          <t>已簽收</t>
        </is>
      </c>
      <c r="D114" s="3" t="inlineStr">
        <is>
          <t>2026-07-02 15:41:55</t>
        </is>
      </c>
      <c r="E114" s="3" t="inlineStr">
        <is>
          <t>2026-07-03 13:39</t>
        </is>
      </c>
      <c r="F114" s="3" t="n">
        <v>14.5</v>
      </c>
      <c r="G114" s="3" t="n">
        <v>1</v>
      </c>
      <c r="H114" s="3" t="n"/>
      <c r="I114" s="3" t="inlineStr"/>
      <c r="J114" s="3" t="inlineStr">
        <is>
          <t>Keeta</t>
        </is>
      </c>
      <c r="K114" s="3" t="inlineStr">
        <is>
          <t>****9568</t>
        </is>
      </c>
      <c r="L114" s="3" t="n"/>
      <c r="M114" s="3" t="inlineStr">
        <is>
          <t>***** 物流中心5樓</t>
        </is>
      </c>
      <c r="N114" s="3" t="inlineStr">
        <is>
          <t>北区</t>
        </is>
      </c>
      <c r="O114" s="3" t="inlineStr">
        <is>
          <t>香港</t>
        </is>
      </c>
      <c r="P114" s="3" t="inlineStr">
        <is>
          <t>香港特别行政区</t>
        </is>
      </c>
      <c r="Q114" s="3" t="n">
        <v>478121</v>
      </c>
      <c r="R114" s="3" t="inlineStr">
        <is>
          <t>麥當勞(麗晶商場)McDonalds</t>
        </is>
      </c>
      <c r="S114" s="3" t="inlineStr">
        <is>
          <t>****27590623</t>
        </is>
      </c>
      <c r="T114" s="3" t="inlineStr">
        <is>
          <t>****27590623</t>
        </is>
      </c>
      <c r="U114" s="3" t="inlineStr">
        <is>
          <t>***** 18-1號舖</t>
        </is>
      </c>
      <c r="V114" s="3" t="inlineStr">
        <is>
          <t>香港</t>
        </is>
      </c>
      <c r="W114" s="3" t="inlineStr">
        <is>
          <t>纸袋【通版】/ 箱出</t>
        </is>
      </c>
      <c r="X114" s="3" t="inlineStr">
        <is>
          <t>ESS-SFTS-OTMS</t>
        </is>
      </c>
      <c r="Y114" s="3" t="n"/>
      <c r="Z114" s="3" t="inlineStr"/>
      <c r="AA114" s="3" t="inlineStr">
        <is>
          <t>寄付月結</t>
        </is>
      </c>
      <c r="AB114">
        <f>IFERROR(VLOOKUP(Q114&amp;"",對照表!$A:$B,1,FALSE),"")</f>
        <v/>
      </c>
      <c r="AC114">
        <f>IFERROR(VLOOKUP(Q114&amp;"",對照表!$A:$B,2,FALSE),"")</f>
        <v/>
      </c>
    </row>
    <row r="115">
      <c r="A115" s="3" t="inlineStr">
        <is>
          <t>SF5119115816067</t>
        </is>
      </c>
      <c r="B115" s="3" t="n">
        <v>58424106156098</v>
      </c>
      <c r="C115" s="3" t="inlineStr">
        <is>
          <t>已簽收</t>
        </is>
      </c>
      <c r="D115" s="3" t="inlineStr">
        <is>
          <t>2026-07-02 14:35:22</t>
        </is>
      </c>
      <c r="E115" s="3" t="inlineStr">
        <is>
          <t>2026-07-03 09:47</t>
        </is>
      </c>
      <c r="F115" s="3" t="n">
        <v>2.8</v>
      </c>
      <c r="G115" s="3" t="n">
        <v>1</v>
      </c>
      <c r="H115" s="3" t="n"/>
      <c r="I115" s="3" t="inlineStr"/>
      <c r="J115" s="3" t="inlineStr">
        <is>
          <t>Keeta</t>
        </is>
      </c>
      <c r="K115" s="3" t="inlineStr">
        <is>
          <t>****9568</t>
        </is>
      </c>
      <c r="L115" s="3" t="n"/>
      <c r="M115" s="3" t="inlineStr">
        <is>
          <t>***** 物流中心5樓</t>
        </is>
      </c>
      <c r="N115" s="3" t="inlineStr">
        <is>
          <t>北区</t>
        </is>
      </c>
      <c r="O115" s="3" t="inlineStr">
        <is>
          <t>香港</t>
        </is>
      </c>
      <c r="P115" s="3" t="inlineStr">
        <is>
          <t>香港特别行政区</t>
        </is>
      </c>
      <c r="Q115" s="3" t="n">
        <v>583176</v>
      </c>
      <c r="R115" s="3" t="inlineStr">
        <is>
          <t>越粉</t>
        </is>
      </c>
      <c r="S115" s="3" t="inlineStr">
        <is>
          <t>****35636119</t>
        </is>
      </c>
      <c r="T115" s="3" t="inlineStr">
        <is>
          <t>****35636119</t>
        </is>
      </c>
      <c r="U115" s="3" t="inlineStr">
        <is>
          <t>***** 一期地下A鋪</t>
        </is>
      </c>
      <c r="V115" s="3" t="inlineStr">
        <is>
          <t>香港</t>
        </is>
      </c>
      <c r="W115" s="3" t="inlineStr">
        <is>
          <t>机纸/小票纸 / 包出</t>
        </is>
      </c>
      <c r="X115" s="3" t="inlineStr">
        <is>
          <t>ESS-SFTS-OTMS</t>
        </is>
      </c>
      <c r="Y115" s="3" t="n"/>
      <c r="Z115" s="3" t="inlineStr"/>
      <c r="AA115" s="3" t="inlineStr">
        <is>
          <t>寄付月結</t>
        </is>
      </c>
      <c r="AB115">
        <f>IFERROR(VLOOKUP(Q115&amp;"",對照表!$A:$B,1,FALSE),"")</f>
        <v/>
      </c>
      <c r="AC115">
        <f>IFERROR(VLOOKUP(Q115&amp;"",對照表!$A:$B,2,FALSE),"")</f>
        <v/>
      </c>
    </row>
    <row r="116">
      <c r="A116" s="3" t="inlineStr">
        <is>
          <t>SF5119115816904</t>
        </is>
      </c>
      <c r="B116" s="3" t="n">
        <v>58424106156282</v>
      </c>
      <c r="C116" s="3" t="inlineStr">
        <is>
          <t>已簽收</t>
        </is>
      </c>
      <c r="D116" s="3" t="inlineStr">
        <is>
          <t>2026-07-02 15:44:48</t>
        </is>
      </c>
      <c r="E116" s="3" t="inlineStr">
        <is>
          <t>2026-07-03 12:08</t>
        </is>
      </c>
      <c r="F116" s="3" t="n">
        <v>29</v>
      </c>
      <c r="G116" s="3" t="n">
        <v>2</v>
      </c>
      <c r="H116" s="3" t="n"/>
      <c r="I116" s="3" t="inlineStr"/>
      <c r="J116" s="3" t="inlineStr">
        <is>
          <t>Keeta</t>
        </is>
      </c>
      <c r="K116" s="3" t="inlineStr">
        <is>
          <t>****9568</t>
        </is>
      </c>
      <c r="L116" s="3" t="n"/>
      <c r="M116" s="3" t="inlineStr">
        <is>
          <t>***** 物流中心5樓</t>
        </is>
      </c>
      <c r="N116" s="3" t="inlineStr">
        <is>
          <t>北区</t>
        </is>
      </c>
      <c r="O116" s="3" t="inlineStr">
        <is>
          <t>香港</t>
        </is>
      </c>
      <c r="P116" s="3" t="inlineStr">
        <is>
          <t>香港特别行政区</t>
        </is>
      </c>
      <c r="Q116" s="3" t="n">
        <v>721539368</v>
      </c>
      <c r="R116" s="3" t="inlineStr">
        <is>
          <t>麥當勞 (華富) McDonald&amp;apos;s
McDonald&amp;apos;s (Wah Fu)</t>
        </is>
      </c>
      <c r="S116" s="3" t="inlineStr">
        <is>
          <t>****25518135</t>
        </is>
      </c>
      <c r="T116" s="3" t="inlineStr">
        <is>
          <t>****25518135</t>
        </is>
      </c>
      <c r="U116" s="3" t="inlineStr">
        <is>
          <t>***** )商場1A舖</t>
        </is>
      </c>
      <c r="V116" s="3" t="inlineStr">
        <is>
          <t>香港</t>
        </is>
      </c>
      <c r="W116" s="3" t="inlineStr">
        <is>
          <t>纸袋【通版】/ 箱出</t>
        </is>
      </c>
      <c r="X116" s="3" t="inlineStr">
        <is>
          <t>ESS-SFTS-OTMS</t>
        </is>
      </c>
      <c r="Y116" s="3" t="n"/>
      <c r="Z116" s="3" t="inlineStr"/>
      <c r="AA116" s="3" t="inlineStr">
        <is>
          <t>寄付月結</t>
        </is>
      </c>
      <c r="AB116">
        <f>IFERROR(VLOOKUP(Q116&amp;"",對照表!$A:$B,1,FALSE),"")</f>
        <v/>
      </c>
      <c r="AC116">
        <f>IFERROR(VLOOKUP(Q116&amp;"",對照表!$A:$B,2,FALSE),"")</f>
        <v/>
      </c>
    </row>
    <row r="117">
      <c r="A117" s="3" t="inlineStr">
        <is>
          <t>SF5119115817017</t>
        </is>
      </c>
      <c r="B117" s="3" t="n">
        <v>58424106156304</v>
      </c>
      <c r="C117" s="3" t="inlineStr">
        <is>
          <t>已簽收</t>
        </is>
      </c>
      <c r="D117" s="3" t="inlineStr">
        <is>
          <t>2026-07-02 15:39:02</t>
        </is>
      </c>
      <c r="E117" s="3" t="inlineStr">
        <is>
          <t>2026-07-03 11:20</t>
        </is>
      </c>
      <c r="F117" s="3" t="n">
        <v>43.5</v>
      </c>
      <c r="G117" s="3" t="n">
        <v>3</v>
      </c>
      <c r="H117" s="3" t="n"/>
      <c r="I117" s="3" t="inlineStr"/>
      <c r="J117" s="3" t="inlineStr">
        <is>
          <t>Keeta</t>
        </is>
      </c>
      <c r="K117" s="3" t="inlineStr">
        <is>
          <t>****9568</t>
        </is>
      </c>
      <c r="L117" s="3" t="n"/>
      <c r="M117" s="3" t="inlineStr">
        <is>
          <t>***** 物流中心5樓</t>
        </is>
      </c>
      <c r="N117" s="3" t="inlineStr">
        <is>
          <t>北区</t>
        </is>
      </c>
      <c r="O117" s="3" t="inlineStr">
        <is>
          <t>香港</t>
        </is>
      </c>
      <c r="P117" s="3" t="inlineStr">
        <is>
          <t>香港特别行政区</t>
        </is>
      </c>
      <c r="Q117" s="3" t="n">
        <v>478243</v>
      </c>
      <c r="R117" s="3" t="inlineStr">
        <is>
          <t>麥當勞(健康邨)McDonalds</t>
        </is>
      </c>
      <c r="S117" s="3" t="inlineStr">
        <is>
          <t>****25639482</t>
        </is>
      </c>
      <c r="T117" s="3" t="inlineStr">
        <is>
          <t>****25639482</t>
        </is>
      </c>
      <c r="U117" s="3" t="inlineStr">
        <is>
          <t>***** 康邨地下C舖</t>
        </is>
      </c>
      <c r="V117" s="3" t="inlineStr">
        <is>
          <t>香港</t>
        </is>
      </c>
      <c r="W117" s="3" t="inlineStr">
        <is>
          <t>纸袋【通版】/ 箱出</t>
        </is>
      </c>
      <c r="X117" s="3" t="inlineStr">
        <is>
          <t>ESS-SFTS-OTMS</t>
        </is>
      </c>
      <c r="Y117" s="3" t="n"/>
      <c r="Z117" s="3" t="inlineStr"/>
      <c r="AA117" s="3" t="inlineStr">
        <is>
          <t>寄付月結</t>
        </is>
      </c>
      <c r="AB117">
        <f>IFERROR(VLOOKUP(Q117&amp;"",對照表!$A:$B,1,FALSE),"")</f>
        <v/>
      </c>
      <c r="AC117">
        <f>IFERROR(VLOOKUP(Q117&amp;"",對照表!$A:$B,2,FALSE),"")</f>
        <v/>
      </c>
    </row>
    <row r="118">
      <c r="A118" s="3" t="inlineStr">
        <is>
          <t>SF5119115816534</t>
        </is>
      </c>
      <c r="B118" s="3" t="n">
        <v>58424106156192</v>
      </c>
      <c r="C118" s="3" t="inlineStr">
        <is>
          <t>已簽收</t>
        </is>
      </c>
      <c r="D118" s="3" t="inlineStr">
        <is>
          <t>2026-07-02 14:43:27</t>
        </is>
      </c>
      <c r="E118" s="3" t="inlineStr">
        <is>
          <t>2026-07-03 14:11</t>
        </is>
      </c>
      <c r="F118" s="3" t="n">
        <v>0.67</v>
      </c>
      <c r="G118" s="3" t="n">
        <v>1</v>
      </c>
      <c r="H118" s="3" t="n"/>
      <c r="I118" s="3" t="inlineStr"/>
      <c r="J118" s="3" t="inlineStr">
        <is>
          <t>Keeta</t>
        </is>
      </c>
      <c r="K118" s="3" t="inlineStr">
        <is>
          <t>****9568</t>
        </is>
      </c>
      <c r="L118" s="3" t="n"/>
      <c r="M118" s="3" t="inlineStr">
        <is>
          <t>***** 物流中心5樓</t>
        </is>
      </c>
      <c r="N118" s="3" t="inlineStr">
        <is>
          <t>北区</t>
        </is>
      </c>
      <c r="O118" s="3" t="inlineStr">
        <is>
          <t>香港</t>
        </is>
      </c>
      <c r="P118" s="3" t="inlineStr">
        <is>
          <t>香港特别行政区</t>
        </is>
      </c>
      <c r="Q118" s="3" t="n">
        <v>560158</v>
      </c>
      <c r="R118" s="3" t="inlineStr">
        <is>
          <t>星巴克(NovoWalk)StarbucksCoffee</t>
        </is>
      </c>
      <c r="S118" s="3" t="inlineStr">
        <is>
          <t>****29813363</t>
        </is>
      </c>
      <c r="T118" s="3" t="inlineStr">
        <is>
          <t>****29813363</t>
        </is>
      </c>
      <c r="U118" s="3" t="inlineStr">
        <is>
          <t>***** 下45 號舖</t>
        </is>
      </c>
      <c r="V118" s="3" t="inlineStr">
        <is>
          <t>香港</t>
        </is>
      </c>
      <c r="W118" s="3" t="inlineStr">
        <is>
          <t>机纸/小票纸 / 包出</t>
        </is>
      </c>
      <c r="X118" s="3" t="inlineStr">
        <is>
          <t>ESS-SFTS-OTMS</t>
        </is>
      </c>
      <c r="Y118" s="3" t="n"/>
      <c r="Z118" s="3" t="inlineStr"/>
      <c r="AA118" s="3" t="inlineStr">
        <is>
          <t>寄付月結</t>
        </is>
      </c>
      <c r="AB118">
        <f>IFERROR(VLOOKUP(Q118&amp;"",對照表!$A:$B,1,FALSE),"")</f>
        <v/>
      </c>
      <c r="AC118">
        <f>IFERROR(VLOOKUP(Q118&amp;"",對照表!$A:$B,2,FALSE),"")</f>
        <v/>
      </c>
    </row>
    <row r="119">
      <c r="A119" s="3" t="inlineStr">
        <is>
          <t>SF5119115817123</t>
        </is>
      </c>
      <c r="B119" s="3" t="n">
        <v>58424106156326</v>
      </c>
      <c r="C119" s="3" t="inlineStr">
        <is>
          <t>已簽收</t>
        </is>
      </c>
      <c r="D119" s="3" t="inlineStr">
        <is>
          <t>2026-07-02 16:40:12</t>
        </is>
      </c>
      <c r="E119" s="3" t="inlineStr">
        <is>
          <t>2026-07-03 12:08</t>
        </is>
      </c>
      <c r="F119" s="3" t="n">
        <v>0.96</v>
      </c>
      <c r="G119" s="3" t="n">
        <v>1</v>
      </c>
      <c r="H119" s="3" t="n"/>
      <c r="I119" s="3" t="inlineStr"/>
      <c r="J119" s="3" t="inlineStr">
        <is>
          <t>Keeta</t>
        </is>
      </c>
      <c r="K119" s="3" t="inlineStr">
        <is>
          <t>****9568</t>
        </is>
      </c>
      <c r="L119" s="3" t="n"/>
      <c r="M119" s="3" t="inlineStr">
        <is>
          <t>***** 物流中心5樓</t>
        </is>
      </c>
      <c r="N119" s="3" t="inlineStr">
        <is>
          <t>北区</t>
        </is>
      </c>
      <c r="O119" s="3" t="inlineStr">
        <is>
          <t>香港</t>
        </is>
      </c>
      <c r="P119" s="3" t="inlineStr">
        <is>
          <t>香港特别行政区</t>
        </is>
      </c>
      <c r="Q119" s="3" t="n">
        <v>483686</v>
      </c>
      <c r="R119" s="3" t="inlineStr">
        <is>
          <t>晴朗茶室</t>
        </is>
      </c>
      <c r="S119" s="3" t="inlineStr">
        <is>
          <t>****97228007</t>
        </is>
      </c>
      <c r="T119" s="3" t="inlineStr">
        <is>
          <t>****97228007</t>
        </is>
      </c>
      <c r="U119" s="3" t="inlineStr">
        <is>
          <t>***** 號永豐樓地下</t>
        </is>
      </c>
      <c r="V119" s="3" t="inlineStr">
        <is>
          <t>香港</t>
        </is>
      </c>
      <c r="W119" s="3" t="inlineStr">
        <is>
          <t>封签【通版】/ 扎出</t>
        </is>
      </c>
      <c r="X119" s="3" t="inlineStr">
        <is>
          <t>ESS-SFTS-OTMS</t>
        </is>
      </c>
      <c r="Y119" s="3" t="n"/>
      <c r="Z119" s="3" t="inlineStr"/>
      <c r="AA119" s="3" t="inlineStr">
        <is>
          <t>寄付月結</t>
        </is>
      </c>
      <c r="AB119">
        <f>IFERROR(VLOOKUP(Q119&amp;"",對照表!$A:$B,1,FALSE),"")</f>
        <v/>
      </c>
      <c r="AC119">
        <f>IFERROR(VLOOKUP(Q119&amp;"",對照表!$A:$B,2,FALSE),"")</f>
        <v/>
      </c>
    </row>
    <row r="120">
      <c r="A120" s="3" t="inlineStr">
        <is>
          <t>SF5119115817196</t>
        </is>
      </c>
      <c r="B120" s="3" t="n">
        <v>58424106156339</v>
      </c>
      <c r="C120" s="3" t="inlineStr">
        <is>
          <t>已簽收</t>
        </is>
      </c>
      <c r="D120" s="3" t="inlineStr">
        <is>
          <t>2026-07-02 15:44:28</t>
        </is>
      </c>
      <c r="E120" s="3" t="inlineStr">
        <is>
          <t>2026-07-03 16:24</t>
        </is>
      </c>
      <c r="F120" s="3" t="n">
        <v>29</v>
      </c>
      <c r="G120" s="3" t="n">
        <v>2</v>
      </c>
      <c r="H120" s="3" t="n"/>
      <c r="I120" s="3" t="inlineStr"/>
      <c r="J120" s="3" t="inlineStr">
        <is>
          <t>Keeta</t>
        </is>
      </c>
      <c r="K120" s="3" t="inlineStr">
        <is>
          <t>****9568</t>
        </is>
      </c>
      <c r="L120" s="3" t="n"/>
      <c r="M120" s="3" t="inlineStr">
        <is>
          <t>***** 物流中心5樓</t>
        </is>
      </c>
      <c r="N120" s="3" t="inlineStr">
        <is>
          <t>北区</t>
        </is>
      </c>
      <c r="O120" s="3" t="inlineStr">
        <is>
          <t>香港</t>
        </is>
      </c>
      <c r="P120" s="3" t="inlineStr">
        <is>
          <t>香港特别行政区</t>
        </is>
      </c>
      <c r="Q120" s="3" t="n">
        <v>471761</v>
      </c>
      <c r="R120" s="3" t="inlineStr">
        <is>
          <t>麥當勞(天秀路)McDonalds</t>
        </is>
      </c>
      <c r="S120" s="3" t="inlineStr">
        <is>
          <t>****27599439</t>
        </is>
      </c>
      <c r="T120" s="3" t="inlineStr">
        <is>
          <t>****27599439</t>
        </is>
      </c>
      <c r="U120" s="3" t="inlineStr">
        <is>
          <t>***** 1019號舖</t>
        </is>
      </c>
      <c r="V120" s="3" t="inlineStr">
        <is>
          <t>香港</t>
        </is>
      </c>
      <c r="W120" s="3" t="inlineStr">
        <is>
          <t>纸袋【通版】/ 箱出</t>
        </is>
      </c>
      <c r="X120" s="3" t="inlineStr">
        <is>
          <t>ESS-SFTS-OTMS</t>
        </is>
      </c>
      <c r="Y120" s="3" t="n"/>
      <c r="Z120" s="3" t="inlineStr"/>
      <c r="AA120" s="3" t="inlineStr">
        <is>
          <t>寄付月結</t>
        </is>
      </c>
      <c r="AB120">
        <f>IFERROR(VLOOKUP(Q120&amp;"",對照表!$A:$B,1,FALSE),"")</f>
        <v/>
      </c>
      <c r="AC120">
        <f>IFERROR(VLOOKUP(Q120&amp;"",對照表!$A:$B,2,FALSE),"")</f>
        <v/>
      </c>
    </row>
    <row r="121">
      <c r="A121" s="3" t="inlineStr">
        <is>
          <t>SF5119115817099</t>
        </is>
      </c>
      <c r="B121" s="3" t="n">
        <v>58424106156320</v>
      </c>
      <c r="C121" s="3" t="inlineStr">
        <is>
          <t>已簽收</t>
        </is>
      </c>
      <c r="D121" s="3" t="inlineStr">
        <is>
          <t>2026-07-02 15:44:33</t>
        </is>
      </c>
      <c r="E121" s="3" t="inlineStr">
        <is>
          <t>2026-07-03 14:07</t>
        </is>
      </c>
      <c r="F121" s="3" t="n">
        <v>29</v>
      </c>
      <c r="G121" s="3" t="n">
        <v>2</v>
      </c>
      <c r="H121" s="3" t="n"/>
      <c r="I121" s="3" t="inlineStr"/>
      <c r="J121" s="3" t="inlineStr">
        <is>
          <t>Keeta</t>
        </is>
      </c>
      <c r="K121" s="3" t="inlineStr">
        <is>
          <t>****9568</t>
        </is>
      </c>
      <c r="L121" s="3" t="n"/>
      <c r="M121" s="3" t="inlineStr">
        <is>
          <t>***** 物流中心5樓</t>
        </is>
      </c>
      <c r="N121" s="3" t="inlineStr">
        <is>
          <t>北区</t>
        </is>
      </c>
      <c r="O121" s="3" t="inlineStr">
        <is>
          <t>香港</t>
        </is>
      </c>
      <c r="P121" s="3" t="inlineStr">
        <is>
          <t>香港特别行政区</t>
        </is>
      </c>
      <c r="Q121" s="3" t="n">
        <v>475056</v>
      </c>
      <c r="R121" s="3" t="inlineStr">
        <is>
          <t>麥當勞(荃灣廣場II)McDonalds</t>
        </is>
      </c>
      <c r="S121" s="3" t="inlineStr">
        <is>
          <t>****24115973</t>
        </is>
      </c>
      <c r="T121" s="3" t="inlineStr">
        <is>
          <t>****24115973</t>
        </is>
      </c>
      <c r="U121" s="3" t="inlineStr">
        <is>
          <t>***** 512A號舖</t>
        </is>
      </c>
      <c r="V121" s="3" t="inlineStr">
        <is>
          <t>香港</t>
        </is>
      </c>
      <c r="W121" s="3" t="inlineStr">
        <is>
          <t>纸袋【通版】/ 箱出</t>
        </is>
      </c>
      <c r="X121" s="3" t="inlineStr">
        <is>
          <t>ESS-SFTS-OTMS</t>
        </is>
      </c>
      <c r="Y121" s="3" t="n"/>
      <c r="Z121" s="3" t="inlineStr"/>
      <c r="AA121" s="3" t="inlineStr">
        <is>
          <t>寄付月結</t>
        </is>
      </c>
      <c r="AB121">
        <f>IFERROR(VLOOKUP(Q121&amp;"",對照表!$A:$B,1,FALSE),"")</f>
        <v/>
      </c>
      <c r="AC121">
        <f>IFERROR(VLOOKUP(Q121&amp;"",對照表!$A:$B,2,FALSE),"")</f>
        <v/>
      </c>
    </row>
    <row r="122">
      <c r="A122" s="3" t="inlineStr">
        <is>
          <t>SF5119115816543</t>
        </is>
      </c>
      <c r="B122" s="3" t="n">
        <v>58424106156195</v>
      </c>
      <c r="C122" s="3" t="inlineStr">
        <is>
          <t>已簽收</t>
        </is>
      </c>
      <c r="D122" s="3" t="inlineStr">
        <is>
          <t>2026-07-02 15:41:56</t>
        </is>
      </c>
      <c r="E122" s="3" t="inlineStr">
        <is>
          <t>2026-07-03 13:36</t>
        </is>
      </c>
      <c r="F122" s="3" t="n">
        <v>145</v>
      </c>
      <c r="G122" s="3" t="n">
        <v>10</v>
      </c>
      <c r="H122" s="3" t="n"/>
      <c r="I122" s="3" t="inlineStr"/>
      <c r="J122" s="3" t="inlineStr">
        <is>
          <t>Keeta</t>
        </is>
      </c>
      <c r="K122" s="3" t="inlineStr">
        <is>
          <t>****9568</t>
        </is>
      </c>
      <c r="L122" s="3" t="n"/>
      <c r="M122" s="3" t="inlineStr">
        <is>
          <t>***** 物流中心5樓</t>
        </is>
      </c>
      <c r="N122" s="3" t="inlineStr">
        <is>
          <t>北区</t>
        </is>
      </c>
      <c r="O122" s="3" t="inlineStr">
        <is>
          <t>香港</t>
        </is>
      </c>
      <c r="P122" s="3" t="inlineStr">
        <is>
          <t>香港特别行政区</t>
        </is>
      </c>
      <c r="Q122" s="3" t="n">
        <v>606154</v>
      </c>
      <c r="R122" s="3" t="inlineStr">
        <is>
          <t>麥當勞(栢蕙苑)McDonalds</t>
        </is>
      </c>
      <c r="S122" s="3" t="inlineStr">
        <is>
          <t>****28809603</t>
        </is>
      </c>
      <c r="T122" s="3" t="inlineStr">
        <is>
          <t>****28809603</t>
        </is>
      </c>
      <c r="U122" s="3" t="inlineStr">
        <is>
          <t>***** 舖舆前舖部分</t>
        </is>
      </c>
      <c r="V122" s="3" t="inlineStr">
        <is>
          <t>香港</t>
        </is>
      </c>
      <c r="W122" s="3" t="inlineStr">
        <is>
          <t>纸袋【通版】/ 箱出</t>
        </is>
      </c>
      <c r="X122" s="3" t="inlineStr">
        <is>
          <t>ESS-SFTS-OTMS</t>
        </is>
      </c>
      <c r="Y122" s="3" t="n"/>
      <c r="Z122" s="3" t="inlineStr"/>
      <c r="AA122" s="3" t="inlineStr">
        <is>
          <t>寄付月結</t>
        </is>
      </c>
      <c r="AB122">
        <f>IFERROR(VLOOKUP(Q122&amp;"",對照表!$A:$B,1,FALSE),"")</f>
        <v/>
      </c>
      <c r="AC122">
        <f>IFERROR(VLOOKUP(Q122&amp;"",對照表!$A:$B,2,FALSE),"")</f>
        <v/>
      </c>
    </row>
    <row r="123">
      <c r="A123" s="3" t="inlineStr">
        <is>
          <t>SF5119115816968</t>
        </is>
      </c>
      <c r="B123" s="3" t="n">
        <v>58424106156292</v>
      </c>
      <c r="C123" s="3" t="inlineStr">
        <is>
          <t>已簽收</t>
        </is>
      </c>
      <c r="D123" s="3" t="inlineStr">
        <is>
          <t>2026-07-02 17:03:13</t>
        </is>
      </c>
      <c r="E123" s="3" t="inlineStr">
        <is>
          <t>2026-07-03 12:43</t>
        </is>
      </c>
      <c r="F123" s="3" t="n">
        <v>3.18</v>
      </c>
      <c r="G123" s="3" t="n">
        <v>1</v>
      </c>
      <c r="H123" s="3" t="n"/>
      <c r="I123" s="3" t="inlineStr"/>
      <c r="J123" s="3" t="inlineStr">
        <is>
          <t>Keeta</t>
        </is>
      </c>
      <c r="K123" s="3" t="inlineStr">
        <is>
          <t>****9568</t>
        </is>
      </c>
      <c r="L123" s="3" t="n"/>
      <c r="M123" s="3" t="inlineStr">
        <is>
          <t>***** 物流中心5樓</t>
        </is>
      </c>
      <c r="N123" s="3" t="inlineStr">
        <is>
          <t>北区</t>
        </is>
      </c>
      <c r="O123" s="3" t="inlineStr">
        <is>
          <t>香港</t>
        </is>
      </c>
      <c r="P123" s="3" t="inlineStr">
        <is>
          <t>香港特别行政区</t>
        </is>
      </c>
      <c r="Q123" s="3" t="n">
        <v>581941</v>
      </c>
      <c r="R123" s="3" t="inlineStr">
        <is>
          <t>小寶車仔麵</t>
        </is>
      </c>
      <c r="S123" s="3" t="inlineStr">
        <is>
          <t>****67032252</t>
        </is>
      </c>
      <c r="T123" s="3" t="inlineStr">
        <is>
          <t>****67032252</t>
        </is>
      </c>
      <c r="U123" s="3" t="inlineStr">
        <is>
          <t>***** 園地下6號舖</t>
        </is>
      </c>
      <c r="V123" s="3" t="inlineStr">
        <is>
          <t>香港</t>
        </is>
      </c>
      <c r="W123" s="3" t="inlineStr">
        <is>
          <t>塑料袋【大】/ 扎出, 塑料袋【小】/ 扎出</t>
        </is>
      </c>
      <c r="X123" s="3" t="inlineStr">
        <is>
          <t>ESS-SFTS-OTMS</t>
        </is>
      </c>
      <c r="Y123" s="3" t="n"/>
      <c r="Z123" s="3" t="inlineStr"/>
      <c r="AA123" s="3" t="inlineStr">
        <is>
          <t>寄付月結</t>
        </is>
      </c>
      <c r="AB123">
        <f>IFERROR(VLOOKUP(Q123&amp;"",對照表!$A:$B,1,FALSE),"")</f>
        <v/>
      </c>
      <c r="AC123">
        <f>IFERROR(VLOOKUP(Q123&amp;"",對照表!$A:$B,2,FALSE),"")</f>
        <v/>
      </c>
    </row>
    <row r="124">
      <c r="A124" s="3" t="inlineStr">
        <is>
          <t>SF5119115817044</t>
        </is>
      </c>
      <c r="B124" s="3" t="n">
        <v>58424106156311</v>
      </c>
      <c r="C124" s="3" t="inlineStr">
        <is>
          <t>已簽收</t>
        </is>
      </c>
      <c r="D124" s="3" t="inlineStr">
        <is>
          <t>2026-07-02 14:19:55</t>
        </is>
      </c>
      <c r="E124" s="3" t="inlineStr">
        <is>
          <t>2026-07-03 14:05</t>
        </is>
      </c>
      <c r="F124" s="3" t="n">
        <v>4.45</v>
      </c>
      <c r="G124" s="3" t="n">
        <v>1</v>
      </c>
      <c r="H124" s="3" t="n"/>
      <c r="I124" s="3" t="inlineStr"/>
      <c r="J124" s="3" t="inlineStr">
        <is>
          <t>Keeta</t>
        </is>
      </c>
      <c r="K124" s="3" t="inlineStr">
        <is>
          <t>****9568</t>
        </is>
      </c>
      <c r="L124" s="3" t="n"/>
      <c r="M124" s="3" t="inlineStr">
        <is>
          <t>***** 物流中心5樓</t>
        </is>
      </c>
      <c r="N124" s="3" t="inlineStr">
        <is>
          <t>北区</t>
        </is>
      </c>
      <c r="O124" s="3" t="inlineStr">
        <is>
          <t>香港</t>
        </is>
      </c>
      <c r="P124" s="3" t="inlineStr">
        <is>
          <t>香港特别行政区</t>
        </is>
      </c>
      <c r="Q124" s="3" t="n">
        <v>475151</v>
      </c>
      <c r="R124" s="3" t="inlineStr">
        <is>
          <t>餃滋味(上水No1餃子鋪)</t>
        </is>
      </c>
      <c r="S124" s="3" t="inlineStr">
        <is>
          <t>****96896232</t>
        </is>
      </c>
      <c r="T124" s="3" t="inlineStr">
        <is>
          <t>****96896232</t>
        </is>
      </c>
      <c r="U124" s="3" t="inlineStr">
        <is>
          <t>***** 109號地舖</t>
        </is>
      </c>
      <c r="V124" s="3" t="inlineStr">
        <is>
          <t>香港</t>
        </is>
      </c>
      <c r="W124" s="3" t="inlineStr">
        <is>
          <t>机纸/小票纸 / 包出</t>
        </is>
      </c>
      <c r="X124" s="3" t="inlineStr">
        <is>
          <t>ESS-SFTS-OTMS</t>
        </is>
      </c>
      <c r="Y124" s="3" t="n"/>
      <c r="Z124" s="3" t="inlineStr"/>
      <c r="AA124" s="3" t="inlineStr">
        <is>
          <t>寄付月結</t>
        </is>
      </c>
      <c r="AB124">
        <f>IFERROR(VLOOKUP(Q124&amp;"",對照表!$A:$B,1,FALSE),"")</f>
        <v/>
      </c>
      <c r="AC124">
        <f>IFERROR(VLOOKUP(Q124&amp;"",對照表!$A:$B,2,FALSE),"")</f>
        <v/>
      </c>
    </row>
    <row r="125">
      <c r="A125" s="3" t="inlineStr">
        <is>
          <t>SF5119115816889</t>
        </is>
      </c>
      <c r="B125" s="3" t="n">
        <v>58424106156277</v>
      </c>
      <c r="C125" s="3" t="inlineStr">
        <is>
          <t>已簽收</t>
        </is>
      </c>
      <c r="D125" s="3" t="inlineStr">
        <is>
          <t>2026-07-02 15:46:21</t>
        </is>
      </c>
      <c r="E125" s="3" t="inlineStr">
        <is>
          <t>2026-07-03 12:30</t>
        </is>
      </c>
      <c r="F125" s="3" t="n">
        <v>58</v>
      </c>
      <c r="G125" s="3" t="n">
        <v>4</v>
      </c>
      <c r="H125" s="3" t="n"/>
      <c r="I125" s="3" t="inlineStr"/>
      <c r="J125" s="3" t="inlineStr">
        <is>
          <t>Keeta</t>
        </is>
      </c>
      <c r="K125" s="3" t="inlineStr">
        <is>
          <t>****9568</t>
        </is>
      </c>
      <c r="L125" s="3" t="n"/>
      <c r="M125" s="3" t="inlineStr">
        <is>
          <t>***** 物流中心5樓</t>
        </is>
      </c>
      <c r="N125" s="3" t="inlineStr">
        <is>
          <t>北区</t>
        </is>
      </c>
      <c r="O125" s="3" t="inlineStr">
        <is>
          <t>香港</t>
        </is>
      </c>
      <c r="P125" s="3" t="inlineStr">
        <is>
          <t>香港特别行政区</t>
        </is>
      </c>
      <c r="Q125" s="3" t="n">
        <v>468288</v>
      </c>
      <c r="R125" s="3" t="inlineStr">
        <is>
          <t>麥當勞(鳳德)McDonalds</t>
        </is>
      </c>
      <c r="S125" s="3" t="inlineStr">
        <is>
          <t>****23527761</t>
        </is>
      </c>
      <c r="T125" s="3" t="inlineStr">
        <is>
          <t>****23527761</t>
        </is>
      </c>
      <c r="U125" s="3" t="inlineStr">
        <is>
          <t>***** 202A號舖</t>
        </is>
      </c>
      <c r="V125" s="3" t="inlineStr">
        <is>
          <t>香港</t>
        </is>
      </c>
      <c r="W125" s="3" t="inlineStr">
        <is>
          <t>纸袋【通版】/ 箱出</t>
        </is>
      </c>
      <c r="X125" s="3" t="inlineStr">
        <is>
          <t>ESS-SFTS-OTMS</t>
        </is>
      </c>
      <c r="Y125" s="3" t="n"/>
      <c r="Z125" s="3" t="inlineStr"/>
      <c r="AA125" s="3" t="inlineStr">
        <is>
          <t>寄付月結</t>
        </is>
      </c>
      <c r="AB125">
        <f>IFERROR(VLOOKUP(Q125&amp;"",對照表!$A:$B,1,FALSE),"")</f>
        <v/>
      </c>
      <c r="AC125">
        <f>IFERROR(VLOOKUP(Q125&amp;"",對照表!$A:$B,2,FALSE),"")</f>
        <v/>
      </c>
    </row>
    <row r="126">
      <c r="A126" s="3" t="inlineStr">
        <is>
          <t>SF5119115816986</t>
        </is>
      </c>
      <c r="B126" s="3" t="n">
        <v>58424106156299</v>
      </c>
      <c r="C126" s="3" t="inlineStr">
        <is>
          <t>已簽收</t>
        </is>
      </c>
      <c r="D126" s="3" t="inlineStr">
        <is>
          <t>2026-07-02 15:39:54</t>
        </is>
      </c>
      <c r="E126" s="3" t="inlineStr">
        <is>
          <t>2026-07-03 11:30</t>
        </is>
      </c>
      <c r="F126" s="3" t="n">
        <v>14.5</v>
      </c>
      <c r="G126" s="3" t="n">
        <v>1</v>
      </c>
      <c r="H126" s="3" t="n"/>
      <c r="I126" s="3" t="inlineStr"/>
      <c r="J126" s="3" t="inlineStr">
        <is>
          <t>Keeta</t>
        </is>
      </c>
      <c r="K126" s="3" t="inlineStr">
        <is>
          <t>****9568</t>
        </is>
      </c>
      <c r="L126" s="3" t="n"/>
      <c r="M126" s="3" t="inlineStr">
        <is>
          <t>***** 物流中心5樓</t>
        </is>
      </c>
      <c r="N126" s="3" t="inlineStr">
        <is>
          <t>北区</t>
        </is>
      </c>
      <c r="O126" s="3" t="inlineStr">
        <is>
          <t>香港</t>
        </is>
      </c>
      <c r="P126" s="3" t="inlineStr">
        <is>
          <t>香港特别行政区</t>
        </is>
      </c>
      <c r="Q126" s="3" t="n">
        <v>685011</v>
      </c>
      <c r="R126" s="3" t="inlineStr">
        <is>
          <t>IZAizakaya</t>
        </is>
      </c>
      <c r="S126" s="3" t="inlineStr">
        <is>
          <t>****25221800</t>
        </is>
      </c>
      <c r="T126" s="3" t="inlineStr">
        <is>
          <t>****25221800</t>
        </is>
      </c>
      <c r="U126" s="3" t="inlineStr">
        <is>
          <t>***** R011號舖</t>
        </is>
      </c>
      <c r="V126" s="3" t="inlineStr">
        <is>
          <t>香港</t>
        </is>
      </c>
      <c r="W126" s="3" t="inlineStr">
        <is>
          <t>纸袋【通版】/ 箱出</t>
        </is>
      </c>
      <c r="X126" s="3" t="inlineStr">
        <is>
          <t>ESS-SFTS-OTMS</t>
        </is>
      </c>
      <c r="Y126" s="3" t="n"/>
      <c r="Z126" s="3" t="inlineStr"/>
      <c r="AA126" s="3" t="inlineStr">
        <is>
          <t>寄付月結</t>
        </is>
      </c>
      <c r="AB126">
        <f>IFERROR(VLOOKUP(Q126&amp;"",對照表!$A:$B,1,FALSE),"")</f>
        <v/>
      </c>
      <c r="AC126">
        <f>IFERROR(VLOOKUP(Q126&amp;"",對照表!$A:$B,2,FALSE),"")</f>
        <v/>
      </c>
    </row>
    <row r="127">
      <c r="A127" s="3" t="inlineStr">
        <is>
          <t>SF5119115816622</t>
        </is>
      </c>
      <c r="B127" s="3" t="n">
        <v>58424106156205</v>
      </c>
      <c r="C127" s="3" t="inlineStr">
        <is>
          <t>已簽收</t>
        </is>
      </c>
      <c r="D127" s="3" t="inlineStr">
        <is>
          <t>2026-07-02 15:48:03</t>
        </is>
      </c>
      <c r="E127" s="3" t="inlineStr">
        <is>
          <t>2026-07-03 12:08</t>
        </is>
      </c>
      <c r="F127" s="3" t="n">
        <v>58</v>
      </c>
      <c r="G127" s="3" t="n">
        <v>4</v>
      </c>
      <c r="H127" s="3" t="n"/>
      <c r="I127" s="3" t="inlineStr"/>
      <c r="J127" s="3" t="inlineStr">
        <is>
          <t>Keeta</t>
        </is>
      </c>
      <c r="K127" s="3" t="inlineStr">
        <is>
          <t>****9568</t>
        </is>
      </c>
      <c r="L127" s="3" t="n"/>
      <c r="M127" s="3" t="inlineStr">
        <is>
          <t>***** 物流中心5樓</t>
        </is>
      </c>
      <c r="N127" s="3" t="inlineStr">
        <is>
          <t>北区</t>
        </is>
      </c>
      <c r="O127" s="3" t="inlineStr">
        <is>
          <t>香港</t>
        </is>
      </c>
      <c r="P127" s="3" t="inlineStr">
        <is>
          <t>香港特别行政区</t>
        </is>
      </c>
      <c r="Q127" s="3" t="n">
        <v>491516</v>
      </c>
      <c r="R127" s="3" t="inlineStr">
        <is>
          <t>麥當勞(竹園)McDonalds</t>
        </is>
      </c>
      <c r="S127" s="3" t="inlineStr">
        <is>
          <t>****23279998</t>
        </is>
      </c>
      <c r="T127" s="3" t="inlineStr">
        <is>
          <t>****23279998</t>
        </is>
      </c>
      <c r="U127" s="3" t="inlineStr">
        <is>
          <t>***** 號舖平台部分</t>
        </is>
      </c>
      <c r="V127" s="3" t="inlineStr">
        <is>
          <t>香港</t>
        </is>
      </c>
      <c r="W127" s="3" t="inlineStr">
        <is>
          <t>纸袋【通版】/ 箱出</t>
        </is>
      </c>
      <c r="X127" s="3" t="inlineStr">
        <is>
          <t>ESS-SFTS-OTMS</t>
        </is>
      </c>
      <c r="Y127" s="3" t="n"/>
      <c r="Z127" s="3" t="inlineStr"/>
      <c r="AA127" s="3" t="inlineStr">
        <is>
          <t>寄付月結</t>
        </is>
      </c>
      <c r="AB127">
        <f>IFERROR(VLOOKUP(Q127&amp;"",對照表!$A:$B,1,FALSE),"")</f>
        <v/>
      </c>
      <c r="AC127">
        <f>IFERROR(VLOOKUP(Q127&amp;"",對照表!$A:$B,2,FALSE),"")</f>
        <v/>
      </c>
    </row>
    <row r="128">
      <c r="A128" s="3" t="inlineStr">
        <is>
          <t>SF5119115817062</t>
        </is>
      </c>
      <c r="B128" s="3" t="n">
        <v>58424106156315</v>
      </c>
      <c r="C128" s="3" t="inlineStr">
        <is>
          <t>已簽收</t>
        </is>
      </c>
      <c r="D128" s="3" t="inlineStr">
        <is>
          <t>2026-07-02 15:16:13</t>
        </is>
      </c>
      <c r="E128" s="3" t="inlineStr">
        <is>
          <t>2026-07-03 10:48</t>
        </is>
      </c>
      <c r="F128" s="3" t="n">
        <v>1.5</v>
      </c>
      <c r="G128" s="3" t="n">
        <v>1</v>
      </c>
      <c r="H128" s="3" t="n"/>
      <c r="I128" s="3" t="inlineStr"/>
      <c r="J128" s="3" t="inlineStr">
        <is>
          <t>Keeta</t>
        </is>
      </c>
      <c r="K128" s="3" t="inlineStr">
        <is>
          <t>****9568</t>
        </is>
      </c>
      <c r="L128" s="3" t="n"/>
      <c r="M128" s="3" t="inlineStr">
        <is>
          <t>***** 物流中心5樓</t>
        </is>
      </c>
      <c r="N128" s="3" t="inlineStr">
        <is>
          <t>北区</t>
        </is>
      </c>
      <c r="O128" s="3" t="inlineStr">
        <is>
          <t>香港</t>
        </is>
      </c>
      <c r="P128" s="3" t="inlineStr">
        <is>
          <t>香港特别行政区</t>
        </is>
      </c>
      <c r="Q128" s="3" t="n">
        <v>478577</v>
      </c>
      <c r="R128" s="3" t="inlineStr">
        <is>
          <t>童樂壽司刺身專門店</t>
        </is>
      </c>
      <c r="S128" s="3" t="inlineStr">
        <is>
          <t>****84829844</t>
        </is>
      </c>
      <c r="T128" s="3" t="inlineStr">
        <is>
          <t>****84829844</t>
        </is>
      </c>
      <c r="U128" s="3" t="inlineStr">
        <is>
          <t>***** 1-C1號舖</t>
        </is>
      </c>
      <c r="V128" s="3" t="inlineStr">
        <is>
          <t>香港</t>
        </is>
      </c>
      <c r="W128" s="3" t="inlineStr">
        <is>
          <t>机纸/小票纸 / 包出</t>
        </is>
      </c>
      <c r="X128" s="3" t="inlineStr">
        <is>
          <t>ESS-SFTS-OTMS</t>
        </is>
      </c>
      <c r="Y128" s="3" t="n"/>
      <c r="Z128" s="3" t="inlineStr"/>
      <c r="AA128" s="3" t="inlineStr">
        <is>
          <t>寄付月結</t>
        </is>
      </c>
      <c r="AB128">
        <f>IFERROR(VLOOKUP(Q128&amp;"",對照表!$A:$B,1,FALSE),"")</f>
        <v/>
      </c>
      <c r="AC128">
        <f>IFERROR(VLOOKUP(Q128&amp;"",對照表!$A:$B,2,FALSE),"")</f>
        <v/>
      </c>
    </row>
    <row r="129">
      <c r="A129" s="3" t="inlineStr">
        <is>
          <t>SF5119115816931</t>
        </is>
      </c>
      <c r="B129" s="3" t="n">
        <v>58424106156287</v>
      </c>
      <c r="C129" s="3" t="inlineStr">
        <is>
          <t>已簽收</t>
        </is>
      </c>
      <c r="D129" s="3" t="inlineStr">
        <is>
          <t>2026-07-02 15:39:57</t>
        </is>
      </c>
      <c r="E129" s="3" t="inlineStr">
        <is>
          <t>2026-07-03 10:49</t>
        </is>
      </c>
      <c r="F129" s="3" t="n">
        <v>14.5</v>
      </c>
      <c r="G129" s="3" t="n">
        <v>1</v>
      </c>
      <c r="H129" s="3" t="n"/>
      <c r="I129" s="3" t="inlineStr"/>
      <c r="J129" s="3" t="inlineStr">
        <is>
          <t>Keeta</t>
        </is>
      </c>
      <c r="K129" s="3" t="inlineStr">
        <is>
          <t>****9568</t>
        </is>
      </c>
      <c r="L129" s="3" t="n"/>
      <c r="M129" s="3" t="inlineStr">
        <is>
          <t>***** 物流中心5樓</t>
        </is>
      </c>
      <c r="N129" s="3" t="inlineStr">
        <is>
          <t>北区</t>
        </is>
      </c>
      <c r="O129" s="3" t="inlineStr">
        <is>
          <t>香港</t>
        </is>
      </c>
      <c r="P129" s="3" t="inlineStr">
        <is>
          <t>香港特别行政区</t>
        </is>
      </c>
      <c r="Q129" s="3" t="n">
        <v>721512392</v>
      </c>
      <c r="R129" s="3" t="inlineStr">
        <is>
          <t>E果鮮果店</t>
        </is>
      </c>
      <c r="S129" s="3" t="inlineStr">
        <is>
          <t>****8383</t>
        </is>
      </c>
      <c r="T129" s="3" t="inlineStr">
        <is>
          <t>****8383</t>
        </is>
      </c>
      <c r="U129" s="3" t="inlineStr">
        <is>
          <t>***** 市地下D6鋪</t>
        </is>
      </c>
      <c r="V129" s="3" t="inlineStr">
        <is>
          <t>香港</t>
        </is>
      </c>
      <c r="W129" s="3" t="inlineStr">
        <is>
          <t>纸袋【通版】/ 箱出</t>
        </is>
      </c>
      <c r="X129" s="3" t="inlineStr">
        <is>
          <t>ESS-SFTS-OTMS</t>
        </is>
      </c>
      <c r="Y129" s="3" t="n"/>
      <c r="Z129" s="3" t="inlineStr"/>
      <c r="AA129" s="3" t="inlineStr">
        <is>
          <t>寄付月結</t>
        </is>
      </c>
      <c r="AB129">
        <f>IFERROR(VLOOKUP(Q129&amp;"",對照表!$A:$B,1,FALSE),"")</f>
        <v/>
      </c>
      <c r="AC129">
        <f>IFERROR(VLOOKUP(Q129&amp;"",對照表!$A:$B,2,FALSE),"")</f>
        <v/>
      </c>
    </row>
    <row r="130">
      <c r="A130" s="3" t="inlineStr">
        <is>
          <t>SF5119115817132</t>
        </is>
      </c>
      <c r="B130" s="3" t="n">
        <v>58424106156328</v>
      </c>
      <c r="C130" s="3" t="inlineStr">
        <is>
          <t>已簽收</t>
        </is>
      </c>
      <c r="D130" s="3" t="inlineStr">
        <is>
          <t>2026-07-02 15:16:32</t>
        </is>
      </c>
      <c r="E130" s="3" t="inlineStr">
        <is>
          <t>2026-07-03 11:25</t>
        </is>
      </c>
      <c r="F130" s="3" t="n">
        <v>1.5</v>
      </c>
      <c r="G130" s="3" t="n">
        <v>1</v>
      </c>
      <c r="H130" s="3" t="n"/>
      <c r="I130" s="3" t="inlineStr"/>
      <c r="J130" s="3" t="inlineStr">
        <is>
          <t>Keeta</t>
        </is>
      </c>
      <c r="K130" s="3" t="inlineStr">
        <is>
          <t>****9568</t>
        </is>
      </c>
      <c r="L130" s="3" t="n"/>
      <c r="M130" s="3" t="inlineStr">
        <is>
          <t>***** 物流中心5樓</t>
        </is>
      </c>
      <c r="N130" s="3" t="inlineStr">
        <is>
          <t>北区</t>
        </is>
      </c>
      <c r="O130" s="3" t="inlineStr">
        <is>
          <t>香港</t>
        </is>
      </c>
      <c r="P130" s="3" t="inlineStr">
        <is>
          <t>香港特别行政区</t>
        </is>
      </c>
      <c r="Q130" s="3" t="n">
        <v>477979</v>
      </c>
      <c r="R130" s="3" t="inlineStr">
        <is>
          <t>喫茶舍YumTeahouse(天后店)</t>
        </is>
      </c>
      <c r="S130" s="3" t="inlineStr">
        <is>
          <t>****52906164</t>
        </is>
      </c>
      <c r="T130" s="3" t="inlineStr">
        <is>
          <t>****52906164</t>
        </is>
      </c>
      <c r="U130" s="3" t="inlineStr">
        <is>
          <t>***** 后地下6號舖</t>
        </is>
      </c>
      <c r="V130" s="3" t="inlineStr">
        <is>
          <t>香港</t>
        </is>
      </c>
      <c r="W130" s="3" t="inlineStr">
        <is>
          <t>机纸/小票纸 / 包出</t>
        </is>
      </c>
      <c r="X130" s="3" t="inlineStr">
        <is>
          <t>ESS-SFTS-OTMS</t>
        </is>
      </c>
      <c r="Y130" s="3" t="n"/>
      <c r="Z130" s="3" t="inlineStr"/>
      <c r="AA130" s="3" t="inlineStr">
        <is>
          <t>寄付月結</t>
        </is>
      </c>
      <c r="AB130">
        <f>IFERROR(VLOOKUP(Q130&amp;"",對照表!$A:$B,1,FALSE),"")</f>
        <v/>
      </c>
      <c r="AC130">
        <f>IFERROR(VLOOKUP(Q130&amp;"",對照表!$A:$B,2,FALSE),"")</f>
        <v/>
      </c>
    </row>
    <row r="131">
      <c r="A131" s="3" t="inlineStr">
        <is>
          <t>SF5119115817071</t>
        </is>
      </c>
      <c r="B131" s="3" t="n">
        <v>58424106156317</v>
      </c>
      <c r="C131" s="3" t="inlineStr">
        <is>
          <t>已簽收</t>
        </is>
      </c>
      <c r="D131" s="3" t="inlineStr">
        <is>
          <t>2026-07-02 15:39:51</t>
        </is>
      </c>
      <c r="E131" s="3" t="inlineStr">
        <is>
          <t>2026-07-03 15:06</t>
        </is>
      </c>
      <c r="F131" s="3" t="n">
        <v>14.5</v>
      </c>
      <c r="G131" s="3" t="n">
        <v>1</v>
      </c>
      <c r="H131" s="3" t="n"/>
      <c r="I131" s="3" t="inlineStr"/>
      <c r="J131" s="3" t="inlineStr">
        <is>
          <t>Keeta</t>
        </is>
      </c>
      <c r="K131" s="3" t="inlineStr">
        <is>
          <t>****9568</t>
        </is>
      </c>
      <c r="L131" s="3" t="n"/>
      <c r="M131" s="3" t="inlineStr">
        <is>
          <t>***** 物流中心5樓</t>
        </is>
      </c>
      <c r="N131" s="3" t="inlineStr">
        <is>
          <t>北区</t>
        </is>
      </c>
      <c r="O131" s="3" t="inlineStr">
        <is>
          <t>香港</t>
        </is>
      </c>
      <c r="P131" s="3" t="inlineStr">
        <is>
          <t>香港特别行政区</t>
        </is>
      </c>
      <c r="Q131" s="3" t="n">
        <v>576506</v>
      </c>
      <c r="R131" s="3" t="inlineStr">
        <is>
          <t>紫宸臺灣美食</t>
        </is>
      </c>
      <c r="S131" s="3" t="inlineStr">
        <is>
          <t>****51192699</t>
        </is>
      </c>
      <c r="T131" s="3" t="inlineStr">
        <is>
          <t>****51192699</t>
        </is>
      </c>
      <c r="U131" s="3" t="inlineStr">
        <is>
          <t>***** 下G12號舖</t>
        </is>
      </c>
      <c r="V131" s="3" t="inlineStr">
        <is>
          <t>香港</t>
        </is>
      </c>
      <c r="W131" s="3" t="inlineStr">
        <is>
          <t>纸袋【通版】/ 箱出</t>
        </is>
      </c>
      <c r="X131" s="3" t="inlineStr">
        <is>
          <t>ESS-SFTS-OTMS</t>
        </is>
      </c>
      <c r="Y131" s="3" t="n"/>
      <c r="Z131" s="3" t="inlineStr"/>
      <c r="AA131" s="3" t="inlineStr">
        <is>
          <t>寄付月結</t>
        </is>
      </c>
      <c r="AB131">
        <f>IFERROR(VLOOKUP(Q131&amp;"",對照表!$A:$B,1,FALSE),"")</f>
        <v/>
      </c>
      <c r="AC131">
        <f>IFERROR(VLOOKUP(Q131&amp;"",對照表!$A:$B,2,FALSE),"")</f>
        <v/>
      </c>
    </row>
    <row r="132">
      <c r="A132" s="3" t="inlineStr">
        <is>
          <t>SF5119115817026</t>
        </is>
      </c>
      <c r="B132" s="3" t="n">
        <v>58424106156307</v>
      </c>
      <c r="C132" s="3" t="inlineStr">
        <is>
          <t>已簽收</t>
        </is>
      </c>
      <c r="D132" s="3" t="inlineStr">
        <is>
          <t>2026-07-02 15:39:55</t>
        </is>
      </c>
      <c r="E132" s="3" t="inlineStr">
        <is>
          <t>2026-07-03 12:04</t>
        </is>
      </c>
      <c r="F132" s="3" t="n">
        <v>14.5</v>
      </c>
      <c r="G132" s="3" t="n">
        <v>1</v>
      </c>
      <c r="H132" s="3" t="n"/>
      <c r="I132" s="3" t="inlineStr"/>
      <c r="J132" s="3" t="inlineStr">
        <is>
          <t>Keeta</t>
        </is>
      </c>
      <c r="K132" s="3" t="inlineStr">
        <is>
          <t>****9568</t>
        </is>
      </c>
      <c r="L132" s="3" t="n"/>
      <c r="M132" s="3" t="inlineStr">
        <is>
          <t>***** 物流中心5樓</t>
        </is>
      </c>
      <c r="N132" s="3" t="inlineStr">
        <is>
          <t>北区</t>
        </is>
      </c>
      <c r="O132" s="3" t="inlineStr">
        <is>
          <t>香港</t>
        </is>
      </c>
      <c r="P132" s="3" t="inlineStr">
        <is>
          <t>香港特别行政区</t>
        </is>
      </c>
      <c r="Q132" s="3" t="n">
        <v>721528413</v>
      </c>
      <c r="R132" s="3" t="inlineStr">
        <is>
          <t>趣脆雞（紅磡）</t>
        </is>
      </c>
      <c r="S132" s="3" t="inlineStr">
        <is>
          <t>****3151943</t>
        </is>
      </c>
      <c r="T132" s="3" t="inlineStr">
        <is>
          <t>****3151943</t>
        </is>
      </c>
      <c r="U132" s="3" t="inlineStr">
        <is>
          <t>***** 樓地下K2舖</t>
        </is>
      </c>
      <c r="V132" s="3" t="inlineStr">
        <is>
          <t>香港</t>
        </is>
      </c>
      <c r="W132" s="3" t="inlineStr">
        <is>
          <t>纸袋【通版】/ 箱出</t>
        </is>
      </c>
      <c r="X132" s="3" t="inlineStr">
        <is>
          <t>ESS-SFTS-OTMS</t>
        </is>
      </c>
      <c r="Y132" s="3" t="n"/>
      <c r="Z132" s="3" t="inlineStr"/>
      <c r="AA132" s="3" t="inlineStr">
        <is>
          <t>寄付月結</t>
        </is>
      </c>
      <c r="AB132">
        <f>IFERROR(VLOOKUP(Q132&amp;"",對照表!$A:$B,1,FALSE),"")</f>
        <v/>
      </c>
      <c r="AC132">
        <f>IFERROR(VLOOKUP(Q132&amp;"",對照表!$A:$B,2,FALSE),"")</f>
        <v/>
      </c>
    </row>
    <row r="133">
      <c r="A133" s="3" t="inlineStr">
        <is>
          <t>SF5119115816870</t>
        </is>
      </c>
      <c r="B133" s="3" t="n">
        <v>58424106156274</v>
      </c>
      <c r="C133" s="3" t="inlineStr">
        <is>
          <t>已簽收</t>
        </is>
      </c>
      <c r="D133" s="3" t="inlineStr">
        <is>
          <t>2026-07-02 14:43:29</t>
        </is>
      </c>
      <c r="E133" s="3" t="inlineStr">
        <is>
          <t>2026-07-03 12:54</t>
        </is>
      </c>
      <c r="F133" s="3" t="n">
        <v>0.67</v>
      </c>
      <c r="G133" s="3" t="n">
        <v>1</v>
      </c>
      <c r="H133" s="3" t="n"/>
      <c r="I133" s="3" t="inlineStr"/>
      <c r="J133" s="3" t="inlineStr">
        <is>
          <t>Keeta</t>
        </is>
      </c>
      <c r="K133" s="3" t="inlineStr">
        <is>
          <t>****9568</t>
        </is>
      </c>
      <c r="L133" s="3" t="n"/>
      <c r="M133" s="3" t="inlineStr">
        <is>
          <t>***** 物流中心5樓</t>
        </is>
      </c>
      <c r="N133" s="3" t="inlineStr">
        <is>
          <t>北区</t>
        </is>
      </c>
      <c r="O133" s="3" t="inlineStr">
        <is>
          <t>香港</t>
        </is>
      </c>
      <c r="P133" s="3" t="inlineStr">
        <is>
          <t>香港特别行政区</t>
        </is>
      </c>
      <c r="Q133" s="3" t="n">
        <v>468944</v>
      </c>
      <c r="R133" s="3" t="inlineStr">
        <is>
          <t>富都茶餐廳(大壩街)限時優惠常餐59起</t>
        </is>
      </c>
      <c r="S133" s="3" t="inlineStr">
        <is>
          <t>****24168781</t>
        </is>
      </c>
      <c r="T133" s="3" t="inlineStr">
        <is>
          <t>****24168781</t>
        </is>
      </c>
      <c r="U133" s="3" t="inlineStr">
        <is>
          <t>***** 街57號地舖</t>
        </is>
      </c>
      <c r="V133" s="3" t="inlineStr">
        <is>
          <t>香港</t>
        </is>
      </c>
      <c r="W133" s="3" t="inlineStr">
        <is>
          <t>机纸/小票纸 / 包出</t>
        </is>
      </c>
      <c r="X133" s="3" t="inlineStr">
        <is>
          <t>ESS-SFTS-OTMS</t>
        </is>
      </c>
      <c r="Y133" s="3" t="n"/>
      <c r="Z133" s="3" t="inlineStr"/>
      <c r="AA133" s="3" t="inlineStr">
        <is>
          <t>寄付月結</t>
        </is>
      </c>
      <c r="AB133">
        <f>IFERROR(VLOOKUP(Q133&amp;"",對照表!$A:$B,1,FALSE),"")</f>
        <v/>
      </c>
      <c r="AC133">
        <f>IFERROR(VLOOKUP(Q133&amp;"",對照表!$A:$B,2,FALSE),"")</f>
        <v/>
      </c>
    </row>
    <row r="134">
      <c r="A134" s="3" t="inlineStr">
        <is>
          <t>SF5119115816959</t>
        </is>
      </c>
      <c r="B134" s="3" t="n">
        <v>58424106156290</v>
      </c>
      <c r="C134" s="3" t="inlineStr">
        <is>
          <t>已簽收</t>
        </is>
      </c>
      <c r="D134" s="3" t="inlineStr">
        <is>
          <t>2026-07-02 15:16:35</t>
        </is>
      </c>
      <c r="E134" s="3" t="inlineStr">
        <is>
          <t>2026-07-03 12:15</t>
        </is>
      </c>
      <c r="F134" s="3" t="n">
        <v>2.36</v>
      </c>
      <c r="G134" s="3" t="n">
        <v>1</v>
      </c>
      <c r="H134" s="3" t="n"/>
      <c r="I134" s="3" t="inlineStr"/>
      <c r="J134" s="3" t="inlineStr">
        <is>
          <t>Keeta</t>
        </is>
      </c>
      <c r="K134" s="3" t="inlineStr">
        <is>
          <t>****9568</t>
        </is>
      </c>
      <c r="L134" s="3" t="n"/>
      <c r="M134" s="3" t="inlineStr">
        <is>
          <t>***** 物流中心5樓</t>
        </is>
      </c>
      <c r="N134" s="3" t="inlineStr">
        <is>
          <t>北区</t>
        </is>
      </c>
      <c r="O134" s="3" t="inlineStr">
        <is>
          <t>香港</t>
        </is>
      </c>
      <c r="P134" s="3" t="inlineStr">
        <is>
          <t>香港特别行政区</t>
        </is>
      </c>
      <c r="Q134" s="3" t="n">
        <v>481912</v>
      </c>
      <c r="R134" s="3" t="inlineStr">
        <is>
          <t>王公館</t>
        </is>
      </c>
      <c r="S134" s="3" t="inlineStr">
        <is>
          <t>****55938886</t>
        </is>
      </c>
      <c r="T134" s="3" t="inlineStr">
        <is>
          <t>****55938886</t>
        </is>
      </c>
      <c r="U134" s="3" t="inlineStr">
        <is>
          <t>***** 廈一樓及二樓</t>
        </is>
      </c>
      <c r="V134" s="3" t="inlineStr">
        <is>
          <t>香港</t>
        </is>
      </c>
      <c r="W134" s="3" t="inlineStr">
        <is>
          <t>机纸/小票纸 / 包出</t>
        </is>
      </c>
      <c r="X134" s="3" t="inlineStr">
        <is>
          <t>ESS-SFTS-OTMS</t>
        </is>
      </c>
      <c r="Y134" s="3" t="n"/>
      <c r="Z134" s="3" t="inlineStr"/>
      <c r="AA134" s="3" t="inlineStr">
        <is>
          <t>寄付月結</t>
        </is>
      </c>
      <c r="AB134">
        <f>IFERROR(VLOOKUP(Q134&amp;"",對照表!$A:$B,1,FALSE),"")</f>
        <v/>
      </c>
      <c r="AC134">
        <f>IFERROR(VLOOKUP(Q134&amp;"",對照表!$A:$B,2,FALSE),"")</f>
        <v/>
      </c>
    </row>
    <row r="135">
      <c r="A135" s="3" t="inlineStr">
        <is>
          <t>SF5119115816659</t>
        </is>
      </c>
      <c r="B135" s="3" t="n">
        <v>58424106156211</v>
      </c>
      <c r="C135" s="3" t="inlineStr">
        <is>
          <t>已簽收</t>
        </is>
      </c>
      <c r="D135" s="3" t="inlineStr">
        <is>
          <t>2026-07-02 14:20:08</t>
        </is>
      </c>
      <c r="E135" s="3" t="inlineStr">
        <is>
          <t>2026-07-03 11:12</t>
        </is>
      </c>
      <c r="F135" s="3" t="n">
        <v>4.45</v>
      </c>
      <c r="G135" s="3" t="n">
        <v>1</v>
      </c>
      <c r="H135" s="3" t="n"/>
      <c r="I135" s="3" t="inlineStr"/>
      <c r="J135" s="3" t="inlineStr">
        <is>
          <t>Keeta</t>
        </is>
      </c>
      <c r="K135" s="3" t="inlineStr">
        <is>
          <t>****9568</t>
        </is>
      </c>
      <c r="L135" s="3" t="n"/>
      <c r="M135" s="3" t="inlineStr">
        <is>
          <t>***** 物流中心5樓</t>
        </is>
      </c>
      <c r="N135" s="3" t="inlineStr">
        <is>
          <t>北区</t>
        </is>
      </c>
      <c r="O135" s="3" t="inlineStr">
        <is>
          <t>香港</t>
        </is>
      </c>
      <c r="P135" s="3" t="inlineStr">
        <is>
          <t>香港特别行政区</t>
        </is>
      </c>
      <c r="Q135" s="3" t="n">
        <v>491721</v>
      </c>
      <c r="R135" s="3" t="inlineStr">
        <is>
          <t>勝利牛丸（裕景坊）</t>
        </is>
      </c>
      <c r="S135" s="3" t="inlineStr">
        <is>
          <t>****24759969</t>
        </is>
      </c>
      <c r="T135" s="3" t="inlineStr">
        <is>
          <t>****24759969</t>
        </is>
      </c>
      <c r="U135" s="3" t="inlineStr">
        <is>
          <t>***** 祥發大廈地舖</t>
        </is>
      </c>
      <c r="V135" s="3" t="inlineStr">
        <is>
          <t>香港</t>
        </is>
      </c>
      <c r="W135" s="3" t="inlineStr">
        <is>
          <t>机纸/小票纸 / 包出</t>
        </is>
      </c>
      <c r="X135" s="3" t="inlineStr">
        <is>
          <t>ESS-SFTS-OTMS</t>
        </is>
      </c>
      <c r="Y135" s="3" t="n"/>
      <c r="Z135" s="3" t="inlineStr"/>
      <c r="AA135" s="3" t="inlineStr">
        <is>
          <t>寄付月結</t>
        </is>
      </c>
      <c r="AB135">
        <f>IFERROR(VLOOKUP(Q135&amp;"",對照表!$A:$B,1,FALSE),"")</f>
        <v/>
      </c>
      <c r="AC135">
        <f>IFERROR(VLOOKUP(Q135&amp;"",對照表!$A:$B,2,FALSE),"")</f>
        <v/>
      </c>
    </row>
    <row r="136">
      <c r="A136" s="3" t="inlineStr">
        <is>
          <t>SF5119115817220</t>
        </is>
      </c>
      <c r="B136" s="3" t="n">
        <v>58424106156346</v>
      </c>
      <c r="C136" s="3" t="inlineStr">
        <is>
          <t>已簽收</t>
        </is>
      </c>
      <c r="D136" s="3" t="inlineStr">
        <is>
          <t>2026-07-02 15:15:43</t>
        </is>
      </c>
      <c r="E136" s="3" t="inlineStr">
        <is>
          <t>2026-07-03 12:07</t>
        </is>
      </c>
      <c r="F136" s="3" t="n">
        <v>1.5</v>
      </c>
      <c r="G136" s="3" t="n">
        <v>1</v>
      </c>
      <c r="H136" s="3" t="n"/>
      <c r="I136" s="3" t="inlineStr"/>
      <c r="J136" s="3" t="inlineStr">
        <is>
          <t>Keeta</t>
        </is>
      </c>
      <c r="K136" s="3" t="inlineStr">
        <is>
          <t>****9568</t>
        </is>
      </c>
      <c r="L136" s="3" t="n"/>
      <c r="M136" s="3" t="inlineStr">
        <is>
          <t>***** 物流中心5樓</t>
        </is>
      </c>
      <c r="N136" s="3" t="inlineStr">
        <is>
          <t>北区</t>
        </is>
      </c>
      <c r="O136" s="3" t="inlineStr">
        <is>
          <t>香港</t>
        </is>
      </c>
      <c r="P136" s="3" t="inlineStr">
        <is>
          <t>香港特别行政区</t>
        </is>
      </c>
      <c r="Q136" s="3" t="n">
        <v>481688</v>
      </c>
      <c r="R136" s="3" t="inlineStr">
        <is>
          <t>丸亀製麵(康怡廣場)(太古)</t>
        </is>
      </c>
      <c r="S136" s="3" t="inlineStr">
        <is>
          <t>****35802718</t>
        </is>
      </c>
      <c r="T136" s="3" t="inlineStr">
        <is>
          <t>****35802718</t>
        </is>
      </c>
      <c r="U136" s="3" t="inlineStr">
        <is>
          <t>***** 及39B號舖</t>
        </is>
      </c>
      <c r="V136" s="3" t="inlineStr">
        <is>
          <t>香港</t>
        </is>
      </c>
      <c r="W136" s="3" t="inlineStr">
        <is>
          <t>机纸/小票纸 / 包出</t>
        </is>
      </c>
      <c r="X136" s="3" t="inlineStr">
        <is>
          <t>ESS-SFTS-OTMS</t>
        </is>
      </c>
      <c r="Y136" s="3" t="n"/>
      <c r="Z136" s="3" t="inlineStr"/>
      <c r="AA136" s="3" t="inlineStr">
        <is>
          <t>寄付月結</t>
        </is>
      </c>
      <c r="AB136">
        <f>IFERROR(VLOOKUP(Q136&amp;"",對照表!$A:$B,1,FALSE),"")</f>
        <v/>
      </c>
      <c r="AC136">
        <f>IFERROR(VLOOKUP(Q136&amp;"",對照表!$A:$B,2,FALSE),"")</f>
        <v/>
      </c>
    </row>
    <row r="137">
      <c r="A137" s="3" t="inlineStr">
        <is>
          <t>SF5119115817169</t>
        </is>
      </c>
      <c r="B137" s="3" t="n">
        <v>58424106156334</v>
      </c>
      <c r="C137" s="3" t="inlineStr">
        <is>
          <t>已簽收</t>
        </is>
      </c>
      <c r="D137" s="3" t="inlineStr">
        <is>
          <t>2026-07-02 15:38:47</t>
        </is>
      </c>
      <c r="E137" s="3" t="inlineStr">
        <is>
          <t>2026-07-03 15:46</t>
        </is>
      </c>
      <c r="F137" s="3" t="n">
        <v>43.5</v>
      </c>
      <c r="G137" s="3" t="n">
        <v>3</v>
      </c>
      <c r="H137" s="3" t="n"/>
      <c r="I137" s="3" t="inlineStr"/>
      <c r="J137" s="3" t="inlineStr">
        <is>
          <t>Keeta</t>
        </is>
      </c>
      <c r="K137" s="3" t="inlineStr">
        <is>
          <t>****9568</t>
        </is>
      </c>
      <c r="L137" s="3" t="n"/>
      <c r="M137" s="3" t="inlineStr">
        <is>
          <t>***** 物流中心5樓</t>
        </is>
      </c>
      <c r="N137" s="3" t="inlineStr">
        <is>
          <t>北区</t>
        </is>
      </c>
      <c r="O137" s="3" t="inlineStr">
        <is>
          <t>香港</t>
        </is>
      </c>
      <c r="P137" s="3" t="inlineStr">
        <is>
          <t>香港特别行政区</t>
        </is>
      </c>
      <c r="Q137" s="3" t="n">
        <v>475272</v>
      </c>
      <c r="R137" s="3" t="inlineStr">
        <is>
          <t>麥當勞(秦石)McDonalds</t>
        </is>
      </c>
      <c r="S137" s="3" t="inlineStr">
        <is>
          <t>****25275195</t>
        </is>
      </c>
      <c r="T137" s="3" t="inlineStr">
        <is>
          <t>****25275195</t>
        </is>
      </c>
      <c r="U137" s="3" t="inlineStr">
        <is>
          <t>***** 下8+9號舖</t>
        </is>
      </c>
      <c r="V137" s="3" t="inlineStr">
        <is>
          <t>香港</t>
        </is>
      </c>
      <c r="W137" s="3" t="inlineStr">
        <is>
          <t>纸袋【通版】/ 箱出</t>
        </is>
      </c>
      <c r="X137" s="3" t="inlineStr">
        <is>
          <t>ESS-SFTS-OTMS</t>
        </is>
      </c>
      <c r="Y137" s="3" t="n"/>
      <c r="Z137" s="3" t="inlineStr"/>
      <c r="AA137" s="3" t="inlineStr">
        <is>
          <t>寄付月結</t>
        </is>
      </c>
      <c r="AB137">
        <f>IFERROR(VLOOKUP(Q137&amp;"",對照表!$A:$B,1,FALSE),"")</f>
        <v/>
      </c>
      <c r="AC137">
        <f>IFERROR(VLOOKUP(Q137&amp;"",對照表!$A:$B,2,FALSE),"")</f>
        <v/>
      </c>
    </row>
    <row r="138">
      <c r="A138" s="3" t="inlineStr">
        <is>
          <t>SF5119115816977</t>
        </is>
      </c>
      <c r="B138" s="3" t="n">
        <v>58424106156294</v>
      </c>
      <c r="C138" s="3" t="inlineStr">
        <is>
          <t>已簽收</t>
        </is>
      </c>
      <c r="D138" s="3" t="inlineStr">
        <is>
          <t>2026-07-02 15:17:43</t>
        </is>
      </c>
      <c r="E138" s="3" t="inlineStr">
        <is>
          <t>2026-07-03 13:50</t>
        </is>
      </c>
      <c r="F138" s="3" t="n">
        <v>5.6</v>
      </c>
      <c r="G138" s="3" t="n">
        <v>1</v>
      </c>
      <c r="H138" s="3" t="n"/>
      <c r="I138" s="3" t="inlineStr"/>
      <c r="J138" s="3" t="inlineStr">
        <is>
          <t>Keeta</t>
        </is>
      </c>
      <c r="K138" s="3" t="inlineStr">
        <is>
          <t>****9568</t>
        </is>
      </c>
      <c r="L138" s="3" t="n"/>
      <c r="M138" s="3" t="inlineStr">
        <is>
          <t>***** 物流中心5樓</t>
        </is>
      </c>
      <c r="N138" s="3" t="inlineStr">
        <is>
          <t>北区</t>
        </is>
      </c>
      <c r="O138" s="3" t="inlineStr">
        <is>
          <t>香港</t>
        </is>
      </c>
      <c r="P138" s="3" t="inlineStr">
        <is>
          <t>香港特别行政区</t>
        </is>
      </c>
      <c r="Q138" s="3" t="n">
        <v>462135</v>
      </c>
      <c r="R138" s="3" t="inlineStr">
        <is>
          <t>媽咪味道7字頭嗌到涼拌涼皮套餐媽咪手作味道chill溫暖</t>
        </is>
      </c>
      <c r="S138" s="3" t="inlineStr">
        <is>
          <t>****55453458</t>
        </is>
      </c>
      <c r="T138" s="3" t="inlineStr">
        <is>
          <t>****55453458</t>
        </is>
      </c>
      <c r="U138" s="3" t="inlineStr">
        <is>
          <t>***** 地下49號檔</t>
        </is>
      </c>
      <c r="V138" s="3" t="inlineStr">
        <is>
          <t>香港</t>
        </is>
      </c>
      <c r="W138" s="3" t="inlineStr">
        <is>
          <t>机纸/小票纸 / 包出</t>
        </is>
      </c>
      <c r="X138" s="3" t="inlineStr">
        <is>
          <t>ESS-SFTS-OTMS</t>
        </is>
      </c>
      <c r="Y138" s="3" t="n"/>
      <c r="Z138" s="3" t="inlineStr"/>
      <c r="AA138" s="3" t="inlineStr">
        <is>
          <t>寄付月結</t>
        </is>
      </c>
      <c r="AB138">
        <f>IFERROR(VLOOKUP(Q138&amp;"",對照表!$A:$B,1,FALSE),"")</f>
        <v/>
      </c>
      <c r="AC138">
        <f>IFERROR(VLOOKUP(Q138&amp;"",對照表!$A:$B,2,FALSE),"")</f>
        <v/>
      </c>
    </row>
    <row r="139">
      <c r="A139" s="3" t="inlineStr">
        <is>
          <t>SF5119115816922</t>
        </is>
      </c>
      <c r="B139" s="3" t="n">
        <v>58424106156284</v>
      </c>
      <c r="C139" s="3" t="inlineStr">
        <is>
          <t>已簽收</t>
        </is>
      </c>
      <c r="D139" s="3" t="inlineStr">
        <is>
          <t>2026-07-02 15:44:36</t>
        </is>
      </c>
      <c r="E139" s="3" t="inlineStr">
        <is>
          <t>2026-07-03 13:58</t>
        </is>
      </c>
      <c r="F139" s="3" t="n">
        <v>29</v>
      </c>
      <c r="G139" s="3" t="n">
        <v>2</v>
      </c>
      <c r="H139" s="3" t="n"/>
      <c r="I139" s="3" t="inlineStr"/>
      <c r="J139" s="3" t="inlineStr">
        <is>
          <t>Keeta</t>
        </is>
      </c>
      <c r="K139" s="3" t="inlineStr">
        <is>
          <t>****9568</t>
        </is>
      </c>
      <c r="L139" s="3" t="n"/>
      <c r="M139" s="3" t="inlineStr">
        <is>
          <t>***** 物流中心5樓</t>
        </is>
      </c>
      <c r="N139" s="3" t="inlineStr">
        <is>
          <t>北区</t>
        </is>
      </c>
      <c r="O139" s="3" t="inlineStr">
        <is>
          <t>香港</t>
        </is>
      </c>
      <c r="P139" s="3" t="inlineStr">
        <is>
          <t>香港特别行政区</t>
        </is>
      </c>
      <c r="Q139" s="3" t="n">
        <v>450672</v>
      </c>
      <c r="R139" s="3" t="inlineStr">
        <is>
          <t>麥當勞(長亨)McDonalds</t>
        </is>
      </c>
      <c r="S139" s="3" t="inlineStr">
        <is>
          <t>****24975055</t>
        </is>
      </c>
      <c r="T139" s="3" t="inlineStr">
        <is>
          <t>****24975055</t>
        </is>
      </c>
      <c r="U139" s="3" t="inlineStr">
        <is>
          <t>***** -117號舖</t>
        </is>
      </c>
      <c r="V139" s="3" t="inlineStr">
        <is>
          <t>香港</t>
        </is>
      </c>
      <c r="W139" s="3" t="inlineStr">
        <is>
          <t>纸袋【通版】/ 箱出</t>
        </is>
      </c>
      <c r="X139" s="3" t="inlineStr">
        <is>
          <t>ESS-SFTS-OTMS</t>
        </is>
      </c>
      <c r="Y139" s="3" t="n"/>
      <c r="Z139" s="3" t="inlineStr"/>
      <c r="AA139" s="3" t="inlineStr">
        <is>
          <t>寄付月結</t>
        </is>
      </c>
      <c r="AB139">
        <f>IFERROR(VLOOKUP(Q139&amp;"",對照表!$A:$B,1,FALSE),"")</f>
        <v/>
      </c>
      <c r="AC139">
        <f>IFERROR(VLOOKUP(Q139&amp;"",對照表!$A:$B,2,FALSE),"")</f>
        <v/>
      </c>
    </row>
    <row r="140">
      <c r="A140" s="3" t="inlineStr">
        <is>
          <t>SF5119115816940</t>
        </is>
      </c>
      <c r="B140" s="3" t="n">
        <v>58424106156289</v>
      </c>
      <c r="C140" s="3" t="inlineStr">
        <is>
          <t>已簽收</t>
        </is>
      </c>
      <c r="D140" s="3" t="inlineStr">
        <is>
          <t>2026-07-02 15:46:51</t>
        </is>
      </c>
      <c r="E140" s="3" t="inlineStr">
        <is>
          <t>2026-07-03 10:32</t>
        </is>
      </c>
      <c r="F140" s="3" t="n">
        <v>58</v>
      </c>
      <c r="G140" s="3" t="n">
        <v>4</v>
      </c>
      <c r="H140" s="3" t="n"/>
      <c r="I140" s="3" t="inlineStr"/>
      <c r="J140" s="3" t="inlineStr">
        <is>
          <t>Keeta</t>
        </is>
      </c>
      <c r="K140" s="3" t="inlineStr">
        <is>
          <t>****9568</t>
        </is>
      </c>
      <c r="L140" s="3" t="n"/>
      <c r="M140" s="3" t="inlineStr">
        <is>
          <t>***** 物流中心5樓</t>
        </is>
      </c>
      <c r="N140" s="3" t="inlineStr">
        <is>
          <t>北区</t>
        </is>
      </c>
      <c r="O140" s="3" t="inlineStr">
        <is>
          <t>香港</t>
        </is>
      </c>
      <c r="P140" s="3" t="inlineStr">
        <is>
          <t>香港特别行政区</t>
        </is>
      </c>
      <c r="Q140" s="3" t="n">
        <v>721515372</v>
      </c>
      <c r="R140" s="3" t="inlineStr">
        <is>
          <t>麥當勞 (新都會廣場II) McDonald&amp;apos;s
McDonald&amp;apos;s (Metroplaza II)</t>
        </is>
      </c>
      <c r="S140" s="3" t="inlineStr">
        <is>
          <t>****24224134</t>
        </is>
      </c>
      <c r="T140" s="3" t="inlineStr">
        <is>
          <t>****24224134</t>
        </is>
      </c>
      <c r="U140" s="3" t="inlineStr">
        <is>
          <t>***** 樓541號舖</t>
        </is>
      </c>
      <c r="V140" s="3" t="inlineStr">
        <is>
          <t>香港</t>
        </is>
      </c>
      <c r="W140" s="3" t="inlineStr">
        <is>
          <t>纸袋【通版】/ 箱出</t>
        </is>
      </c>
      <c r="X140" s="3" t="inlineStr">
        <is>
          <t>ESS-SFTS-OTMS</t>
        </is>
      </c>
      <c r="Y140" s="3" t="n"/>
      <c r="Z140" s="3" t="inlineStr"/>
      <c r="AA140" s="3" t="inlineStr">
        <is>
          <t>寄付月結</t>
        </is>
      </c>
      <c r="AB140">
        <f>IFERROR(VLOOKUP(Q140&amp;"",對照表!$A:$B,1,FALSE),"")</f>
        <v/>
      </c>
      <c r="AC140">
        <f>IFERROR(VLOOKUP(Q140&amp;"",對照表!$A:$B,2,FALSE),"")</f>
        <v/>
      </c>
    </row>
    <row r="141">
      <c r="A141" s="3" t="inlineStr">
        <is>
          <t>SF5119115817035</t>
        </is>
      </c>
      <c r="B141" s="3" t="n">
        <v>58424106156308</v>
      </c>
      <c r="C141" s="3" t="inlineStr">
        <is>
          <t>已簽收</t>
        </is>
      </c>
      <c r="D141" s="3" t="inlineStr">
        <is>
          <t>2026-07-02 14:19:46</t>
        </is>
      </c>
      <c r="E141" s="3" t="inlineStr">
        <is>
          <t>2026-07-03 14:06</t>
        </is>
      </c>
      <c r="F141" s="3" t="n">
        <v>4.45</v>
      </c>
      <c r="G141" s="3" t="n">
        <v>1</v>
      </c>
      <c r="H141" s="3" t="n"/>
      <c r="I141" s="3" t="inlineStr"/>
      <c r="J141" s="3" t="inlineStr">
        <is>
          <t>Keeta</t>
        </is>
      </c>
      <c r="K141" s="3" t="inlineStr">
        <is>
          <t>****9568</t>
        </is>
      </c>
      <c r="L141" s="3" t="n"/>
      <c r="M141" s="3" t="inlineStr">
        <is>
          <t>***** 物流中心5樓</t>
        </is>
      </c>
      <c r="N141" s="3" t="inlineStr">
        <is>
          <t>北区</t>
        </is>
      </c>
      <c r="O141" s="3" t="inlineStr">
        <is>
          <t>香港</t>
        </is>
      </c>
      <c r="P141" s="3" t="inlineStr">
        <is>
          <t>香港特别行政区</t>
        </is>
      </c>
      <c r="Q141" s="3" t="n">
        <v>494744</v>
      </c>
      <c r="R141" s="3" t="inlineStr">
        <is>
          <t>樂園魚蛋專家(沙田店)58年歷史品牌純手工香港製造</t>
        </is>
      </c>
      <c r="S141" s="3" t="inlineStr">
        <is>
          <t>****26081898</t>
        </is>
      </c>
      <c r="T141" s="3" t="inlineStr">
        <is>
          <t>****26081898</t>
        </is>
      </c>
      <c r="U141" s="3" t="inlineStr">
        <is>
          <t>***** 3114號舖</t>
        </is>
      </c>
      <c r="V141" s="3" t="inlineStr">
        <is>
          <t>香港</t>
        </is>
      </c>
      <c r="W141" s="3" t="inlineStr">
        <is>
          <t>机纸/小票纸 / 包出</t>
        </is>
      </c>
      <c r="X141" s="3" t="inlineStr">
        <is>
          <t>ESS-SFTS-OTMS</t>
        </is>
      </c>
      <c r="Y141" s="3" t="n"/>
      <c r="Z141" s="3" t="inlineStr"/>
      <c r="AA141" s="3" t="inlineStr">
        <is>
          <t>寄付月結</t>
        </is>
      </c>
      <c r="AB141">
        <f>IFERROR(VLOOKUP(Q141&amp;"",對照表!$A:$B,1,FALSE),"")</f>
        <v/>
      </c>
      <c r="AC141">
        <f>IFERROR(VLOOKUP(Q141&amp;"",對照表!$A:$B,2,FALSE),"")</f>
        <v/>
      </c>
    </row>
    <row r="142">
      <c r="A142" s="3" t="inlineStr">
        <is>
          <t>SF5119115817248</t>
        </is>
      </c>
      <c r="B142" s="3" t="n">
        <v>58424106156350</v>
      </c>
      <c r="C142" s="3" t="inlineStr">
        <is>
          <t>已簽收</t>
        </is>
      </c>
      <c r="D142" s="3" t="inlineStr">
        <is>
          <t>2026-07-02 15:39:53</t>
        </is>
      </c>
      <c r="E142" s="3" t="inlineStr">
        <is>
          <t>2026-07-03 12:24</t>
        </is>
      </c>
      <c r="F142" s="3" t="n">
        <v>14.5</v>
      </c>
      <c r="G142" s="3" t="n">
        <v>1</v>
      </c>
      <c r="H142" s="3" t="n"/>
      <c r="I142" s="3" t="inlineStr"/>
      <c r="J142" s="3" t="inlineStr">
        <is>
          <t>Keeta</t>
        </is>
      </c>
      <c r="K142" s="3" t="inlineStr">
        <is>
          <t>****9568</t>
        </is>
      </c>
      <c r="L142" s="3" t="n"/>
      <c r="M142" s="3" t="inlineStr">
        <is>
          <t>***** 物流中心5樓</t>
        </is>
      </c>
      <c r="N142" s="3" t="inlineStr">
        <is>
          <t>北区</t>
        </is>
      </c>
      <c r="O142" s="3" t="inlineStr">
        <is>
          <t>香港</t>
        </is>
      </c>
      <c r="P142" s="3" t="inlineStr">
        <is>
          <t>香港特别行政区</t>
        </is>
      </c>
      <c r="Q142" s="3" t="n">
        <v>721522421</v>
      </c>
      <c r="R142" s="3" t="inlineStr">
        <is>
          <t>美味佳（外賣店）</t>
        </is>
      </c>
      <c r="S142" s="3" t="inlineStr">
        <is>
          <t>****1076408</t>
        </is>
      </c>
      <c r="T142" s="3" t="inlineStr">
        <is>
          <t>****1076408</t>
        </is>
      </c>
      <c r="U142" s="3" t="inlineStr">
        <is>
          <t>***** 閣G樓1號舖</t>
        </is>
      </c>
      <c r="V142" s="3" t="inlineStr">
        <is>
          <t>香港</t>
        </is>
      </c>
      <c r="W142" s="3" t="inlineStr">
        <is>
          <t>纸袋【通版】/ 箱出</t>
        </is>
      </c>
      <c r="X142" s="3" t="inlineStr">
        <is>
          <t>ESS-SFTS-OTMS</t>
        </is>
      </c>
      <c r="Y142" s="3" t="n"/>
      <c r="Z142" s="3" t="inlineStr"/>
      <c r="AA142" s="3" t="inlineStr">
        <is>
          <t>寄付月結</t>
        </is>
      </c>
      <c r="AB142">
        <f>IFERROR(VLOOKUP(Q142&amp;"",對照表!$A:$B,1,FALSE),"")</f>
        <v/>
      </c>
      <c r="AC142">
        <f>IFERROR(VLOOKUP(Q142&amp;"",對照表!$A:$B,2,FALSE),"")</f>
        <v/>
      </c>
    </row>
    <row r="143">
      <c r="A143" s="3" t="inlineStr">
        <is>
          <t>SF5119115816852</t>
        </is>
      </c>
      <c r="B143" s="3" t="n">
        <v>58424106156266</v>
      </c>
      <c r="C143" s="3" t="inlineStr">
        <is>
          <t>已簽收</t>
        </is>
      </c>
      <c r="D143" s="3" t="inlineStr">
        <is>
          <t>2026-07-02 16:40:02</t>
        </is>
      </c>
      <c r="E143" s="3" t="inlineStr">
        <is>
          <t>2026-07-03 16:25</t>
        </is>
      </c>
      <c r="F143" s="3" t="n">
        <v>3.44</v>
      </c>
      <c r="G143" s="3" t="n">
        <v>1</v>
      </c>
      <c r="H143" s="3" t="n"/>
      <c r="I143" s="3" t="inlineStr"/>
      <c r="J143" s="3" t="inlineStr">
        <is>
          <t>Keeta</t>
        </is>
      </c>
      <c r="K143" s="3" t="inlineStr">
        <is>
          <t>****9568</t>
        </is>
      </c>
      <c r="L143" s="3" t="n"/>
      <c r="M143" s="3" t="inlineStr">
        <is>
          <t>***** 物流中心5樓</t>
        </is>
      </c>
      <c r="N143" s="3" t="inlineStr">
        <is>
          <t>北区</t>
        </is>
      </c>
      <c r="O143" s="3" t="inlineStr">
        <is>
          <t>香港</t>
        </is>
      </c>
      <c r="P143" s="3" t="inlineStr">
        <is>
          <t>香港特别行政区</t>
        </is>
      </c>
      <c r="Q143" s="3" t="n">
        <v>721441305</v>
      </c>
      <c r="R143" s="3" t="inlineStr">
        <is>
          <t>真章魚無雙全港小食Top10不能轉素丸超創意口味章魚燒等你試（中環）</t>
        </is>
      </c>
      <c r="S143" s="3" t="inlineStr">
        <is>
          <t>****64888329</t>
        </is>
      </c>
      <c r="T143" s="3" t="inlineStr">
        <is>
          <t>****64888329</t>
        </is>
      </c>
      <c r="U143" s="3" t="inlineStr">
        <is>
          <t>***** 樓245號舖</t>
        </is>
      </c>
      <c r="V143" s="3" t="inlineStr">
        <is>
          <t>香港</t>
        </is>
      </c>
      <c r="W143" s="3" t="inlineStr">
        <is>
          <t>封签【通版】/ 扎出</t>
        </is>
      </c>
      <c r="X143" s="3" t="inlineStr">
        <is>
          <t>ESS-SFTS-OTMS</t>
        </is>
      </c>
      <c r="Y143" s="3" t="n"/>
      <c r="Z143" s="3" t="inlineStr"/>
      <c r="AA143" s="3" t="inlineStr">
        <is>
          <t>寄付月結</t>
        </is>
      </c>
      <c r="AB143">
        <f>IFERROR(VLOOKUP(Q143&amp;"",對照表!$A:$B,1,FALSE),"")</f>
        <v/>
      </c>
      <c r="AC143">
        <f>IFERROR(VLOOKUP(Q143&amp;"",對照表!$A:$B,2,FALSE),"")</f>
        <v/>
      </c>
    </row>
    <row r="144">
      <c r="A144" s="3" t="inlineStr">
        <is>
          <t>SF5119115817275</t>
        </is>
      </c>
      <c r="B144" s="3" t="n">
        <v>58424106156357</v>
      </c>
      <c r="C144" s="3" t="inlineStr">
        <is>
          <t>已簽收</t>
        </is>
      </c>
      <c r="D144" s="3" t="inlineStr">
        <is>
          <t>2026-07-02 14:35:28</t>
        </is>
      </c>
      <c r="E144" s="3" t="inlineStr">
        <is>
          <t>2026-07-03 12:00</t>
        </is>
      </c>
      <c r="F144" s="3" t="n">
        <v>2.8</v>
      </c>
      <c r="G144" s="3" t="n">
        <v>1</v>
      </c>
      <c r="H144" s="3" t="n"/>
      <c r="I144" s="3" t="inlineStr"/>
      <c r="J144" s="3" t="inlineStr">
        <is>
          <t>Keeta</t>
        </is>
      </c>
      <c r="K144" s="3" t="inlineStr">
        <is>
          <t>****9568</t>
        </is>
      </c>
      <c r="L144" s="3" t="n"/>
      <c r="M144" s="3" t="inlineStr">
        <is>
          <t>***** 物流中心5樓</t>
        </is>
      </c>
      <c r="N144" s="3" t="inlineStr">
        <is>
          <t>北区</t>
        </is>
      </c>
      <c r="O144" s="3" t="inlineStr">
        <is>
          <t>香港</t>
        </is>
      </c>
      <c r="P144" s="3" t="inlineStr">
        <is>
          <t>香港特别行政区</t>
        </is>
      </c>
      <c r="Q144" s="3" t="n">
        <v>600698</v>
      </c>
      <c r="R144" s="3" t="inlineStr">
        <is>
          <t>新耀榮粥店</t>
        </is>
      </c>
      <c r="S144" s="3" t="inlineStr">
        <is>
          <t>****31465703</t>
        </is>
      </c>
      <c r="T144" s="3" t="inlineStr">
        <is>
          <t>****31465703</t>
        </is>
      </c>
      <c r="U144" s="3" t="inlineStr">
        <is>
          <t>***** 310號地下</t>
        </is>
      </c>
      <c r="V144" s="3" t="inlineStr">
        <is>
          <t>香港</t>
        </is>
      </c>
      <c r="W144" s="3" t="inlineStr">
        <is>
          <t>机纸/小票纸 / 包出</t>
        </is>
      </c>
      <c r="X144" s="3" t="inlineStr">
        <is>
          <t>ESS-SFTS-OTMS</t>
        </is>
      </c>
      <c r="Y144" s="3" t="n"/>
      <c r="Z144" s="3" t="inlineStr"/>
      <c r="AA144" s="3" t="inlineStr">
        <is>
          <t>寄付月結</t>
        </is>
      </c>
      <c r="AB144">
        <f>IFERROR(VLOOKUP(Q144&amp;"",對照表!$A:$B,1,FALSE),"")</f>
        <v/>
      </c>
      <c r="AC144">
        <f>IFERROR(VLOOKUP(Q144&amp;"",對照表!$A:$B,2,FALSE),"")</f>
        <v/>
      </c>
    </row>
    <row r="145">
      <c r="A145" s="3" t="inlineStr">
        <is>
          <t>SF5119115817053</t>
        </is>
      </c>
      <c r="B145" s="3" t="n">
        <v>58424106156313</v>
      </c>
      <c r="C145" s="3" t="inlineStr">
        <is>
          <t>已簽收</t>
        </is>
      </c>
      <c r="D145" s="3" t="inlineStr">
        <is>
          <t>2026-07-02 16:59:15</t>
        </is>
      </c>
      <c r="E145" s="3" t="inlineStr">
        <is>
          <t>2026-07-03 13:12</t>
        </is>
      </c>
      <c r="F145" s="3" t="n">
        <v>11.59</v>
      </c>
      <c r="G145" s="3" t="n">
        <v>1</v>
      </c>
      <c r="H145" s="3" t="n"/>
      <c r="I145" s="3" t="inlineStr"/>
      <c r="J145" s="3" t="inlineStr">
        <is>
          <t>Keeta</t>
        </is>
      </c>
      <c r="K145" s="3" t="inlineStr">
        <is>
          <t>****9568</t>
        </is>
      </c>
      <c r="L145" s="3" t="n"/>
      <c r="M145" s="3" t="inlineStr">
        <is>
          <t>***** 物流中心5樓</t>
        </is>
      </c>
      <c r="N145" s="3" t="inlineStr">
        <is>
          <t>北区</t>
        </is>
      </c>
      <c r="O145" s="3" t="inlineStr">
        <is>
          <t>香港</t>
        </is>
      </c>
      <c r="P145" s="3" t="inlineStr">
        <is>
          <t>香港特别行政区</t>
        </is>
      </c>
      <c r="Q145" s="3" t="n">
        <v>566730</v>
      </c>
      <c r="R145" s="3" t="inlineStr">
        <is>
          <t>翠湖海鮮酒家(元朗)</t>
        </is>
      </c>
      <c r="S145" s="3" t="inlineStr">
        <is>
          <t>****24883312</t>
        </is>
      </c>
      <c r="T145" s="3" t="inlineStr">
        <is>
          <t>****24883312</t>
        </is>
      </c>
      <c r="U145" s="3" t="inlineStr">
        <is>
          <t>***** 廈1樓2號舖</t>
        </is>
      </c>
      <c r="V145" s="3" t="inlineStr">
        <is>
          <t>香港</t>
        </is>
      </c>
      <c r="W145" s="3" t="inlineStr">
        <is>
          <t>无纺布【规格四大号】/ 箱出</t>
        </is>
      </c>
      <c r="X145" s="3" t="inlineStr">
        <is>
          <t>ESS-SFTS-OTMS</t>
        </is>
      </c>
      <c r="Y145" s="3" t="n"/>
      <c r="Z145" s="3" t="inlineStr"/>
      <c r="AA145" s="3" t="inlineStr">
        <is>
          <t>寄付月結</t>
        </is>
      </c>
      <c r="AB145">
        <f>IFERROR(VLOOKUP(Q145&amp;"",對照表!$A:$B,1,FALSE),"")</f>
        <v/>
      </c>
      <c r="AC145">
        <f>IFERROR(VLOOKUP(Q145&amp;"",對照表!$A:$B,2,FALSE),"")</f>
        <v/>
      </c>
    </row>
    <row r="146">
      <c r="A146" s="3" t="inlineStr">
        <is>
          <t>SF5119115817178</t>
        </is>
      </c>
      <c r="B146" s="3" t="n">
        <v>58424106156337</v>
      </c>
      <c r="C146" s="3" t="inlineStr">
        <is>
          <t>已簽收</t>
        </is>
      </c>
      <c r="D146" s="3" t="inlineStr">
        <is>
          <t>2026-07-02 15:44:31</t>
        </is>
      </c>
      <c r="E146" s="3" t="inlineStr">
        <is>
          <t>2026-07-03 11:22</t>
        </is>
      </c>
      <c r="F146" s="3" t="n">
        <v>29</v>
      </c>
      <c r="G146" s="3" t="n">
        <v>2</v>
      </c>
      <c r="H146" s="3" t="n"/>
      <c r="I146" s="3" t="inlineStr"/>
      <c r="J146" s="3" t="inlineStr">
        <is>
          <t>Keeta</t>
        </is>
      </c>
      <c r="K146" s="3" t="inlineStr">
        <is>
          <t>****9568</t>
        </is>
      </c>
      <c r="L146" s="3" t="n"/>
      <c r="M146" s="3" t="inlineStr">
        <is>
          <t>***** 物流中心5樓</t>
        </is>
      </c>
      <c r="N146" s="3" t="inlineStr">
        <is>
          <t>北区</t>
        </is>
      </c>
      <c r="O146" s="3" t="inlineStr">
        <is>
          <t>香港</t>
        </is>
      </c>
      <c r="P146" s="3" t="inlineStr">
        <is>
          <t>香港特别行政区</t>
        </is>
      </c>
      <c r="Q146" s="3" t="n">
        <v>471844</v>
      </c>
      <c r="R146" s="3" t="inlineStr">
        <is>
          <t>麥當勞(Airside)McDonalds</t>
        </is>
      </c>
      <c r="S146" s="3" t="inlineStr">
        <is>
          <t>****27453698</t>
        </is>
      </c>
      <c r="T146" s="3" t="inlineStr">
        <is>
          <t>****27453698</t>
        </is>
      </c>
      <c r="U146" s="3" t="inlineStr">
        <is>
          <t>***** B117號舖</t>
        </is>
      </c>
      <c r="V146" s="3" t="inlineStr">
        <is>
          <t>香港</t>
        </is>
      </c>
      <c r="W146" s="3" t="inlineStr">
        <is>
          <t>纸袋【通版】/ 箱出</t>
        </is>
      </c>
      <c r="X146" s="3" t="inlineStr">
        <is>
          <t>ESS-SFTS-OTMS</t>
        </is>
      </c>
      <c r="Y146" s="3" t="n"/>
      <c r="Z146" s="3" t="inlineStr"/>
      <c r="AA146" s="3" t="inlineStr">
        <is>
          <t>寄付月結</t>
        </is>
      </c>
      <c r="AB146">
        <f>IFERROR(VLOOKUP(Q146&amp;"",對照表!$A:$B,1,FALSE),"")</f>
        <v/>
      </c>
      <c r="AC146">
        <f>IFERROR(VLOOKUP(Q146&amp;"",對照表!$A:$B,2,FALSE),"")</f>
        <v/>
      </c>
    </row>
    <row r="147">
      <c r="A147" s="3" t="inlineStr">
        <is>
          <t>SF5119115817080</t>
        </is>
      </c>
      <c r="B147" s="3" t="n">
        <v>58424106156318</v>
      </c>
      <c r="C147" s="3" t="inlineStr">
        <is>
          <t>已簽收</t>
        </is>
      </c>
      <c r="D147" s="3" t="inlineStr">
        <is>
          <t>2026-07-02 15:44:29</t>
        </is>
      </c>
      <c r="E147" s="3" t="inlineStr">
        <is>
          <t>2026-07-03 12:32</t>
        </is>
      </c>
      <c r="F147" s="3" t="n">
        <v>29</v>
      </c>
      <c r="G147" s="3" t="n">
        <v>2</v>
      </c>
      <c r="H147" s="3" t="n"/>
      <c r="I147" s="3" t="inlineStr"/>
      <c r="J147" s="3" t="inlineStr">
        <is>
          <t>Keeta</t>
        </is>
      </c>
      <c r="K147" s="3" t="inlineStr">
        <is>
          <t>****9568</t>
        </is>
      </c>
      <c r="L147" s="3" t="n"/>
      <c r="M147" s="3" t="inlineStr">
        <is>
          <t>***** 物流中心5樓</t>
        </is>
      </c>
      <c r="N147" s="3" t="inlineStr">
        <is>
          <t>北区</t>
        </is>
      </c>
      <c r="O147" s="3" t="inlineStr">
        <is>
          <t>香港</t>
        </is>
      </c>
      <c r="P147" s="3" t="inlineStr">
        <is>
          <t>香港特别行政区</t>
        </is>
      </c>
      <c r="Q147" s="3" t="n">
        <v>462068</v>
      </c>
      <c r="R147" s="3" t="inlineStr">
        <is>
          <t>麥當勞(皇后山)McDonalds</t>
        </is>
      </c>
      <c r="S147" s="3" t="inlineStr">
        <is>
          <t>****26872223</t>
        </is>
      </c>
      <c r="T147" s="3" t="inlineStr">
        <is>
          <t>****26872223</t>
        </is>
      </c>
      <c r="U147" s="3" t="inlineStr">
        <is>
          <t>***** 地下11號舖</t>
        </is>
      </c>
      <c r="V147" s="3" t="inlineStr">
        <is>
          <t>香港</t>
        </is>
      </c>
      <c r="W147" s="3" t="inlineStr">
        <is>
          <t>纸袋【通版】/ 箱出</t>
        </is>
      </c>
      <c r="X147" s="3" t="inlineStr">
        <is>
          <t>ESS-SFTS-OTMS</t>
        </is>
      </c>
      <c r="Y147" s="3" t="n"/>
      <c r="Z147" s="3" t="inlineStr"/>
      <c r="AA147" s="3" t="inlineStr">
        <is>
          <t>寄付月結</t>
        </is>
      </c>
      <c r="AB147">
        <f>IFERROR(VLOOKUP(Q147&amp;"",對照表!$A:$B,1,FALSE),"")</f>
        <v/>
      </c>
      <c r="AC147">
        <f>IFERROR(VLOOKUP(Q147&amp;"",對照表!$A:$B,2,FALSE),"")</f>
        <v/>
      </c>
    </row>
    <row r="148">
      <c r="A148" s="3" t="inlineStr">
        <is>
          <t>SF5119115817327</t>
        </is>
      </c>
      <c r="B148" s="3" t="n">
        <v>58424106156369</v>
      </c>
      <c r="C148" s="3" t="inlineStr">
        <is>
          <t>已簽收</t>
        </is>
      </c>
      <c r="D148" s="3" t="inlineStr">
        <is>
          <t>2026-07-02 17:02:18</t>
        </is>
      </c>
      <c r="E148" s="3" t="inlineStr">
        <is>
          <t>2026-07-03 15:49</t>
        </is>
      </c>
      <c r="F148" s="3" t="n">
        <v>5.74</v>
      </c>
      <c r="G148" s="3" t="n">
        <v>1</v>
      </c>
      <c r="H148" s="3" t="n"/>
      <c r="I148" s="3" t="inlineStr"/>
      <c r="J148" s="3" t="inlineStr">
        <is>
          <t>Keeta</t>
        </is>
      </c>
      <c r="K148" s="3" t="inlineStr">
        <is>
          <t>****9568</t>
        </is>
      </c>
      <c r="L148" s="3" t="n"/>
      <c r="M148" s="3" t="inlineStr">
        <is>
          <t>***** 物流中心5樓</t>
        </is>
      </c>
      <c r="N148" s="3" t="inlineStr">
        <is>
          <t>北区</t>
        </is>
      </c>
      <c r="O148" s="3" t="inlineStr">
        <is>
          <t>香港</t>
        </is>
      </c>
      <c r="P148" s="3" t="inlineStr">
        <is>
          <t>香港特别行政区</t>
        </is>
      </c>
      <c r="Q148" s="3" t="n">
        <v>461721</v>
      </c>
      <c r="R148" s="3" t="inlineStr">
        <is>
          <t>快樂蜂(聯安新樓)Jollibee(LuenOnApartment)</t>
        </is>
      </c>
      <c r="S148" s="3" t="inlineStr">
        <is>
          <t>****26771130</t>
        </is>
      </c>
      <c r="T148" s="3" t="inlineStr">
        <is>
          <t>****26771130</t>
        </is>
      </c>
      <c r="U148" s="3" t="inlineStr">
        <is>
          <t>***** 下A-B號舖</t>
        </is>
      </c>
      <c r="V148" s="3" t="inlineStr">
        <is>
          <t>香港</t>
        </is>
      </c>
      <c r="W148" s="3" t="inlineStr">
        <is>
          <t>塑料袋【大】/ 扎出, 塑料袋【小】/ 扎出</t>
        </is>
      </c>
      <c r="X148" s="3" t="inlineStr">
        <is>
          <t>ESS-SFTS-OTMS</t>
        </is>
      </c>
      <c r="Y148" s="3" t="n"/>
      <c r="Z148" s="3" t="inlineStr"/>
      <c r="AA148" s="3" t="inlineStr">
        <is>
          <t>寄付月結</t>
        </is>
      </c>
      <c r="AB148">
        <f>IFERROR(VLOOKUP(Q148&amp;"",對照表!$A:$B,1,FALSE),"")</f>
        <v/>
      </c>
      <c r="AC148">
        <f>IFERROR(VLOOKUP(Q148&amp;"",對照表!$A:$B,2,FALSE),"")</f>
        <v/>
      </c>
    </row>
    <row r="149">
      <c r="A149" s="3" t="inlineStr">
        <is>
          <t>SF5119115817309</t>
        </is>
      </c>
      <c r="B149" s="3" t="n">
        <v>58424106156364</v>
      </c>
      <c r="C149" s="3" t="inlineStr">
        <is>
          <t>已簽收</t>
        </is>
      </c>
      <c r="D149" s="3" t="inlineStr">
        <is>
          <t>2026-07-02 16:59:01</t>
        </is>
      </c>
      <c r="E149" s="3" t="inlineStr">
        <is>
          <t>2026-07-03 09:38</t>
        </is>
      </c>
      <c r="F149" s="3" t="n">
        <v>9.9</v>
      </c>
      <c r="G149" s="3" t="n">
        <v>1</v>
      </c>
      <c r="H149" s="3" t="n"/>
      <c r="I149" s="3" t="inlineStr"/>
      <c r="J149" s="3" t="inlineStr">
        <is>
          <t>Keeta</t>
        </is>
      </c>
      <c r="K149" s="3" t="inlineStr">
        <is>
          <t>****9568</t>
        </is>
      </c>
      <c r="L149" s="3" t="n"/>
      <c r="M149" s="3" t="inlineStr">
        <is>
          <t>***** 物流中心5樓</t>
        </is>
      </c>
      <c r="N149" s="3" t="inlineStr">
        <is>
          <t>北区</t>
        </is>
      </c>
      <c r="O149" s="3" t="inlineStr">
        <is>
          <t>香港</t>
        </is>
      </c>
      <c r="P149" s="3" t="inlineStr">
        <is>
          <t>香港特别行政区</t>
        </is>
      </c>
      <c r="Q149" s="3" t="n">
        <v>721527333</v>
      </c>
      <c r="R149" s="3" t="inlineStr">
        <is>
          <t>炸物公社(新店開業全場買一送一)</t>
        </is>
      </c>
      <c r="S149" s="3" t="inlineStr">
        <is>
          <t>****52854555</t>
        </is>
      </c>
      <c r="T149" s="3" t="inlineStr">
        <is>
          <t>****52854555</t>
        </is>
      </c>
      <c r="U149" s="3" t="inlineStr">
        <is>
          <t>***** 1樓，18號</t>
        </is>
      </c>
      <c r="V149" s="3" t="inlineStr">
        <is>
          <t>香港</t>
        </is>
      </c>
      <c r="W149" s="3" t="inlineStr">
        <is>
          <t>无纺布【规格三中号】/ 箱出</t>
        </is>
      </c>
      <c r="X149" s="3" t="inlineStr">
        <is>
          <t>ESS-SFTS-OTMS</t>
        </is>
      </c>
      <c r="Y149" s="3" t="n"/>
      <c r="Z149" s="3" t="inlineStr"/>
      <c r="AA149" s="3" t="inlineStr">
        <is>
          <t>寄付月結</t>
        </is>
      </c>
      <c r="AB149">
        <f>IFERROR(VLOOKUP(Q149&amp;"",對照表!$A:$B,1,FALSE),"")</f>
        <v/>
      </c>
      <c r="AC149">
        <f>IFERROR(VLOOKUP(Q149&amp;"",對照表!$A:$B,2,FALSE),"")</f>
        <v/>
      </c>
    </row>
    <row r="150">
      <c r="A150" s="3" t="inlineStr">
        <is>
          <t>SF5119115817211</t>
        </is>
      </c>
      <c r="B150" s="3" t="n">
        <v>58424106156345</v>
      </c>
      <c r="C150" s="3" t="inlineStr">
        <is>
          <t>已簽收</t>
        </is>
      </c>
      <c r="D150" s="3" t="inlineStr">
        <is>
          <t>2026-07-02 15:39:49</t>
        </is>
      </c>
      <c r="E150" s="3" t="inlineStr">
        <is>
          <t>2026-07-03 11:54</t>
        </is>
      </c>
      <c r="F150" s="3" t="n">
        <v>14.5</v>
      </c>
      <c r="G150" s="3" t="n">
        <v>1</v>
      </c>
      <c r="H150" s="3" t="n"/>
      <c r="I150" s="3" t="inlineStr"/>
      <c r="J150" s="3" t="inlineStr">
        <is>
          <t>Keeta</t>
        </is>
      </c>
      <c r="K150" s="3" t="inlineStr">
        <is>
          <t>****9568</t>
        </is>
      </c>
      <c r="L150" s="3" t="n"/>
      <c r="M150" s="3" t="inlineStr">
        <is>
          <t>***** 物流中心5樓</t>
        </is>
      </c>
      <c r="N150" s="3" t="inlineStr">
        <is>
          <t>北区</t>
        </is>
      </c>
      <c r="O150" s="3" t="inlineStr">
        <is>
          <t>香港</t>
        </is>
      </c>
      <c r="P150" s="3" t="inlineStr">
        <is>
          <t>香港特别行政区</t>
        </is>
      </c>
      <c r="Q150" s="3" t="n">
        <v>485145</v>
      </c>
      <c r="R150" s="3" t="inlineStr">
        <is>
          <t>PretAManger(Cityplaza太古城)</t>
        </is>
      </c>
      <c r="S150" s="3" t="inlineStr">
        <is>
          <t>****28575301</t>
        </is>
      </c>
      <c r="T150" s="3" t="inlineStr">
        <is>
          <t>****28575301</t>
        </is>
      </c>
      <c r="U150" s="3" t="inlineStr">
        <is>
          <t>***** 樓503號舖</t>
        </is>
      </c>
      <c r="V150" s="3" t="inlineStr">
        <is>
          <t>香港</t>
        </is>
      </c>
      <c r="W150" s="3" t="inlineStr">
        <is>
          <t>纸袋【通版】/ 箱出</t>
        </is>
      </c>
      <c r="X150" s="3" t="inlineStr">
        <is>
          <t>ESS-SFTS-OTMS</t>
        </is>
      </c>
      <c r="Y150" s="3" t="n"/>
      <c r="Z150" s="3" t="inlineStr"/>
      <c r="AA150" s="3" t="inlineStr">
        <is>
          <t>寄付月結</t>
        </is>
      </c>
      <c r="AB150">
        <f>IFERROR(VLOOKUP(Q150&amp;"",對照表!$A:$B,1,FALSE),"")</f>
        <v/>
      </c>
      <c r="AC150">
        <f>IFERROR(VLOOKUP(Q150&amp;"",對照表!$A:$B,2,FALSE),"")</f>
        <v/>
      </c>
    </row>
    <row r="151">
      <c r="A151" s="3" t="inlineStr">
        <is>
          <t>SF5119115817187</t>
        </is>
      </c>
      <c r="B151" s="3" t="n">
        <v>58424106156341</v>
      </c>
      <c r="C151" s="3" t="inlineStr">
        <is>
          <t>已簽收</t>
        </is>
      </c>
      <c r="D151" s="3" t="inlineStr">
        <is>
          <t>2026-07-02 16:59:26</t>
        </is>
      </c>
      <c r="E151" s="3" t="inlineStr">
        <is>
          <t>2026-07-03 15:44</t>
        </is>
      </c>
      <c r="F151" s="3" t="n">
        <v>21.49</v>
      </c>
      <c r="G151" s="3" t="n">
        <v>2</v>
      </c>
      <c r="H151" s="3" t="n"/>
      <c r="I151" s="3" t="inlineStr"/>
      <c r="J151" s="3" t="inlineStr">
        <is>
          <t>Keeta</t>
        </is>
      </c>
      <c r="K151" s="3" t="inlineStr">
        <is>
          <t>****9568</t>
        </is>
      </c>
      <c r="L151" s="3" t="n"/>
      <c r="M151" s="3" t="inlineStr">
        <is>
          <t>***** 物流中心5樓</t>
        </is>
      </c>
      <c r="N151" s="3" t="inlineStr">
        <is>
          <t>北区</t>
        </is>
      </c>
      <c r="O151" s="3" t="inlineStr">
        <is>
          <t>香港</t>
        </is>
      </c>
      <c r="P151" s="3" t="inlineStr">
        <is>
          <t>香港特别行政区</t>
        </is>
      </c>
      <c r="Q151" s="3" t="n">
        <v>496196</v>
      </c>
      <c r="R151" s="3" t="inlineStr">
        <is>
          <t>元氣壽司(黃埔花園)GenkiSushi</t>
        </is>
      </c>
      <c r="S151" s="3" t="inlineStr">
        <is>
          <t>****23302884</t>
        </is>
      </c>
      <c r="T151" s="3" t="inlineStr">
        <is>
          <t>****23302884</t>
        </is>
      </c>
      <c r="U151" s="3" t="inlineStr">
        <is>
          <t>***** 地下G36舖</t>
        </is>
      </c>
      <c r="V151" s="3" t="inlineStr">
        <is>
          <t>香港</t>
        </is>
      </c>
      <c r="W151" s="3" t="inlineStr">
        <is>
          <t>无纺布【规格三中号】/ 箱出, 无纺布【规格四大号】/ 箱出</t>
        </is>
      </c>
      <c r="X151" s="3" t="inlineStr">
        <is>
          <t>ESS-SFTS-OTMS</t>
        </is>
      </c>
      <c r="Y151" s="3" t="n"/>
      <c r="Z151" s="3" t="inlineStr"/>
      <c r="AA151" s="3" t="inlineStr">
        <is>
          <t>寄付月結</t>
        </is>
      </c>
      <c r="AB151">
        <f>IFERROR(VLOOKUP(Q151&amp;"",對照表!$A:$B,1,FALSE),"")</f>
        <v/>
      </c>
      <c r="AC151">
        <f>IFERROR(VLOOKUP(Q151&amp;"",對照表!$A:$B,2,FALSE),"")</f>
        <v/>
      </c>
    </row>
    <row r="152">
      <c r="A152" s="3" t="inlineStr">
        <is>
          <t>SF5119115816861</t>
        </is>
      </c>
      <c r="B152" s="3" t="n">
        <v>58424106156272</v>
      </c>
      <c r="C152" s="3" t="inlineStr">
        <is>
          <t>已簽收</t>
        </is>
      </c>
      <c r="D152" s="3" t="inlineStr">
        <is>
          <t>2026-07-02 15:39:45</t>
        </is>
      </c>
      <c r="E152" s="3" t="inlineStr">
        <is>
          <t>2026-07-03 15:03</t>
        </is>
      </c>
      <c r="F152" s="3" t="n">
        <v>116</v>
      </c>
      <c r="G152" s="3" t="n">
        <v>8</v>
      </c>
      <c r="H152" s="3" t="n"/>
      <c r="I152" s="3" t="inlineStr"/>
      <c r="J152" s="3" t="inlineStr">
        <is>
          <t>Keeta</t>
        </is>
      </c>
      <c r="K152" s="3" t="inlineStr">
        <is>
          <t>****9568</t>
        </is>
      </c>
      <c r="L152" s="3" t="n"/>
      <c r="M152" s="3" t="inlineStr">
        <is>
          <t>***** 物流中心5樓</t>
        </is>
      </c>
      <c r="N152" s="3" t="inlineStr">
        <is>
          <t>北区</t>
        </is>
      </c>
      <c r="O152" s="3" t="inlineStr">
        <is>
          <t>香港</t>
        </is>
      </c>
      <c r="P152" s="3" t="inlineStr">
        <is>
          <t>香港特别行政区</t>
        </is>
      </c>
      <c r="Q152" s="3" t="n">
        <v>451667</v>
      </c>
      <c r="R152" s="3" t="inlineStr">
        <is>
          <t>麥當勞（家維邨）McDonalds</t>
        </is>
      </c>
      <c r="S152" s="3" t="inlineStr">
        <is>
          <t>****29945909</t>
        </is>
      </c>
      <c r="T152" s="3" t="inlineStr">
        <is>
          <t>****29945909</t>
        </is>
      </c>
      <c r="U152" s="3" t="inlineStr">
        <is>
          <t>***** 層5-6號舖</t>
        </is>
      </c>
      <c r="V152" s="3" t="inlineStr">
        <is>
          <t>香港</t>
        </is>
      </c>
      <c r="W152" s="3" t="inlineStr">
        <is>
          <t>纸袋【通版】/ 箱出</t>
        </is>
      </c>
      <c r="X152" s="3" t="inlineStr">
        <is>
          <t>ESS-SFTS-OTMS</t>
        </is>
      </c>
      <c r="Y152" s="3" t="n"/>
      <c r="Z152" s="3" t="inlineStr"/>
      <c r="AA152" s="3" t="inlineStr">
        <is>
          <t>寄付月結</t>
        </is>
      </c>
      <c r="AB152">
        <f>IFERROR(VLOOKUP(Q152&amp;"",對照表!$A:$B,1,FALSE),"")</f>
        <v/>
      </c>
      <c r="AC152">
        <f>IFERROR(VLOOKUP(Q152&amp;"",對照表!$A:$B,2,FALSE),"")</f>
        <v/>
      </c>
    </row>
    <row r="153">
      <c r="A153" s="3" t="inlineStr">
        <is>
          <t>SF5119115817381</t>
        </is>
      </c>
      <c r="B153" s="3" t="n">
        <v>58424106156381</v>
      </c>
      <c r="C153" s="3" t="inlineStr">
        <is>
          <t>已簽收</t>
        </is>
      </c>
      <c r="D153" s="3" t="inlineStr">
        <is>
          <t>2026-07-02 15:16:53</t>
        </is>
      </c>
      <c r="E153" s="3" t="inlineStr">
        <is>
          <t>2026-07-03 14:05</t>
        </is>
      </c>
      <c r="F153" s="3" t="n">
        <v>1.5</v>
      </c>
      <c r="G153" s="3" t="n">
        <v>1</v>
      </c>
      <c r="H153" s="3" t="n"/>
      <c r="I153" s="3" t="inlineStr"/>
      <c r="J153" s="3" t="inlineStr">
        <is>
          <t>Keeta</t>
        </is>
      </c>
      <c r="K153" s="3" t="inlineStr">
        <is>
          <t>****9568</t>
        </is>
      </c>
      <c r="L153" s="3" t="n"/>
      <c r="M153" s="3" t="inlineStr">
        <is>
          <t>***** 物流中心5樓</t>
        </is>
      </c>
      <c r="N153" s="3" t="inlineStr">
        <is>
          <t>北区</t>
        </is>
      </c>
      <c r="O153" s="3" t="inlineStr">
        <is>
          <t>香港</t>
        </is>
      </c>
      <c r="P153" s="3" t="inlineStr">
        <is>
          <t>香港特别行政区</t>
        </is>
      </c>
      <c r="Q153" s="3" t="n">
        <v>721524339</v>
      </c>
      <c r="R153" s="3" t="inlineStr">
        <is>
          <t>luluBAOBAO黃竹坑</t>
        </is>
      </c>
      <c r="S153" s="3" t="inlineStr">
        <is>
          <t>****34604247</t>
        </is>
      </c>
      <c r="T153" s="3" t="inlineStr">
        <is>
          <t>****34604247</t>
        </is>
      </c>
      <c r="U153" s="3" t="inlineStr">
        <is>
          <t>***** 樓102號舖</t>
        </is>
      </c>
      <c r="V153" s="3" t="inlineStr">
        <is>
          <t>香港</t>
        </is>
      </c>
      <c r="W153" s="3" t="inlineStr">
        <is>
          <t>机纸/小票纸 / 包出</t>
        </is>
      </c>
      <c r="X153" s="3" t="inlineStr">
        <is>
          <t>ESS-SFTS-OTMS</t>
        </is>
      </c>
      <c r="Y153" s="3" t="n"/>
      <c r="Z153" s="3" t="inlineStr"/>
      <c r="AA153" s="3" t="inlineStr">
        <is>
          <t>寄付月結</t>
        </is>
      </c>
      <c r="AB153">
        <f>IFERROR(VLOOKUP(Q153&amp;"",對照表!$A:$B,1,FALSE),"")</f>
        <v/>
      </c>
      <c r="AC153">
        <f>IFERROR(VLOOKUP(Q153&amp;"",對照表!$A:$B,2,FALSE),"")</f>
        <v/>
      </c>
    </row>
    <row r="154">
      <c r="A154" s="3" t="inlineStr">
        <is>
          <t>SF5119115817345</t>
        </is>
      </c>
      <c r="B154" s="3" t="n">
        <v>58424106156372</v>
      </c>
      <c r="C154" s="3" t="inlineStr">
        <is>
          <t>已簽收</t>
        </is>
      </c>
      <c r="D154" s="3" t="inlineStr">
        <is>
          <t>2026-07-02 14:19:45</t>
        </is>
      </c>
      <c r="E154" s="3" t="inlineStr">
        <is>
          <t>2026-07-03 10:52</t>
        </is>
      </c>
      <c r="F154" s="3" t="n">
        <v>4.45</v>
      </c>
      <c r="G154" s="3" t="n">
        <v>1</v>
      </c>
      <c r="H154" s="3" t="n"/>
      <c r="I154" s="3" t="inlineStr"/>
      <c r="J154" s="3" t="inlineStr">
        <is>
          <t>Keeta</t>
        </is>
      </c>
      <c r="K154" s="3" t="inlineStr">
        <is>
          <t>****9568</t>
        </is>
      </c>
      <c r="L154" s="3" t="n"/>
      <c r="M154" s="3" t="inlineStr">
        <is>
          <t>***** 物流中心5樓</t>
        </is>
      </c>
      <c r="N154" s="3" t="inlineStr">
        <is>
          <t>北区</t>
        </is>
      </c>
      <c r="O154" s="3" t="inlineStr">
        <is>
          <t>香港</t>
        </is>
      </c>
      <c r="P154" s="3" t="inlineStr">
        <is>
          <t>香港特别行政区</t>
        </is>
      </c>
      <c r="Q154" s="3" t="n">
        <v>721542385</v>
      </c>
      <c r="R154" s="3" t="inlineStr">
        <is>
          <t>博多鍋日本和牛壽喜燒、牛腸鍋專門店</t>
        </is>
      </c>
      <c r="S154" s="3" t="inlineStr">
        <is>
          <t>****64249349</t>
        </is>
      </c>
      <c r="T154" s="3" t="inlineStr">
        <is>
          <t>****64249349</t>
        </is>
      </c>
      <c r="U154" s="3" t="inlineStr">
        <is>
          <t>***** 號舖 地 下</t>
        </is>
      </c>
      <c r="V154" s="3" t="inlineStr">
        <is>
          <t>香港</t>
        </is>
      </c>
      <c r="W154" s="3" t="inlineStr">
        <is>
          <t>机纸/小票纸 / 包出</t>
        </is>
      </c>
      <c r="X154" s="3" t="inlineStr">
        <is>
          <t>ESS-SFTS-OTMS</t>
        </is>
      </c>
      <c r="Y154" s="3" t="n"/>
      <c r="Z154" s="3" t="inlineStr"/>
      <c r="AA154" s="3" t="inlineStr">
        <is>
          <t>寄付月結</t>
        </is>
      </c>
      <c r="AB154">
        <f>IFERROR(VLOOKUP(Q154&amp;"",對照表!$A:$B,1,FALSE),"")</f>
        <v/>
      </c>
      <c r="AC154">
        <f>IFERROR(VLOOKUP(Q154&amp;"",對照表!$A:$B,2,FALSE),"")</f>
        <v/>
      </c>
    </row>
    <row r="155">
      <c r="A155" s="3" t="inlineStr">
        <is>
          <t>SF5119115817266</t>
        </is>
      </c>
      <c r="B155" s="3" t="n">
        <v>58424106156355</v>
      </c>
      <c r="C155" s="3" t="inlineStr">
        <is>
          <t>已簽收</t>
        </is>
      </c>
      <c r="D155" s="3" t="inlineStr">
        <is>
          <t>2026-07-02 15:16:00</t>
        </is>
      </c>
      <c r="E155" s="3" t="inlineStr">
        <is>
          <t>2026-07-03 09:09</t>
        </is>
      </c>
      <c r="F155" s="3" t="n">
        <v>2.36</v>
      </c>
      <c r="G155" s="3" t="n">
        <v>1</v>
      </c>
      <c r="H155" s="3" t="n"/>
      <c r="I155" s="3" t="inlineStr"/>
      <c r="J155" s="3" t="inlineStr">
        <is>
          <t>Keeta</t>
        </is>
      </c>
      <c r="K155" s="3" t="inlineStr">
        <is>
          <t>****9568</t>
        </is>
      </c>
      <c r="L155" s="3" t="n"/>
      <c r="M155" s="3" t="inlineStr">
        <is>
          <t>***** 物流中心5樓</t>
        </is>
      </c>
      <c r="N155" s="3" t="inlineStr">
        <is>
          <t>北区</t>
        </is>
      </c>
      <c r="O155" s="3" t="inlineStr">
        <is>
          <t>香港</t>
        </is>
      </c>
      <c r="P155" s="3" t="inlineStr">
        <is>
          <t>香港特别行政区</t>
        </is>
      </c>
      <c r="Q155" s="3" t="n">
        <v>721539379</v>
      </c>
      <c r="R155" s="3" t="inlineStr">
        <is>
          <t>紅茶（佐敦）</t>
        </is>
      </c>
      <c r="S155" s="3" t="inlineStr">
        <is>
          <t>****26599733</t>
        </is>
      </c>
      <c r="T155" s="3" t="inlineStr">
        <is>
          <t>****26599733</t>
        </is>
      </c>
      <c r="U155" s="3" t="inlineStr">
        <is>
          <t>***** 號偉景閣地舖</t>
        </is>
      </c>
      <c r="V155" s="3" t="inlineStr">
        <is>
          <t>香港</t>
        </is>
      </c>
      <c r="W155" s="3" t="inlineStr">
        <is>
          <t>机纸/小票纸 / 包出</t>
        </is>
      </c>
      <c r="X155" s="3" t="inlineStr">
        <is>
          <t>ESS-SFTS-OTMS</t>
        </is>
      </c>
      <c r="Y155" s="3" t="n"/>
      <c r="Z155" s="3" t="inlineStr"/>
      <c r="AA155" s="3" t="inlineStr">
        <is>
          <t>寄付月結</t>
        </is>
      </c>
      <c r="AB155">
        <f>IFERROR(VLOOKUP(Q155&amp;"",對照表!$A:$B,1,FALSE),"")</f>
        <v/>
      </c>
      <c r="AC155">
        <f>IFERROR(VLOOKUP(Q155&amp;"",對照表!$A:$B,2,FALSE),"")</f>
        <v/>
      </c>
    </row>
    <row r="156">
      <c r="A156" s="3" t="inlineStr">
        <is>
          <t>SF5119115817239</t>
        </is>
      </c>
      <c r="B156" s="3" t="n">
        <v>58424106156348</v>
      </c>
      <c r="C156" s="3" t="inlineStr">
        <is>
          <t>已簽收</t>
        </is>
      </c>
      <c r="D156" s="3" t="inlineStr">
        <is>
          <t>2026-07-02 15:47:30</t>
        </is>
      </c>
      <c r="E156" s="3" t="inlineStr">
        <is>
          <t>2026-07-03 12:22</t>
        </is>
      </c>
      <c r="F156" s="3" t="n">
        <v>29</v>
      </c>
      <c r="G156" s="3" t="n">
        <v>2</v>
      </c>
      <c r="H156" s="3" t="n"/>
      <c r="I156" s="3" t="inlineStr"/>
      <c r="J156" s="3" t="inlineStr">
        <is>
          <t>Keeta</t>
        </is>
      </c>
      <c r="K156" s="3" t="inlineStr">
        <is>
          <t>****9568</t>
        </is>
      </c>
      <c r="L156" s="3" t="n"/>
      <c r="M156" s="3" t="inlineStr">
        <is>
          <t>***** 物流中心5樓</t>
        </is>
      </c>
      <c r="N156" s="3" t="inlineStr">
        <is>
          <t>北区</t>
        </is>
      </c>
      <c r="O156" s="3" t="inlineStr">
        <is>
          <t>香港</t>
        </is>
      </c>
      <c r="P156" s="3" t="inlineStr">
        <is>
          <t>香港特别行政区</t>
        </is>
      </c>
      <c r="Q156" s="3" t="n">
        <v>721520366</v>
      </c>
      <c r="R156" s="3" t="inlineStr">
        <is>
          <t>麥當勞 (屯門時代廣場 II) McDonald&amp;apos;s</t>
        </is>
      </c>
      <c r="S156" s="3" t="inlineStr">
        <is>
          <t>****24413628</t>
        </is>
      </c>
      <c r="T156" s="3" t="inlineStr">
        <is>
          <t>****24413628</t>
        </is>
      </c>
      <c r="U156" s="3" t="inlineStr">
        <is>
          <t>***** 3及14號舖</t>
        </is>
      </c>
      <c r="V156" s="3" t="inlineStr">
        <is>
          <t>香港</t>
        </is>
      </c>
      <c r="W156" s="3" t="inlineStr">
        <is>
          <t>纸袋【通版】/ 箱出</t>
        </is>
      </c>
      <c r="X156" s="3" t="inlineStr">
        <is>
          <t>ESS-SFTS-OTMS</t>
        </is>
      </c>
      <c r="Y156" s="3" t="n"/>
      <c r="Z156" s="3" t="inlineStr"/>
      <c r="AA156" s="3" t="inlineStr">
        <is>
          <t>寄付月結</t>
        </is>
      </c>
      <c r="AB156">
        <f>IFERROR(VLOOKUP(Q156&amp;"",對照表!$A:$B,1,FALSE),"")</f>
        <v/>
      </c>
      <c r="AC156">
        <f>IFERROR(VLOOKUP(Q156&amp;"",對照表!$A:$B,2,FALSE),"")</f>
        <v/>
      </c>
    </row>
    <row r="157">
      <c r="A157" s="3" t="inlineStr">
        <is>
          <t>SF5119115817423</t>
        </is>
      </c>
      <c r="B157" s="3" t="n">
        <v>58424106156388</v>
      </c>
      <c r="C157" s="3" t="inlineStr">
        <is>
          <t>已簽收</t>
        </is>
      </c>
      <c r="D157" s="3" t="inlineStr">
        <is>
          <t>2026-07-02 15:16:15</t>
        </is>
      </c>
      <c r="E157" s="3" t="inlineStr">
        <is>
          <t>2026-07-03 11:57</t>
        </is>
      </c>
      <c r="F157" s="3" t="n">
        <v>2.36</v>
      </c>
      <c r="G157" s="3" t="n">
        <v>1</v>
      </c>
      <c r="H157" s="3" t="n"/>
      <c r="I157" s="3" t="inlineStr"/>
      <c r="J157" s="3" t="inlineStr">
        <is>
          <t>Keeta</t>
        </is>
      </c>
      <c r="K157" s="3" t="inlineStr">
        <is>
          <t>****9568</t>
        </is>
      </c>
      <c r="L157" s="3" t="n"/>
      <c r="M157" s="3" t="inlineStr">
        <is>
          <t>***** 物流中心5樓</t>
        </is>
      </c>
      <c r="N157" s="3" t="inlineStr">
        <is>
          <t>北区</t>
        </is>
      </c>
      <c r="O157" s="3" t="inlineStr">
        <is>
          <t>香港</t>
        </is>
      </c>
      <c r="P157" s="3" t="inlineStr">
        <is>
          <t>香港特别行政区</t>
        </is>
      </c>
      <c r="Q157" s="3" t="n">
        <v>482981</v>
      </c>
      <c r="R157" s="3" t="inlineStr">
        <is>
          <t>元氣壽司(康怡廣場)GenkiSushi</t>
        </is>
      </c>
      <c r="S157" s="3" t="inlineStr">
        <is>
          <t>****25602204</t>
        </is>
      </c>
      <c r="T157" s="3" t="inlineStr">
        <is>
          <t>****25602204</t>
        </is>
      </c>
      <c r="U157" s="3" t="inlineStr">
        <is>
          <t>***** 座地下G4舖</t>
        </is>
      </c>
      <c r="V157" s="3" t="inlineStr">
        <is>
          <t>香港</t>
        </is>
      </c>
      <c r="W157" s="3" t="inlineStr">
        <is>
          <t>机纸/小票纸 / 包出</t>
        </is>
      </c>
      <c r="X157" s="3" t="inlineStr">
        <is>
          <t>ESS-SFTS-OTMS</t>
        </is>
      </c>
      <c r="Y157" s="3" t="n"/>
      <c r="Z157" s="3" t="inlineStr"/>
      <c r="AA157" s="3" t="inlineStr">
        <is>
          <t>寄付月結</t>
        </is>
      </c>
      <c r="AB157">
        <f>IFERROR(VLOOKUP(Q157&amp;"",對照表!$A:$B,1,FALSE),"")</f>
        <v/>
      </c>
      <c r="AC157">
        <f>IFERROR(VLOOKUP(Q157&amp;"",對照表!$A:$B,2,FALSE),"")</f>
        <v/>
      </c>
    </row>
    <row r="158">
      <c r="A158" s="3" t="inlineStr">
        <is>
          <t>SF5119115817575</t>
        </is>
      </c>
      <c r="B158" s="3" t="n">
        <v>58424106156418</v>
      </c>
      <c r="C158" s="3" t="inlineStr">
        <is>
          <t>已簽收</t>
        </is>
      </c>
      <c r="D158" s="3" t="inlineStr">
        <is>
          <t>2026-07-02 14:19:59</t>
        </is>
      </c>
      <c r="E158" s="3" t="inlineStr">
        <is>
          <t>2026-07-03 13:00</t>
        </is>
      </c>
      <c r="F158" s="3" t="n">
        <v>4.45</v>
      </c>
      <c r="G158" s="3" t="n">
        <v>1</v>
      </c>
      <c r="H158" s="3" t="n"/>
      <c r="I158" s="3" t="inlineStr"/>
      <c r="J158" s="3" t="inlineStr">
        <is>
          <t>Keeta</t>
        </is>
      </c>
      <c r="K158" s="3" t="inlineStr">
        <is>
          <t>****9568</t>
        </is>
      </c>
      <c r="L158" s="3" t="n"/>
      <c r="M158" s="3" t="inlineStr">
        <is>
          <t>***** 物流中心5樓</t>
        </is>
      </c>
      <c r="N158" s="3" t="inlineStr">
        <is>
          <t>北区</t>
        </is>
      </c>
      <c r="O158" s="3" t="inlineStr">
        <is>
          <t>香港</t>
        </is>
      </c>
      <c r="P158" s="3" t="inlineStr">
        <is>
          <t>香港特别行政区</t>
        </is>
      </c>
      <c r="Q158" s="3" t="n">
        <v>478684</v>
      </c>
      <c r="R158" s="3" t="inlineStr">
        <is>
          <t>袁記雲餃(亞皆老街)全球近5000家門店</t>
        </is>
      </c>
      <c r="S158" s="3" t="inlineStr">
        <is>
          <t>****23217123</t>
        </is>
      </c>
      <c r="T158" s="3" t="inlineStr">
        <is>
          <t>****23217123</t>
        </is>
      </c>
      <c r="U158" s="3" t="inlineStr">
        <is>
          <t>***** 樓地下B號鋪</t>
        </is>
      </c>
      <c r="V158" s="3" t="inlineStr">
        <is>
          <t>香港</t>
        </is>
      </c>
      <c r="W158" s="3" t="inlineStr">
        <is>
          <t>机纸/小票纸 / 包出</t>
        </is>
      </c>
      <c r="X158" s="3" t="inlineStr">
        <is>
          <t>ESS-SFTS-OTMS</t>
        </is>
      </c>
      <c r="Y158" s="3" t="n"/>
      <c r="Z158" s="3" t="inlineStr"/>
      <c r="AA158" s="3" t="inlineStr">
        <is>
          <t>寄付月結</t>
        </is>
      </c>
      <c r="AB158">
        <f>IFERROR(VLOOKUP(Q158&amp;"",對照表!$A:$B,1,FALSE),"")</f>
        <v/>
      </c>
      <c r="AC158">
        <f>IFERROR(VLOOKUP(Q158&amp;"",對照表!$A:$B,2,FALSE),"")</f>
        <v/>
      </c>
    </row>
    <row r="159">
      <c r="A159" s="3" t="inlineStr">
        <is>
          <t>SF5119115817414</t>
        </is>
      </c>
      <c r="B159" s="3" t="n">
        <v>58424106156384</v>
      </c>
      <c r="C159" s="3" t="inlineStr">
        <is>
          <t>已簽收</t>
        </is>
      </c>
      <c r="D159" s="3" t="inlineStr">
        <is>
          <t>2026-07-02 16:40:09</t>
        </is>
      </c>
      <c r="E159" s="3" t="inlineStr">
        <is>
          <t>2026-07-04 12:07</t>
        </is>
      </c>
      <c r="F159" s="3" t="n">
        <v>3.78</v>
      </c>
      <c r="G159" s="3" t="n">
        <v>1</v>
      </c>
      <c r="H159" s="3" t="n"/>
      <c r="I159" s="3" t="inlineStr"/>
      <c r="J159" s="3" t="inlineStr">
        <is>
          <t>Keeta</t>
        </is>
      </c>
      <c r="K159" s="3" t="inlineStr">
        <is>
          <t>****9568</t>
        </is>
      </c>
      <c r="L159" s="3" t="n"/>
      <c r="M159" s="3" t="inlineStr">
        <is>
          <t>***** 物流中心5樓</t>
        </is>
      </c>
      <c r="N159" s="3" t="inlineStr">
        <is>
          <t>北区</t>
        </is>
      </c>
      <c r="O159" s="3" t="inlineStr">
        <is>
          <t>香港</t>
        </is>
      </c>
      <c r="P159" s="3" t="inlineStr">
        <is>
          <t>香港特别行政区</t>
        </is>
      </c>
      <c r="Q159" s="3" t="n">
        <v>721535383</v>
      </c>
      <c r="R159" s="3" t="inlineStr">
        <is>
          <t>丁爸食府（觀塘店）</t>
        </is>
      </c>
      <c r="S159" s="3" t="inlineStr">
        <is>
          <t>****60728230</t>
        </is>
      </c>
      <c r="T159" s="3" t="inlineStr">
        <is>
          <t>****60728230</t>
        </is>
      </c>
      <c r="U159" s="3" t="inlineStr">
        <is>
          <t>***** 1樓H10室</t>
        </is>
      </c>
      <c r="V159" s="3" t="inlineStr">
        <is>
          <t>香港</t>
        </is>
      </c>
      <c r="W159" s="3" t="inlineStr">
        <is>
          <t>封签【通版】/ 扎出</t>
        </is>
      </c>
      <c r="X159" s="3" t="inlineStr">
        <is>
          <t>ESS-SFTS-OTMS</t>
        </is>
      </c>
      <c r="Y159" s="3" t="n"/>
      <c r="Z159" s="3" t="inlineStr"/>
      <c r="AA159" s="3" t="inlineStr">
        <is>
          <t>寄付月結</t>
        </is>
      </c>
      <c r="AB159">
        <f>IFERROR(VLOOKUP(Q159&amp;"",對照表!$A:$B,1,FALSE),"")</f>
        <v/>
      </c>
      <c r="AC159">
        <f>IFERROR(VLOOKUP(Q159&amp;"",對照表!$A:$B,2,FALSE),"")</f>
        <v/>
      </c>
    </row>
    <row r="160">
      <c r="A160" s="3" t="inlineStr">
        <is>
          <t>SF5119115817441</t>
        </is>
      </c>
      <c r="B160" s="3" t="n">
        <v>58424106156393</v>
      </c>
      <c r="C160" s="3" t="inlineStr">
        <is>
          <t>已簽收</t>
        </is>
      </c>
      <c r="D160" s="3" t="inlineStr">
        <is>
          <t>2026-07-02 15:39:53</t>
        </is>
      </c>
      <c r="E160" s="3" t="inlineStr">
        <is>
          <t>2026-07-03 10:33</t>
        </is>
      </c>
      <c r="F160" s="3" t="n">
        <v>14.5</v>
      </c>
      <c r="G160" s="3" t="n">
        <v>1</v>
      </c>
      <c r="H160" s="3" t="n"/>
      <c r="I160" s="3" t="inlineStr"/>
      <c r="J160" s="3" t="inlineStr">
        <is>
          <t>Keeta</t>
        </is>
      </c>
      <c r="K160" s="3" t="inlineStr">
        <is>
          <t>****9568</t>
        </is>
      </c>
      <c r="L160" s="3" t="n"/>
      <c r="M160" s="3" t="inlineStr">
        <is>
          <t>***** 物流中心5樓</t>
        </is>
      </c>
      <c r="N160" s="3" t="inlineStr">
        <is>
          <t>北区</t>
        </is>
      </c>
      <c r="O160" s="3" t="inlineStr">
        <is>
          <t>香港</t>
        </is>
      </c>
      <c r="P160" s="3" t="inlineStr">
        <is>
          <t>香港特别行政区</t>
        </is>
      </c>
      <c r="Q160" s="3" t="n">
        <v>468475</v>
      </c>
      <c r="R160" s="3" t="inlineStr">
        <is>
          <t>麥當勞(錦泰)McDonalds</t>
        </is>
      </c>
      <c r="S160" s="3" t="inlineStr">
        <is>
          <t>****31248656</t>
        </is>
      </c>
      <c r="T160" s="3" t="inlineStr">
        <is>
          <t>****31248656</t>
        </is>
      </c>
      <c r="U160" s="3" t="inlineStr">
        <is>
          <t>***** 樓102號舖</t>
        </is>
      </c>
      <c r="V160" s="3" t="inlineStr">
        <is>
          <t>香港</t>
        </is>
      </c>
      <c r="W160" s="3" t="inlineStr">
        <is>
          <t>纸袋【通版】/ 箱出</t>
        </is>
      </c>
      <c r="X160" s="3" t="inlineStr">
        <is>
          <t>ESS-SFTS-OTMS</t>
        </is>
      </c>
      <c r="Y160" s="3" t="n"/>
      <c r="Z160" s="3" t="inlineStr"/>
      <c r="AA160" s="3" t="inlineStr">
        <is>
          <t>寄付月結</t>
        </is>
      </c>
      <c r="AB160">
        <f>IFERROR(VLOOKUP(Q160&amp;"",對照表!$A:$B,1,FALSE),"")</f>
        <v/>
      </c>
      <c r="AC160">
        <f>IFERROR(VLOOKUP(Q160&amp;"",對照表!$A:$B,2,FALSE),"")</f>
        <v/>
      </c>
    </row>
    <row r="161">
      <c r="A161" s="3" t="inlineStr">
        <is>
          <t>SF5119115817487</t>
        </is>
      </c>
      <c r="B161" s="3" t="n">
        <v>58424106156400</v>
      </c>
      <c r="C161" s="3" t="inlineStr">
        <is>
          <t>已簽收</t>
        </is>
      </c>
      <c r="D161" s="3" t="inlineStr">
        <is>
          <t>2026-07-02 14:43:26</t>
        </is>
      </c>
      <c r="E161" s="3" t="inlineStr">
        <is>
          <t>2026-07-03 15:15</t>
        </is>
      </c>
      <c r="F161" s="3" t="n">
        <v>0.67</v>
      </c>
      <c r="G161" s="3" t="n">
        <v>1</v>
      </c>
      <c r="H161" s="3" t="n"/>
      <c r="I161" s="3" t="inlineStr"/>
      <c r="J161" s="3" t="inlineStr">
        <is>
          <t>Keeta</t>
        </is>
      </c>
      <c r="K161" s="3" t="inlineStr">
        <is>
          <t>****9568</t>
        </is>
      </c>
      <c r="L161" s="3" t="n"/>
      <c r="M161" s="3" t="inlineStr">
        <is>
          <t>***** 物流中心5樓</t>
        </is>
      </c>
      <c r="N161" s="3" t="inlineStr">
        <is>
          <t>北区</t>
        </is>
      </c>
      <c r="O161" s="3" t="inlineStr">
        <is>
          <t>香港</t>
        </is>
      </c>
      <c r="P161" s="3" t="inlineStr">
        <is>
          <t>香港特别行政区</t>
        </is>
      </c>
      <c r="Q161" s="3" t="n">
        <v>721539380</v>
      </c>
      <c r="R161" s="3" t="inlineStr">
        <is>
          <t>名都冰室</t>
        </is>
      </c>
      <c r="S161" s="3" t="inlineStr">
        <is>
          <t>****67335333</t>
        </is>
      </c>
      <c r="T161" s="3" t="inlineStr">
        <is>
          <t>****67335333</t>
        </is>
      </c>
      <c r="U161" s="3" t="inlineStr">
        <is>
          <t>*****  &amp; 5號舖</t>
        </is>
      </c>
      <c r="V161" s="3" t="inlineStr">
        <is>
          <t>香港</t>
        </is>
      </c>
      <c r="W161" s="3" t="inlineStr">
        <is>
          <t>机纸/小票纸 / 包出</t>
        </is>
      </c>
      <c r="X161" s="3" t="inlineStr">
        <is>
          <t>ESS-SFTS-OTMS</t>
        </is>
      </c>
      <c r="Y161" s="3" t="n"/>
      <c r="Z161" s="3" t="inlineStr"/>
      <c r="AA161" s="3" t="inlineStr">
        <is>
          <t>寄付月結</t>
        </is>
      </c>
      <c r="AB161">
        <f>IFERROR(VLOOKUP(Q161&amp;"",對照表!$A:$B,1,FALSE),"")</f>
        <v/>
      </c>
      <c r="AC161">
        <f>IFERROR(VLOOKUP(Q161&amp;"",對照表!$A:$B,2,FALSE),"")</f>
        <v/>
      </c>
    </row>
    <row r="162">
      <c r="A162" s="3" t="inlineStr">
        <is>
          <t>SF5119115817257</t>
        </is>
      </c>
      <c r="B162" s="3" t="n">
        <v>58424106156353</v>
      </c>
      <c r="C162" s="3" t="inlineStr">
        <is>
          <t>已簽收</t>
        </is>
      </c>
      <c r="D162" s="3" t="inlineStr">
        <is>
          <t>2026-07-02 14:19:54</t>
        </is>
      </c>
      <c r="E162" s="3" t="inlineStr">
        <is>
          <t>2026-07-03 11:58</t>
        </is>
      </c>
      <c r="F162" s="3" t="n">
        <v>4.45</v>
      </c>
      <c r="G162" s="3" t="n">
        <v>1</v>
      </c>
      <c r="H162" s="3" t="n"/>
      <c r="I162" s="3" t="inlineStr"/>
      <c r="J162" s="3" t="inlineStr">
        <is>
          <t>Keeta</t>
        </is>
      </c>
      <c r="K162" s="3" t="inlineStr">
        <is>
          <t>****9568</t>
        </is>
      </c>
      <c r="L162" s="3" t="n"/>
      <c r="M162" s="3" t="inlineStr">
        <is>
          <t>***** 物流中心5樓</t>
        </is>
      </c>
      <c r="N162" s="3" t="inlineStr">
        <is>
          <t>北区</t>
        </is>
      </c>
      <c r="O162" s="3" t="inlineStr">
        <is>
          <t>香港</t>
        </is>
      </c>
      <c r="P162" s="3" t="inlineStr">
        <is>
          <t>香港特别行政区</t>
        </is>
      </c>
      <c r="Q162" s="3" t="n">
        <v>721540299</v>
      </c>
      <c r="R162" s="3" t="inlineStr">
        <is>
          <t>稻魚鴨精緻高級滬菜種一季稻放一批魚養一群鴨</t>
        </is>
      </c>
      <c r="S162" s="3" t="inlineStr">
        <is>
          <t>****97464111</t>
        </is>
      </c>
      <c r="T162" s="3" t="inlineStr">
        <is>
          <t>****97464111</t>
        </is>
      </c>
      <c r="U162" s="3" t="inlineStr">
        <is>
          <t>***** 1204號舖</t>
        </is>
      </c>
      <c r="V162" s="3" t="inlineStr">
        <is>
          <t>香港</t>
        </is>
      </c>
      <c r="W162" s="3" t="inlineStr">
        <is>
          <t>机纸/小票纸 / 包出</t>
        </is>
      </c>
      <c r="X162" s="3" t="inlineStr">
        <is>
          <t>ESS-SFTS-OTMS</t>
        </is>
      </c>
      <c r="Y162" s="3" t="n"/>
      <c r="Z162" s="3" t="inlineStr"/>
      <c r="AA162" s="3" t="inlineStr">
        <is>
          <t>寄付月結</t>
        </is>
      </c>
      <c r="AB162">
        <f>IFERROR(VLOOKUP(Q162&amp;"",對照表!$A:$B,1,FALSE),"")</f>
        <v/>
      </c>
      <c r="AC162">
        <f>IFERROR(VLOOKUP(Q162&amp;"",對照表!$A:$B,2,FALSE),"")</f>
        <v/>
      </c>
    </row>
    <row r="163">
      <c r="A163" s="3" t="inlineStr">
        <is>
          <t>SF5119115817363</t>
        </is>
      </c>
      <c r="B163" s="3" t="n">
        <v>58424106156374</v>
      </c>
      <c r="C163" s="3" t="inlineStr">
        <is>
          <t>已簽收</t>
        </is>
      </c>
      <c r="D163" s="3" t="inlineStr">
        <is>
          <t>2026-07-02 17:01:32</t>
        </is>
      </c>
      <c r="E163" s="3" t="inlineStr">
        <is>
          <t>2026-07-03 12:20</t>
        </is>
      </c>
      <c r="F163" s="3" t="n">
        <v>3.56</v>
      </c>
      <c r="G163" s="3" t="n">
        <v>1</v>
      </c>
      <c r="H163" s="3" t="n"/>
      <c r="I163" s="3" t="inlineStr"/>
      <c r="J163" s="3" t="inlineStr">
        <is>
          <t>Keeta</t>
        </is>
      </c>
      <c r="K163" s="3" t="inlineStr">
        <is>
          <t>****9568</t>
        </is>
      </c>
      <c r="L163" s="3" t="n"/>
      <c r="M163" s="3" t="inlineStr">
        <is>
          <t>***** 物流中心5樓</t>
        </is>
      </c>
      <c r="N163" s="3" t="inlineStr">
        <is>
          <t>北区</t>
        </is>
      </c>
      <c r="O163" s="3" t="inlineStr">
        <is>
          <t>香港</t>
        </is>
      </c>
      <c r="P163" s="3" t="inlineStr">
        <is>
          <t>香港特别行政区</t>
        </is>
      </c>
      <c r="Q163" s="3" t="n">
        <v>721533382</v>
      </c>
      <c r="R163" s="3" t="inlineStr">
        <is>
          <t>一碗賭上廚師生涯的炒飯（將軍澳）
Fried Rice King (Tseung Kwan O)</t>
        </is>
      </c>
      <c r="S163" s="3" t="inlineStr">
        <is>
          <t>****59068292</t>
        </is>
      </c>
      <c r="T163" s="3" t="inlineStr">
        <is>
          <t>****59068292</t>
        </is>
      </c>
      <c r="U163" s="3" t="inlineStr">
        <is>
          <t>***** 鋪（H部份）</t>
        </is>
      </c>
      <c r="V163" s="3" t="inlineStr">
        <is>
          <t>香港</t>
        </is>
      </c>
      <c r="W163" s="3" t="inlineStr">
        <is>
          <t>机纸/小票纸 / 包出, 封签【通版】/ 扎出</t>
        </is>
      </c>
      <c r="X163" s="3" t="inlineStr">
        <is>
          <t>ESS-SFTS-OTMS</t>
        </is>
      </c>
      <c r="Y163" s="3" t="n"/>
      <c r="Z163" s="3" t="inlineStr"/>
      <c r="AA163" s="3" t="inlineStr">
        <is>
          <t>寄付月結</t>
        </is>
      </c>
      <c r="AB163">
        <f>IFERROR(VLOOKUP(Q163&amp;"",對照表!$A:$B,1,FALSE),"")</f>
        <v/>
      </c>
      <c r="AC163">
        <f>IFERROR(VLOOKUP(Q163&amp;"",對照表!$A:$B,2,FALSE),"")</f>
        <v/>
      </c>
    </row>
    <row r="164">
      <c r="A164" s="3" t="inlineStr">
        <is>
          <t>SF5119115817390</t>
        </is>
      </c>
      <c r="B164" s="3" t="n">
        <v>58424106156383</v>
      </c>
      <c r="C164" s="3" t="inlineStr">
        <is>
          <t>已簽收</t>
        </is>
      </c>
      <c r="D164" s="3" t="inlineStr">
        <is>
          <t>2026-07-02 15:38:52</t>
        </is>
      </c>
      <c r="E164" s="3" t="inlineStr">
        <is>
          <t>2026-07-03 10:16</t>
        </is>
      </c>
      <c r="F164" s="3" t="n">
        <v>43.5</v>
      </c>
      <c r="G164" s="3" t="n">
        <v>3</v>
      </c>
      <c r="H164" s="3" t="n"/>
      <c r="I164" s="3" t="inlineStr"/>
      <c r="J164" s="3" t="inlineStr">
        <is>
          <t>Keeta</t>
        </is>
      </c>
      <c r="K164" s="3" t="inlineStr">
        <is>
          <t>****9568</t>
        </is>
      </c>
      <c r="L164" s="3" t="n"/>
      <c r="M164" s="3" t="inlineStr">
        <is>
          <t>***** 物流中心5樓</t>
        </is>
      </c>
      <c r="N164" s="3" t="inlineStr">
        <is>
          <t>北区</t>
        </is>
      </c>
      <c r="O164" s="3" t="inlineStr">
        <is>
          <t>香港</t>
        </is>
      </c>
      <c r="P164" s="3" t="inlineStr">
        <is>
          <t>香港特别行政区</t>
        </is>
      </c>
      <c r="Q164" s="3" t="n">
        <v>478523</v>
      </c>
      <c r="R164" s="3" t="inlineStr">
        <is>
          <t>麥當勞(新豐)McDonalds</t>
        </is>
      </c>
      <c r="S164" s="3" t="inlineStr">
        <is>
          <t>****26703509</t>
        </is>
      </c>
      <c r="T164" s="3" t="inlineStr">
        <is>
          <t>****26703509</t>
        </is>
      </c>
      <c r="U164" s="3" t="inlineStr">
        <is>
          <t>***** 金城大廈地下</t>
        </is>
      </c>
      <c r="V164" s="3" t="inlineStr">
        <is>
          <t>香港</t>
        </is>
      </c>
      <c r="W164" s="3" t="inlineStr">
        <is>
          <t>纸袋【通版】/ 箱出</t>
        </is>
      </c>
      <c r="X164" s="3" t="inlineStr">
        <is>
          <t>ESS-SFTS-OTMS</t>
        </is>
      </c>
      <c r="Y164" s="3" t="n"/>
      <c r="Z164" s="3" t="inlineStr"/>
      <c r="AA164" s="3" t="inlineStr">
        <is>
          <t>寄付月結</t>
        </is>
      </c>
      <c r="AB164">
        <f>IFERROR(VLOOKUP(Q164&amp;"",對照表!$A:$B,1,FALSE),"")</f>
        <v/>
      </c>
      <c r="AC164">
        <f>IFERROR(VLOOKUP(Q164&amp;"",對照表!$A:$B,2,FALSE),"")</f>
        <v/>
      </c>
    </row>
    <row r="165">
      <c r="A165" s="3" t="inlineStr">
        <is>
          <t>SF5119115817318</t>
        </is>
      </c>
      <c r="B165" s="3" t="n">
        <v>58424106156367</v>
      </c>
      <c r="C165" s="3" t="inlineStr">
        <is>
          <t>已簽收</t>
        </is>
      </c>
      <c r="D165" s="3" t="inlineStr">
        <is>
          <t>2026-07-02 14:19:50</t>
        </is>
      </c>
      <c r="E165" s="3" t="inlineStr">
        <is>
          <t>2026-07-03 12:34</t>
        </is>
      </c>
      <c r="F165" s="3" t="n">
        <v>4.45</v>
      </c>
      <c r="G165" s="3" t="n">
        <v>1</v>
      </c>
      <c r="H165" s="3" t="n"/>
      <c r="I165" s="3" t="inlineStr"/>
      <c r="J165" s="3" t="inlineStr">
        <is>
          <t>Keeta</t>
        </is>
      </c>
      <c r="K165" s="3" t="inlineStr">
        <is>
          <t>****9568</t>
        </is>
      </c>
      <c r="L165" s="3" t="n"/>
      <c r="M165" s="3" t="inlineStr">
        <is>
          <t>***** 物流中心5樓</t>
        </is>
      </c>
      <c r="N165" s="3" t="inlineStr">
        <is>
          <t>北区</t>
        </is>
      </c>
      <c r="O165" s="3" t="inlineStr">
        <is>
          <t>香港</t>
        </is>
      </c>
      <c r="P165" s="3" t="inlineStr">
        <is>
          <t>香港特别行政区</t>
        </is>
      </c>
      <c r="Q165" s="3" t="n">
        <v>721444369</v>
      </c>
      <c r="R165" s="3" t="inlineStr">
        <is>
          <t>雲川米線紅薯粉(銀座店)</t>
        </is>
      </c>
      <c r="S165" s="3" t="inlineStr">
        <is>
          <t>****21165641</t>
        </is>
      </c>
      <c r="T165" s="3" t="inlineStr">
        <is>
          <t>****21165641</t>
        </is>
      </c>
      <c r="U165" s="3" t="inlineStr">
        <is>
          <t>***** 樓108號舖</t>
        </is>
      </c>
      <c r="V165" s="3" t="inlineStr">
        <is>
          <t>香港</t>
        </is>
      </c>
      <c r="W165" s="3" t="inlineStr">
        <is>
          <t>机纸/小票纸 / 包出</t>
        </is>
      </c>
      <c r="X165" s="3" t="inlineStr">
        <is>
          <t>ESS-SFTS-OTMS</t>
        </is>
      </c>
      <c r="Y165" s="3" t="n"/>
      <c r="Z165" s="3" t="inlineStr"/>
      <c r="AA165" s="3" t="inlineStr">
        <is>
          <t>寄付月結</t>
        </is>
      </c>
      <c r="AB165">
        <f>IFERROR(VLOOKUP(Q165&amp;"",對照表!$A:$B,1,FALSE),"")</f>
        <v/>
      </c>
      <c r="AC165">
        <f>IFERROR(VLOOKUP(Q165&amp;"",對照表!$A:$B,2,FALSE),"")</f>
        <v/>
      </c>
    </row>
    <row r="166">
      <c r="A166" s="3" t="inlineStr">
        <is>
          <t>SF5119115817469</t>
        </is>
      </c>
      <c r="B166" s="3" t="n">
        <v>58424106156397</v>
      </c>
      <c r="C166" s="3" t="inlineStr">
        <is>
          <t>已簽收</t>
        </is>
      </c>
      <c r="D166" s="3" t="inlineStr">
        <is>
          <t>2026-07-02 14:19:44</t>
        </is>
      </c>
      <c r="E166" s="3" t="inlineStr">
        <is>
          <t>2026-07-03 12:27</t>
        </is>
      </c>
      <c r="F166" s="3" t="n">
        <v>4.45</v>
      </c>
      <c r="G166" s="3" t="n">
        <v>1</v>
      </c>
      <c r="H166" s="3" t="n"/>
      <c r="I166" s="3" t="inlineStr"/>
      <c r="J166" s="3" t="inlineStr">
        <is>
          <t>Keeta</t>
        </is>
      </c>
      <c r="K166" s="3" t="inlineStr">
        <is>
          <t>****9568</t>
        </is>
      </c>
      <c r="L166" s="3" t="n"/>
      <c r="M166" s="3" t="inlineStr">
        <is>
          <t>***** 物流中心5樓</t>
        </is>
      </c>
      <c r="N166" s="3" t="inlineStr">
        <is>
          <t>北区</t>
        </is>
      </c>
      <c r="O166" s="3" t="inlineStr">
        <is>
          <t>香港</t>
        </is>
      </c>
      <c r="P166" s="3" t="inlineStr">
        <is>
          <t>香港特别行政区</t>
        </is>
      </c>
      <c r="Q166" s="3" t="n">
        <v>485142</v>
      </c>
      <c r="R166" s="3" t="inlineStr">
        <is>
          <t>Suage北海道湯咖哩</t>
        </is>
      </c>
      <c r="S166" s="3" t="inlineStr">
        <is>
          <t>****12341234</t>
        </is>
      </c>
      <c r="T166" s="3" t="inlineStr">
        <is>
          <t>****12341234</t>
        </is>
      </c>
      <c r="U166" s="3" t="inlineStr">
        <is>
          <t>***** 4A樓1號舖</t>
        </is>
      </c>
      <c r="V166" s="3" t="inlineStr">
        <is>
          <t>香港</t>
        </is>
      </c>
      <c r="W166" s="3" t="inlineStr">
        <is>
          <t>机纸/小票纸 / 包出</t>
        </is>
      </c>
      <c r="X166" s="3" t="inlineStr">
        <is>
          <t>ESS-SFTS-OTMS</t>
        </is>
      </c>
      <c r="Y166" s="3" t="n"/>
      <c r="Z166" s="3" t="inlineStr"/>
      <c r="AA166" s="3" t="inlineStr">
        <is>
          <t>寄付月結</t>
        </is>
      </c>
      <c r="AB166">
        <f>IFERROR(VLOOKUP(Q166&amp;"",對照表!$A:$B,1,FALSE),"")</f>
        <v/>
      </c>
      <c r="AC166">
        <f>IFERROR(VLOOKUP(Q166&amp;"",對照表!$A:$B,2,FALSE),"")</f>
        <v/>
      </c>
    </row>
    <row r="167">
      <c r="A167" s="3" t="inlineStr">
        <is>
          <t>SF5119115817202</t>
        </is>
      </c>
      <c r="B167" s="3" t="n">
        <v>58424106156343</v>
      </c>
      <c r="C167" s="3" t="inlineStr">
        <is>
          <t>已簽收</t>
        </is>
      </c>
      <c r="D167" s="3" t="inlineStr">
        <is>
          <t>2026-07-02 15:15:59</t>
        </is>
      </c>
      <c r="E167" s="3" t="inlineStr">
        <is>
          <t>2026-07-03 12:06</t>
        </is>
      </c>
      <c r="F167" s="3" t="n">
        <v>2.36</v>
      </c>
      <c r="G167" s="3" t="n">
        <v>1</v>
      </c>
      <c r="H167" s="3" t="n"/>
      <c r="I167" s="3" t="inlineStr"/>
      <c r="J167" s="3" t="inlineStr">
        <is>
          <t>Keeta</t>
        </is>
      </c>
      <c r="K167" s="3" t="inlineStr">
        <is>
          <t>****9568</t>
        </is>
      </c>
      <c r="L167" s="3" t="n"/>
      <c r="M167" s="3" t="inlineStr">
        <is>
          <t>***** 物流中心5樓</t>
        </is>
      </c>
      <c r="N167" s="3" t="inlineStr">
        <is>
          <t>北区</t>
        </is>
      </c>
      <c r="O167" s="3" t="inlineStr">
        <is>
          <t>香港</t>
        </is>
      </c>
      <c r="P167" s="3" t="inlineStr">
        <is>
          <t>香港特别行政区</t>
        </is>
      </c>
      <c r="Q167" s="3" t="n">
        <v>612655</v>
      </c>
      <c r="R167" s="3" t="inlineStr">
        <is>
          <t>點子冰室CafIcon</t>
        </is>
      </c>
      <c r="S167" s="3" t="inlineStr">
        <is>
          <t>****23318181</t>
        </is>
      </c>
      <c r="T167" s="3" t="inlineStr">
        <is>
          <t>****23318181</t>
        </is>
      </c>
      <c r="U167" s="3" t="inlineStr">
        <is>
          <t>***** 道10號地舖</t>
        </is>
      </c>
      <c r="V167" s="3" t="inlineStr">
        <is>
          <t>香港</t>
        </is>
      </c>
      <c r="W167" s="3" t="inlineStr">
        <is>
          <t>机纸/小票纸 / 包出</t>
        </is>
      </c>
      <c r="X167" s="3" t="inlineStr">
        <is>
          <t>ESS-SFTS-OTMS</t>
        </is>
      </c>
      <c r="Y167" s="3" t="n"/>
      <c r="Z167" s="3" t="inlineStr"/>
      <c r="AA167" s="3" t="inlineStr">
        <is>
          <t>寄付月結</t>
        </is>
      </c>
      <c r="AB167">
        <f>IFERROR(VLOOKUP(Q167&amp;"",對照表!$A:$B,1,FALSE),"")</f>
        <v/>
      </c>
      <c r="AC167">
        <f>IFERROR(VLOOKUP(Q167&amp;"",對照表!$A:$B,2,FALSE),"")</f>
        <v/>
      </c>
    </row>
    <row r="168">
      <c r="A168" s="3" t="inlineStr">
        <is>
          <t>SF5119115817150</t>
        </is>
      </c>
      <c r="B168" s="3" t="n">
        <v>58424106156333</v>
      </c>
      <c r="C168" s="3" t="inlineStr">
        <is>
          <t>已簽收</t>
        </is>
      </c>
      <c r="D168" s="3" t="inlineStr">
        <is>
          <t>2026-07-02 15:15:41</t>
        </is>
      </c>
      <c r="E168" s="3" t="inlineStr">
        <is>
          <t>2026-07-03 11:31</t>
        </is>
      </c>
      <c r="F168" s="3" t="n">
        <v>1.5</v>
      </c>
      <c r="G168" s="3" t="n">
        <v>1</v>
      </c>
      <c r="H168" s="3" t="n"/>
      <c r="I168" s="3" t="inlineStr"/>
      <c r="J168" s="3" t="inlineStr">
        <is>
          <t>Keeta</t>
        </is>
      </c>
      <c r="K168" s="3" t="inlineStr">
        <is>
          <t>****9568</t>
        </is>
      </c>
      <c r="L168" s="3" t="n"/>
      <c r="M168" s="3" t="inlineStr">
        <is>
          <t>***** 物流中心5樓</t>
        </is>
      </c>
      <c r="N168" s="3" t="inlineStr">
        <is>
          <t>北区</t>
        </is>
      </c>
      <c r="O168" s="3" t="inlineStr">
        <is>
          <t>香港</t>
        </is>
      </c>
      <c r="P168" s="3" t="inlineStr">
        <is>
          <t>香港特别行政区</t>
        </is>
      </c>
      <c r="Q168" s="3" t="n">
        <v>488109</v>
      </c>
      <c r="R168" s="3" t="inlineStr">
        <is>
          <t>星巴克(太古廣場128號)StarbucksCoffee</t>
        </is>
      </c>
      <c r="S168" s="3" t="inlineStr">
        <is>
          <t>****28029822</t>
        </is>
      </c>
      <c r="T168" s="3" t="inlineStr">
        <is>
          <t>****28029822</t>
        </is>
      </c>
      <c r="U168" s="3" t="inlineStr">
        <is>
          <t>***** -129號舖</t>
        </is>
      </c>
      <c r="V168" s="3" t="inlineStr">
        <is>
          <t>香港</t>
        </is>
      </c>
      <c r="W168" s="3" t="inlineStr">
        <is>
          <t>机纸/小票纸 / 包出</t>
        </is>
      </c>
      <c r="X168" s="3" t="inlineStr">
        <is>
          <t>ESS-SFTS-OTMS</t>
        </is>
      </c>
      <c r="Y168" s="3" t="n"/>
      <c r="Z168" s="3" t="inlineStr"/>
      <c r="AA168" s="3" t="inlineStr">
        <is>
          <t>寄付月結</t>
        </is>
      </c>
      <c r="AB168">
        <f>IFERROR(VLOOKUP(Q168&amp;"",對照表!$A:$B,1,FALSE),"")</f>
        <v/>
      </c>
      <c r="AC168">
        <f>IFERROR(VLOOKUP(Q168&amp;"",對照表!$A:$B,2,FALSE),"")</f>
        <v/>
      </c>
    </row>
    <row r="169">
      <c r="A169" s="3" t="inlineStr">
        <is>
          <t>SF5119115816898</t>
        </is>
      </c>
      <c r="B169" s="3" t="n">
        <v>58424106156278</v>
      </c>
      <c r="C169" s="3" t="inlineStr">
        <is>
          <t>已簽收</t>
        </is>
      </c>
      <c r="D169" s="3" t="inlineStr">
        <is>
          <t>2026-07-02 14:19:53</t>
        </is>
      </c>
      <c r="E169" s="3" t="inlineStr">
        <is>
          <t>2026-07-03 15:16</t>
        </is>
      </c>
      <c r="F169" s="3" t="n">
        <v>4.45</v>
      </c>
      <c r="G169" s="3" t="n">
        <v>1</v>
      </c>
      <c r="H169" s="3" t="n"/>
      <c r="I169" s="3" t="inlineStr"/>
      <c r="J169" s="3" t="inlineStr">
        <is>
          <t>Keeta</t>
        </is>
      </c>
      <c r="K169" s="3" t="inlineStr">
        <is>
          <t>****9568</t>
        </is>
      </c>
      <c r="L169" s="3" t="n"/>
      <c r="M169" s="3" t="inlineStr">
        <is>
          <t>***** 物流中心5樓</t>
        </is>
      </c>
      <c r="N169" s="3" t="inlineStr">
        <is>
          <t>北区</t>
        </is>
      </c>
      <c r="O169" s="3" t="inlineStr">
        <is>
          <t>香港</t>
        </is>
      </c>
      <c r="P169" s="3" t="inlineStr">
        <is>
          <t>香港特别行政区</t>
        </is>
      </c>
      <c r="Q169" s="3" t="n">
        <v>488210</v>
      </c>
      <c r="R169" s="3" t="inlineStr">
        <is>
          <t>上海上海(粉嶺)</t>
        </is>
      </c>
      <c r="S169" s="3" t="inlineStr">
        <is>
          <t>****23568989</t>
        </is>
      </c>
      <c r="T169" s="3" t="inlineStr">
        <is>
          <t>****23568989</t>
        </is>
      </c>
      <c r="U169" s="3" t="inlineStr">
        <is>
          <t>***** 3-57號舖</t>
        </is>
      </c>
      <c r="V169" s="3" t="inlineStr">
        <is>
          <t>香港</t>
        </is>
      </c>
      <c r="W169" s="3" t="inlineStr">
        <is>
          <t>机纸/小票纸 / 包出</t>
        </is>
      </c>
      <c r="X169" s="3" t="inlineStr">
        <is>
          <t>ESS-SFTS-OTMS</t>
        </is>
      </c>
      <c r="Y169" s="3" t="n"/>
      <c r="Z169" s="3" t="inlineStr"/>
      <c r="AA169" s="3" t="inlineStr">
        <is>
          <t>寄付月結</t>
        </is>
      </c>
      <c r="AB169">
        <f>IFERROR(VLOOKUP(Q169&amp;"",對照表!$A:$B,1,FALSE),"")</f>
        <v/>
      </c>
      <c r="AC169">
        <f>IFERROR(VLOOKUP(Q169&amp;"",對照表!$A:$B,2,FALSE),"")</f>
        <v/>
      </c>
    </row>
    <row r="170">
      <c r="A170" s="3" t="inlineStr">
        <is>
          <t>SF5119115817520</t>
        </is>
      </c>
      <c r="B170" s="3" t="n">
        <v>58424106156409</v>
      </c>
      <c r="C170" s="3" t="inlineStr">
        <is>
          <t>已簽收</t>
        </is>
      </c>
      <c r="D170" s="3" t="inlineStr">
        <is>
          <t>2026-07-02 14:43:20</t>
        </is>
      </c>
      <c r="E170" s="3" t="inlineStr">
        <is>
          <t>2026-07-03 10:59</t>
        </is>
      </c>
      <c r="F170" s="3" t="n">
        <v>0.67</v>
      </c>
      <c r="G170" s="3" t="n">
        <v>1</v>
      </c>
      <c r="H170" s="3" t="n"/>
      <c r="I170" s="3" t="inlineStr"/>
      <c r="J170" s="3" t="inlineStr">
        <is>
          <t>Keeta</t>
        </is>
      </c>
      <c r="K170" s="3" t="inlineStr">
        <is>
          <t>****9568</t>
        </is>
      </c>
      <c r="L170" s="3" t="n"/>
      <c r="M170" s="3" t="inlineStr">
        <is>
          <t>***** 物流中心5樓</t>
        </is>
      </c>
      <c r="N170" s="3" t="inlineStr">
        <is>
          <t>北区</t>
        </is>
      </c>
      <c r="O170" s="3" t="inlineStr">
        <is>
          <t>香港</t>
        </is>
      </c>
      <c r="P170" s="3" t="inlineStr">
        <is>
          <t>香港特别行政区</t>
        </is>
      </c>
      <c r="Q170" s="3" t="n">
        <v>721444345</v>
      </c>
      <c r="R170" s="3" t="inlineStr">
        <is>
          <t>港川麻辣燙（無味精現熬湯底一碗可以喝湯的麻辣燙）</t>
        </is>
      </c>
      <c r="S170" s="3" t="inlineStr">
        <is>
          <t>****96660667</t>
        </is>
      </c>
      <c r="T170" s="3" t="inlineStr">
        <is>
          <t>****96660667</t>
        </is>
      </c>
      <c r="U170" s="3" t="inlineStr">
        <is>
          <t>***** 樓地下A5A</t>
        </is>
      </c>
      <c r="V170" s="3" t="inlineStr">
        <is>
          <t>香港</t>
        </is>
      </c>
      <c r="W170" s="3" t="inlineStr">
        <is>
          <t>机纸/小票纸 / 包出</t>
        </is>
      </c>
      <c r="X170" s="3" t="inlineStr">
        <is>
          <t>ESS-SFTS-OTMS</t>
        </is>
      </c>
      <c r="Y170" s="3" t="n"/>
      <c r="Z170" s="3" t="inlineStr"/>
      <c r="AA170" s="3" t="inlineStr">
        <is>
          <t>寄付月結</t>
        </is>
      </c>
      <c r="AB170">
        <f>IFERROR(VLOOKUP(Q170&amp;"",對照表!$A:$B,1,FALSE),"")</f>
        <v/>
      </c>
      <c r="AC170">
        <f>IFERROR(VLOOKUP(Q170&amp;"",對照表!$A:$B,2,FALSE),"")</f>
        <v/>
      </c>
    </row>
    <row r="171">
      <c r="A171" s="3" t="inlineStr">
        <is>
          <t>SF5119115817284</t>
        </is>
      </c>
      <c r="B171" s="3" t="n">
        <v>58424106156358</v>
      </c>
      <c r="C171" s="3" t="inlineStr">
        <is>
          <t>已簽收</t>
        </is>
      </c>
      <c r="D171" s="3" t="inlineStr">
        <is>
          <t>2026-07-02 14:20:00</t>
        </is>
      </c>
      <c r="E171" s="3" t="inlineStr">
        <is>
          <t>2026-07-03 11:30</t>
        </is>
      </c>
      <c r="F171" s="3" t="n">
        <v>4.45</v>
      </c>
      <c r="G171" s="3" t="n">
        <v>1</v>
      </c>
      <c r="H171" s="3" t="n"/>
      <c r="I171" s="3" t="inlineStr"/>
      <c r="J171" s="3" t="inlineStr">
        <is>
          <t>Keeta</t>
        </is>
      </c>
      <c r="K171" s="3" t="inlineStr">
        <is>
          <t>****9568</t>
        </is>
      </c>
      <c r="L171" s="3" t="n"/>
      <c r="M171" s="3" t="inlineStr">
        <is>
          <t>***** 物流中心5樓</t>
        </is>
      </c>
      <c r="N171" s="3" t="inlineStr">
        <is>
          <t>北区</t>
        </is>
      </c>
      <c r="O171" s="3" t="inlineStr">
        <is>
          <t>香港</t>
        </is>
      </c>
      <c r="P171" s="3" t="inlineStr">
        <is>
          <t>香港特别行政区</t>
        </is>
      </c>
      <c r="Q171" s="3" t="n">
        <v>721530400</v>
      </c>
      <c r="R171" s="3" t="inlineStr">
        <is>
          <t>川粵冰室</t>
        </is>
      </c>
      <c r="S171" s="3" t="inlineStr">
        <is>
          <t>****69480371</t>
        </is>
      </c>
      <c r="T171" s="3" t="inlineStr">
        <is>
          <t>****69480371</t>
        </is>
      </c>
      <c r="U171" s="3" t="inlineStr">
        <is>
          <t>***** 下1及2號舖</t>
        </is>
      </c>
      <c r="V171" s="3" t="inlineStr">
        <is>
          <t>香港</t>
        </is>
      </c>
      <c r="W171" s="3" t="inlineStr">
        <is>
          <t>机纸/小票纸 / 包出</t>
        </is>
      </c>
      <c r="X171" s="3" t="inlineStr">
        <is>
          <t>ESS-SFTS-OTMS</t>
        </is>
      </c>
      <c r="Y171" s="3" t="n"/>
      <c r="Z171" s="3" t="inlineStr"/>
      <c r="AA171" s="3" t="inlineStr">
        <is>
          <t>寄付月結</t>
        </is>
      </c>
      <c r="AB171">
        <f>IFERROR(VLOOKUP(Q171&amp;"",對照表!$A:$B,1,FALSE),"")</f>
        <v/>
      </c>
      <c r="AC171">
        <f>IFERROR(VLOOKUP(Q171&amp;"",對照表!$A:$B,2,FALSE),"")</f>
        <v/>
      </c>
    </row>
    <row r="172">
      <c r="A172" s="3" t="inlineStr">
        <is>
          <t>SF5119115817566</t>
        </is>
      </c>
      <c r="B172" s="3" t="n">
        <v>58424106156416</v>
      </c>
      <c r="C172" s="3" t="inlineStr">
        <is>
          <t>已簽收</t>
        </is>
      </c>
      <c r="D172" s="3" t="inlineStr">
        <is>
          <t>2026-07-02 15:16:55</t>
        </is>
      </c>
      <c r="E172" s="3" t="inlineStr">
        <is>
          <t>2026-07-03 16:17</t>
        </is>
      </c>
      <c r="F172" s="3" t="n">
        <v>1.5</v>
      </c>
      <c r="G172" s="3" t="n">
        <v>1</v>
      </c>
      <c r="H172" s="3" t="n"/>
      <c r="I172" s="3" t="inlineStr"/>
      <c r="J172" s="3" t="inlineStr">
        <is>
          <t>Keeta</t>
        </is>
      </c>
      <c r="K172" s="3" t="inlineStr">
        <is>
          <t>****9568</t>
        </is>
      </c>
      <c r="L172" s="3" t="n"/>
      <c r="M172" s="3" t="inlineStr">
        <is>
          <t>***** 物流中心5樓</t>
        </is>
      </c>
      <c r="N172" s="3" t="inlineStr">
        <is>
          <t>北区</t>
        </is>
      </c>
      <c r="O172" s="3" t="inlineStr">
        <is>
          <t>香港</t>
        </is>
      </c>
      <c r="P172" s="3" t="inlineStr">
        <is>
          <t>香港特别行政区</t>
        </is>
      </c>
      <c r="Q172" s="3" t="n">
        <v>721533295</v>
      </c>
      <c r="R172" s="3" t="inlineStr">
        <is>
          <t>McDonald&amp;apos;s (Fortune Shopping Centre)</t>
        </is>
      </c>
      <c r="S172" s="3" t="inlineStr">
        <is>
          <t>****51909638</t>
        </is>
      </c>
      <c r="T172" s="3" t="inlineStr">
        <is>
          <t>****51909638</t>
        </is>
      </c>
      <c r="U172" s="3" t="inlineStr">
        <is>
          <t>***** 街市65號舖</t>
        </is>
      </c>
      <c r="V172" s="3" t="inlineStr">
        <is>
          <t>香港</t>
        </is>
      </c>
      <c r="W172" s="3" t="inlineStr">
        <is>
          <t>机纸/小票纸 / 包出</t>
        </is>
      </c>
      <c r="X172" s="3" t="inlineStr">
        <is>
          <t>ESS-SFTS-OTMS</t>
        </is>
      </c>
      <c r="Y172" s="3" t="n"/>
      <c r="Z172" s="3" t="inlineStr"/>
      <c r="AA172" s="3" t="inlineStr">
        <is>
          <t>寄付月結</t>
        </is>
      </c>
      <c r="AB172">
        <f>IFERROR(VLOOKUP(Q172&amp;"",對照表!$A:$B,1,FALSE),"")</f>
        <v/>
      </c>
      <c r="AC172">
        <f>IFERROR(VLOOKUP(Q172&amp;"",對照表!$A:$B,2,FALSE),"")</f>
        <v/>
      </c>
    </row>
    <row r="173">
      <c r="A173" s="3" t="inlineStr">
        <is>
          <t>SF5119115817336</t>
        </is>
      </c>
      <c r="B173" s="3" t="n">
        <v>58424106156370</v>
      </c>
      <c r="C173" s="3" t="inlineStr">
        <is>
          <t>已簽收</t>
        </is>
      </c>
      <c r="D173" s="3" t="inlineStr">
        <is>
          <t>2026-07-02 17:03:14</t>
        </is>
      </c>
      <c r="E173" s="3" t="inlineStr">
        <is>
          <t>2026-07-03 16:42</t>
        </is>
      </c>
      <c r="F173" s="3" t="n">
        <v>3.18</v>
      </c>
      <c r="G173" s="3" t="n">
        <v>1</v>
      </c>
      <c r="H173" s="3" t="n"/>
      <c r="I173" s="3" t="inlineStr"/>
      <c r="J173" s="3" t="inlineStr">
        <is>
          <t>Keeta</t>
        </is>
      </c>
      <c r="K173" s="3" t="inlineStr">
        <is>
          <t>****9568</t>
        </is>
      </c>
      <c r="L173" s="3" t="n"/>
      <c r="M173" s="3" t="inlineStr">
        <is>
          <t>***** 物流中心5樓</t>
        </is>
      </c>
      <c r="N173" s="3" t="inlineStr">
        <is>
          <t>北区</t>
        </is>
      </c>
      <c r="O173" s="3" t="inlineStr">
        <is>
          <t>香港</t>
        </is>
      </c>
      <c r="P173" s="3" t="inlineStr">
        <is>
          <t>香港特别行政区</t>
        </is>
      </c>
      <c r="Q173" s="3" t="n">
        <v>495013</v>
      </c>
      <c r="R173" s="3" t="inlineStr">
        <is>
          <t>銀杏館婆婆廚房健康有機</t>
        </is>
      </c>
      <c r="S173" s="3" t="inlineStr">
        <is>
          <t>****26631998</t>
        </is>
      </c>
      <c r="T173" s="3" t="inlineStr">
        <is>
          <t>****26631998</t>
        </is>
      </c>
      <c r="U173" s="3" t="inlineStr">
        <is>
          <t>***** 園R01號舖</t>
        </is>
      </c>
      <c r="V173" s="3" t="inlineStr">
        <is>
          <t>香港</t>
        </is>
      </c>
      <c r="W173" s="3" t="inlineStr">
        <is>
          <t>塑料袋【大】/ 扎出, 塑料袋【小】/ 扎出</t>
        </is>
      </c>
      <c r="X173" s="3" t="inlineStr">
        <is>
          <t>ESS-SFTS-OTMS</t>
        </is>
      </c>
      <c r="Y173" s="3" t="n"/>
      <c r="Z173" s="3" t="inlineStr"/>
      <c r="AA173" s="3" t="inlineStr">
        <is>
          <t>寄付月結</t>
        </is>
      </c>
      <c r="AB173">
        <f>IFERROR(VLOOKUP(Q173&amp;"",對照表!$A:$B,1,FALSE),"")</f>
        <v/>
      </c>
      <c r="AC173">
        <f>IFERROR(VLOOKUP(Q173&amp;"",對照表!$A:$B,2,FALSE),"")</f>
        <v/>
      </c>
    </row>
    <row r="174">
      <c r="A174" s="3" t="inlineStr">
        <is>
          <t>SF5119115817405</t>
        </is>
      </c>
      <c r="B174" s="3" t="n">
        <v>58424106156386</v>
      </c>
      <c r="C174" s="3" t="inlineStr">
        <is>
          <t>已簽收</t>
        </is>
      </c>
      <c r="D174" s="3" t="inlineStr">
        <is>
          <t>2026-07-02 15:43:28</t>
        </is>
      </c>
      <c r="E174" s="3" t="inlineStr">
        <is>
          <t>2026-07-03 13:29</t>
        </is>
      </c>
      <c r="F174" s="3" t="n">
        <v>72.5</v>
      </c>
      <c r="G174" s="3" t="n">
        <v>5</v>
      </c>
      <c r="H174" s="3" t="n"/>
      <c r="I174" s="3" t="inlineStr"/>
      <c r="J174" s="3" t="inlineStr">
        <is>
          <t>Keeta</t>
        </is>
      </c>
      <c r="K174" s="3" t="inlineStr">
        <is>
          <t>****9568</t>
        </is>
      </c>
      <c r="L174" s="3" t="n"/>
      <c r="M174" s="3" t="inlineStr">
        <is>
          <t>***** 物流中心5樓</t>
        </is>
      </c>
      <c r="N174" s="3" t="inlineStr">
        <is>
          <t>北区</t>
        </is>
      </c>
      <c r="O174" s="3" t="inlineStr">
        <is>
          <t>香港</t>
        </is>
      </c>
      <c r="P174" s="3" t="inlineStr">
        <is>
          <t>香港特别行政区</t>
        </is>
      </c>
      <c r="Q174" s="3" t="n">
        <v>488425</v>
      </c>
      <c r="R174" s="3" t="inlineStr">
        <is>
          <t>麥當勞(大埔昌運)McDonalds</t>
        </is>
      </c>
      <c r="S174" s="3" t="inlineStr">
        <is>
          <t>****26656612</t>
        </is>
      </c>
      <c r="T174" s="3" t="inlineStr">
        <is>
          <t>****26656612</t>
        </is>
      </c>
      <c r="U174" s="3" t="inlineStr">
        <is>
          <t>***** -66號地下</t>
        </is>
      </c>
      <c r="V174" s="3" t="inlineStr">
        <is>
          <t>香港</t>
        </is>
      </c>
      <c r="W174" s="3" t="inlineStr">
        <is>
          <t>纸袋【通版】/ 箱出</t>
        </is>
      </c>
      <c r="X174" s="3" t="inlineStr">
        <is>
          <t>ESS-SFTS-OTMS</t>
        </is>
      </c>
      <c r="Y174" s="3" t="n"/>
      <c r="Z174" s="3" t="inlineStr"/>
      <c r="AA174" s="3" t="inlineStr">
        <is>
          <t>寄付月結</t>
        </is>
      </c>
      <c r="AB174">
        <f>IFERROR(VLOOKUP(Q174&amp;"",對照表!$A:$B,1,FALSE),"")</f>
        <v/>
      </c>
      <c r="AC174">
        <f>IFERROR(VLOOKUP(Q174&amp;"",對照表!$A:$B,2,FALSE),"")</f>
        <v/>
      </c>
    </row>
    <row r="175">
      <c r="A175" s="3" t="inlineStr">
        <is>
          <t>SF5119115817636</t>
        </is>
      </c>
      <c r="B175" s="3" t="n">
        <v>58424106156430</v>
      </c>
      <c r="C175" s="3" t="inlineStr">
        <is>
          <t>已簽收</t>
        </is>
      </c>
      <c r="D175" s="3" t="inlineStr">
        <is>
          <t>2026-07-02 14:19:52</t>
        </is>
      </c>
      <c r="E175" s="3" t="inlineStr">
        <is>
          <t>2026-07-03 14:23</t>
        </is>
      </c>
      <c r="F175" s="3" t="n">
        <v>4.45</v>
      </c>
      <c r="G175" s="3" t="n">
        <v>1</v>
      </c>
      <c r="H175" s="3" t="n"/>
      <c r="I175" s="3" t="inlineStr"/>
      <c r="J175" s="3" t="inlineStr">
        <is>
          <t>Keeta</t>
        </is>
      </c>
      <c r="K175" s="3" t="inlineStr">
        <is>
          <t>****9568</t>
        </is>
      </c>
      <c r="L175" s="3" t="n"/>
      <c r="M175" s="3" t="inlineStr">
        <is>
          <t>***** 物流中心5樓</t>
        </is>
      </c>
      <c r="N175" s="3" t="inlineStr">
        <is>
          <t>北区</t>
        </is>
      </c>
      <c r="O175" s="3" t="inlineStr">
        <is>
          <t>香港</t>
        </is>
      </c>
      <c r="P175" s="3" t="inlineStr">
        <is>
          <t>香港特别行政区</t>
        </is>
      </c>
      <c r="Q175" s="3" t="n">
        <v>721428300</v>
      </c>
      <c r="R175" s="3" t="inlineStr">
        <is>
          <t>梅姐香辣小館</t>
        </is>
      </c>
      <c r="S175" s="3" t="inlineStr">
        <is>
          <t>****96689712</t>
        </is>
      </c>
      <c r="T175" s="3" t="inlineStr">
        <is>
          <t>****96689712</t>
        </is>
      </c>
      <c r="U175" s="3" t="inlineStr">
        <is>
          <t>***** 道136號A</t>
        </is>
      </c>
      <c r="V175" s="3" t="inlineStr">
        <is>
          <t>香港</t>
        </is>
      </c>
      <c r="W175" s="3" t="inlineStr">
        <is>
          <t>机纸/小票纸 / 包出</t>
        </is>
      </c>
      <c r="X175" s="3" t="inlineStr">
        <is>
          <t>ESS-SFTS-OTMS</t>
        </is>
      </c>
      <c r="Y175" s="3" t="n"/>
      <c r="Z175" s="3" t="inlineStr"/>
      <c r="AA175" s="3" t="inlineStr">
        <is>
          <t>寄付月結</t>
        </is>
      </c>
      <c r="AB175">
        <f>IFERROR(VLOOKUP(Q175&amp;"",對照表!$A:$B,1,FALSE),"")</f>
        <v/>
      </c>
      <c r="AC175">
        <f>IFERROR(VLOOKUP(Q175&amp;"",對照表!$A:$B,2,FALSE),"")</f>
        <v/>
      </c>
    </row>
    <row r="176">
      <c r="A176" s="3" t="inlineStr">
        <is>
          <t>SF5119115817557</t>
        </is>
      </c>
      <c r="B176" s="3" t="n">
        <v>58424106156414</v>
      </c>
      <c r="C176" s="3" t="inlineStr">
        <is>
          <t>已簽收</t>
        </is>
      </c>
      <c r="D176" s="3" t="inlineStr">
        <is>
          <t>2026-07-02 14:43:15</t>
        </is>
      </c>
      <c r="E176" s="3" t="inlineStr">
        <is>
          <t>2026-07-03 13:33</t>
        </is>
      </c>
      <c r="F176" s="3" t="n">
        <v>1.1</v>
      </c>
      <c r="G176" s="3" t="n">
        <v>1</v>
      </c>
      <c r="H176" s="3" t="n"/>
      <c r="I176" s="3" t="inlineStr"/>
      <c r="J176" s="3" t="inlineStr">
        <is>
          <t>Keeta</t>
        </is>
      </c>
      <c r="K176" s="3" t="inlineStr">
        <is>
          <t>****9568</t>
        </is>
      </c>
      <c r="L176" s="3" t="n"/>
      <c r="M176" s="3" t="inlineStr">
        <is>
          <t>***** 物流中心5樓</t>
        </is>
      </c>
      <c r="N176" s="3" t="inlineStr">
        <is>
          <t>北区</t>
        </is>
      </c>
      <c r="O176" s="3" t="inlineStr">
        <is>
          <t>香港</t>
        </is>
      </c>
      <c r="P176" s="3" t="inlineStr">
        <is>
          <t>香港特别行政区</t>
        </is>
      </c>
      <c r="Q176" s="3" t="n">
        <v>721528377</v>
      </c>
      <c r="R176" s="3" t="inlineStr">
        <is>
          <t>來泰巷</t>
        </is>
      </c>
      <c r="S176" s="3" t="inlineStr">
        <is>
          <t>****22622699</t>
        </is>
      </c>
      <c r="T176" s="3" t="inlineStr">
        <is>
          <t>****22622699</t>
        </is>
      </c>
      <c r="U176" s="3" t="inlineStr">
        <is>
          <t>***** 號地下5號舖</t>
        </is>
      </c>
      <c r="V176" s="3" t="inlineStr">
        <is>
          <t>香港</t>
        </is>
      </c>
      <c r="W176" s="3" t="inlineStr">
        <is>
          <t>机纸/小票纸 / 包出</t>
        </is>
      </c>
      <c r="X176" s="3" t="inlineStr">
        <is>
          <t>ESS-SFTS-OTMS</t>
        </is>
      </c>
      <c r="Y176" s="3" t="n"/>
      <c r="Z176" s="3" t="inlineStr"/>
      <c r="AA176" s="3" t="inlineStr">
        <is>
          <t>寄付月結</t>
        </is>
      </c>
      <c r="AB176">
        <f>IFERROR(VLOOKUP(Q176&amp;"",對照表!$A:$B,1,FALSE),"")</f>
        <v/>
      </c>
      <c r="AC176">
        <f>IFERROR(VLOOKUP(Q176&amp;"",對照表!$A:$B,2,FALSE),"")</f>
        <v/>
      </c>
    </row>
    <row r="177">
      <c r="A177" s="3" t="inlineStr">
        <is>
          <t>SF5119115817511</t>
        </is>
      </c>
      <c r="B177" s="3" t="n">
        <v>58424106156407</v>
      </c>
      <c r="C177" s="3" t="inlineStr">
        <is>
          <t>已簽收</t>
        </is>
      </c>
      <c r="D177" s="3" t="inlineStr">
        <is>
          <t>2026-07-02 15:40:23</t>
        </is>
      </c>
      <c r="E177" s="3" t="inlineStr">
        <is>
          <t>2026-07-03 13:02</t>
        </is>
      </c>
      <c r="F177" s="3" t="n">
        <v>14.5</v>
      </c>
      <c r="G177" s="3" t="n">
        <v>1</v>
      </c>
      <c r="H177" s="3" t="n"/>
      <c r="I177" s="3" t="inlineStr"/>
      <c r="J177" s="3" t="inlineStr">
        <is>
          <t>Keeta</t>
        </is>
      </c>
      <c r="K177" s="3" t="inlineStr">
        <is>
          <t>****9568</t>
        </is>
      </c>
      <c r="L177" s="3" t="n"/>
      <c r="M177" s="3" t="inlineStr">
        <is>
          <t>***** 物流中心5樓</t>
        </is>
      </c>
      <c r="N177" s="3" t="inlineStr">
        <is>
          <t>北区</t>
        </is>
      </c>
      <c r="O177" s="3" t="inlineStr">
        <is>
          <t>香港</t>
        </is>
      </c>
      <c r="P177" s="3" t="inlineStr">
        <is>
          <t>香港特别行政区</t>
        </is>
      </c>
      <c r="Q177" s="3" t="n">
        <v>455592</v>
      </c>
      <c r="R177" s="3" t="inlineStr">
        <is>
          <t>KokoroTokyoMazesoba（荃灣）東京名店連續多年外賣冠軍</t>
        </is>
      </c>
      <c r="S177" s="3" t="inlineStr">
        <is>
          <t>****63828446</t>
        </is>
      </c>
      <c r="T177" s="3" t="inlineStr">
        <is>
          <t>****63828446</t>
        </is>
      </c>
      <c r="U177" s="3" t="inlineStr">
        <is>
          <t>***** 1005號舖</t>
        </is>
      </c>
      <c r="V177" s="3" t="inlineStr">
        <is>
          <t>香港</t>
        </is>
      </c>
      <c r="W177" s="3" t="inlineStr">
        <is>
          <t>纸袋【通版】/ 箱出</t>
        </is>
      </c>
      <c r="X177" s="3" t="inlineStr">
        <is>
          <t>ESS-SFTS-OTMS</t>
        </is>
      </c>
      <c r="Y177" s="3" t="n"/>
      <c r="Z177" s="3" t="inlineStr"/>
      <c r="AA177" s="3" t="inlineStr">
        <is>
          <t>寄付月結</t>
        </is>
      </c>
      <c r="AB177">
        <f>IFERROR(VLOOKUP(Q177&amp;"",對照表!$A:$B,1,FALSE),"")</f>
        <v/>
      </c>
      <c r="AC177">
        <f>IFERROR(VLOOKUP(Q177&amp;"",對照表!$A:$B,2,FALSE),"")</f>
        <v/>
      </c>
    </row>
    <row r="178">
      <c r="A178" s="3" t="inlineStr">
        <is>
          <t>SF5119115817372</t>
        </is>
      </c>
      <c r="B178" s="3" t="n">
        <v>58424106156379</v>
      </c>
      <c r="C178" s="3" t="inlineStr">
        <is>
          <t>已簽收</t>
        </is>
      </c>
      <c r="D178" s="3" t="inlineStr">
        <is>
          <t>2026-07-02 14:19:49</t>
        </is>
      </c>
      <c r="E178" s="3" t="inlineStr">
        <is>
          <t>2026-07-03 12:13</t>
        </is>
      </c>
      <c r="F178" s="3" t="n">
        <v>4.45</v>
      </c>
      <c r="G178" s="3" t="n">
        <v>1</v>
      </c>
      <c r="H178" s="3" t="n"/>
      <c r="I178" s="3" t="inlineStr"/>
      <c r="J178" s="3" t="inlineStr">
        <is>
          <t>Keeta</t>
        </is>
      </c>
      <c r="K178" s="3" t="inlineStr">
        <is>
          <t>****9568</t>
        </is>
      </c>
      <c r="L178" s="3" t="n"/>
      <c r="M178" s="3" t="inlineStr">
        <is>
          <t>***** 物流中心5樓</t>
        </is>
      </c>
      <c r="N178" s="3" t="inlineStr">
        <is>
          <t>北区</t>
        </is>
      </c>
      <c r="O178" s="3" t="inlineStr">
        <is>
          <t>香港</t>
        </is>
      </c>
      <c r="P178" s="3" t="inlineStr">
        <is>
          <t>香港特别行政区</t>
        </is>
      </c>
      <c r="Q178" s="3" t="n">
        <v>464805</v>
      </c>
      <c r="R178" s="3" t="inlineStr">
        <is>
          <t>紅雞冰廳RCRestaurant（九龍城店）</t>
        </is>
      </c>
      <c r="S178" s="3" t="inlineStr">
        <is>
          <t>****26533166</t>
        </is>
      </c>
      <c r="T178" s="3" t="inlineStr">
        <is>
          <t>****26533166</t>
        </is>
      </c>
      <c r="U178" s="3" t="inlineStr">
        <is>
          <t>***** 道2B號地鋪</t>
        </is>
      </c>
      <c r="V178" s="3" t="inlineStr">
        <is>
          <t>香港</t>
        </is>
      </c>
      <c r="W178" s="3" t="inlineStr">
        <is>
          <t>机纸/小票纸 / 包出</t>
        </is>
      </c>
      <c r="X178" s="3" t="inlineStr">
        <is>
          <t>ESS-SFTS-OTMS</t>
        </is>
      </c>
      <c r="Y178" s="3" t="n"/>
      <c r="Z178" s="3" t="inlineStr"/>
      <c r="AA178" s="3" t="inlineStr">
        <is>
          <t>寄付月結</t>
        </is>
      </c>
      <c r="AB178">
        <f>IFERROR(VLOOKUP(Q178&amp;"",對照表!$A:$B,1,FALSE),"")</f>
        <v/>
      </c>
      <c r="AC178">
        <f>IFERROR(VLOOKUP(Q178&amp;"",對照表!$A:$B,2,FALSE),"")</f>
        <v/>
      </c>
    </row>
    <row r="179">
      <c r="A179" s="3" t="inlineStr">
        <is>
          <t>SF5119115817618</t>
        </is>
      </c>
      <c r="B179" s="3" t="n">
        <v>58424106156427</v>
      </c>
      <c r="C179" s="3" t="inlineStr">
        <is>
          <t>已簽收</t>
        </is>
      </c>
      <c r="D179" s="3" t="inlineStr">
        <is>
          <t>2026-07-02 15:47:25</t>
        </is>
      </c>
      <c r="E179" s="3" t="inlineStr">
        <is>
          <t>2026-07-03 12:46</t>
        </is>
      </c>
      <c r="F179" s="3" t="n">
        <v>29</v>
      </c>
      <c r="G179" s="3" t="n">
        <v>2</v>
      </c>
      <c r="H179" s="3" t="n"/>
      <c r="I179" s="3" t="inlineStr"/>
      <c r="J179" s="3" t="inlineStr">
        <is>
          <t>Keeta</t>
        </is>
      </c>
      <c r="K179" s="3" t="inlineStr">
        <is>
          <t>****9568</t>
        </is>
      </c>
      <c r="L179" s="3" t="n"/>
      <c r="M179" s="3" t="inlineStr">
        <is>
          <t>***** 物流中心5樓</t>
        </is>
      </c>
      <c r="N179" s="3" t="inlineStr">
        <is>
          <t>北区</t>
        </is>
      </c>
      <c r="O179" s="3" t="inlineStr">
        <is>
          <t>香港</t>
        </is>
      </c>
      <c r="P179" s="3" t="inlineStr">
        <is>
          <t>香港特别行政区</t>
        </is>
      </c>
      <c r="Q179" s="3" t="n">
        <v>484537</v>
      </c>
      <c r="R179" s="3" t="inlineStr">
        <is>
          <t>麥當勞（窩仔街）McDonalds</t>
        </is>
      </c>
      <c r="S179" s="3" t="inlineStr">
        <is>
          <t>****27840215</t>
        </is>
      </c>
      <c r="T179" s="3" t="inlineStr">
        <is>
          <t>****27840215</t>
        </is>
      </c>
      <c r="U179" s="3" t="inlineStr">
        <is>
          <t>***** 2-B3號舖</t>
        </is>
      </c>
      <c r="V179" s="3" t="inlineStr">
        <is>
          <t>香港</t>
        </is>
      </c>
      <c r="W179" s="3" t="inlineStr">
        <is>
          <t>纸袋【通版】/ 箱出</t>
        </is>
      </c>
      <c r="X179" s="3" t="inlineStr">
        <is>
          <t>ESS-SFTS-OTMS</t>
        </is>
      </c>
      <c r="Y179" s="3" t="n"/>
      <c r="Z179" s="3" t="inlineStr"/>
      <c r="AA179" s="3" t="inlineStr">
        <is>
          <t>寄付月結</t>
        </is>
      </c>
      <c r="AB179">
        <f>IFERROR(VLOOKUP(Q179&amp;"",對照表!$A:$B,1,FALSE),"")</f>
        <v/>
      </c>
      <c r="AC179">
        <f>IFERROR(VLOOKUP(Q179&amp;"",對照表!$A:$B,2,FALSE),"")</f>
        <v/>
      </c>
    </row>
    <row r="180">
      <c r="A180" s="3" t="inlineStr">
        <is>
          <t>SF5119115817654</t>
        </is>
      </c>
      <c r="B180" s="3" t="n">
        <v>58424106156434</v>
      </c>
      <c r="C180" s="3" t="inlineStr">
        <is>
          <t>已簽收</t>
        </is>
      </c>
      <c r="D180" s="3" t="inlineStr">
        <is>
          <t>2026-07-02 15:47:27</t>
        </is>
      </c>
      <c r="E180" s="3" t="inlineStr">
        <is>
          <t>2026-07-03 12:57</t>
        </is>
      </c>
      <c r="F180" s="3" t="n">
        <v>29</v>
      </c>
      <c r="G180" s="3" t="n">
        <v>2</v>
      </c>
      <c r="H180" s="3" t="n"/>
      <c r="I180" s="3" t="inlineStr"/>
      <c r="J180" s="3" t="inlineStr">
        <is>
          <t>Keeta</t>
        </is>
      </c>
      <c r="K180" s="3" t="inlineStr">
        <is>
          <t>****9568</t>
        </is>
      </c>
      <c r="L180" s="3" t="n"/>
      <c r="M180" s="3" t="inlineStr">
        <is>
          <t>***** 物流中心5樓</t>
        </is>
      </c>
      <c r="N180" s="3" t="inlineStr">
        <is>
          <t>北区</t>
        </is>
      </c>
      <c r="O180" s="3" t="inlineStr">
        <is>
          <t>香港</t>
        </is>
      </c>
      <c r="P180" s="3" t="inlineStr">
        <is>
          <t>香港特别行政区</t>
        </is>
      </c>
      <c r="Q180" s="3" t="n">
        <v>477024</v>
      </c>
      <c r="R180" s="3" t="inlineStr">
        <is>
          <t>麥當勞(海趣坊)McDonalds</t>
        </is>
      </c>
      <c r="S180" s="3" t="inlineStr">
        <is>
          <t>****28972108</t>
        </is>
      </c>
      <c r="T180" s="3" t="inlineStr">
        <is>
          <t>****28972108</t>
        </is>
      </c>
      <c r="U180" s="3" t="inlineStr">
        <is>
          <t>***** 55-60號</t>
        </is>
      </c>
      <c r="V180" s="3" t="inlineStr">
        <is>
          <t>香港</t>
        </is>
      </c>
      <c r="W180" s="3" t="inlineStr">
        <is>
          <t>纸袋【通版】/ 箱出</t>
        </is>
      </c>
      <c r="X180" s="3" t="inlineStr">
        <is>
          <t>ESS-SFTS-OTMS</t>
        </is>
      </c>
      <c r="Y180" s="3" t="n"/>
      <c r="Z180" s="3" t="inlineStr"/>
      <c r="AA180" s="3" t="inlineStr">
        <is>
          <t>寄付月結</t>
        </is>
      </c>
      <c r="AB180">
        <f>IFERROR(VLOOKUP(Q180&amp;"",對照表!$A:$B,1,FALSE),"")</f>
        <v/>
      </c>
      <c r="AC180">
        <f>IFERROR(VLOOKUP(Q180&amp;"",對照表!$A:$B,2,FALSE),"")</f>
        <v/>
      </c>
    </row>
    <row r="181">
      <c r="A181" s="3" t="inlineStr">
        <is>
          <t>SF5119115817293</t>
        </is>
      </c>
      <c r="B181" s="3" t="n">
        <v>58424106156363</v>
      </c>
      <c r="C181" s="3" t="inlineStr">
        <is>
          <t>已簽收</t>
        </is>
      </c>
      <c r="D181" s="3" t="inlineStr">
        <is>
          <t>2026-07-02 14:19:58</t>
        </is>
      </c>
      <c r="E181" s="3" t="inlineStr">
        <is>
          <t>2026-07-03 14:24</t>
        </is>
      </c>
      <c r="F181" s="3" t="n">
        <v>4.45</v>
      </c>
      <c r="G181" s="3" t="n">
        <v>1</v>
      </c>
      <c r="H181" s="3" t="n"/>
      <c r="I181" s="3" t="inlineStr"/>
      <c r="J181" s="3" t="inlineStr">
        <is>
          <t>Keeta</t>
        </is>
      </c>
      <c r="K181" s="3" t="inlineStr">
        <is>
          <t>****9568</t>
        </is>
      </c>
      <c r="L181" s="3" t="n"/>
      <c r="M181" s="3" t="inlineStr">
        <is>
          <t>***** 物流中心5樓</t>
        </is>
      </c>
      <c r="N181" s="3" t="inlineStr">
        <is>
          <t>北区</t>
        </is>
      </c>
      <c r="O181" s="3" t="inlineStr">
        <is>
          <t>香港</t>
        </is>
      </c>
      <c r="P181" s="3" t="inlineStr">
        <is>
          <t>香港特别行政区</t>
        </is>
      </c>
      <c r="Q181" s="3" t="n">
        <v>721529369</v>
      </c>
      <c r="R181" s="3" t="inlineStr">
        <is>
          <t>丸亀製麵(新城市廣場)</t>
        </is>
      </c>
      <c r="S181" s="3" t="inlineStr">
        <is>
          <t>****23440009</t>
        </is>
      </c>
      <c r="T181" s="3" t="inlineStr">
        <is>
          <t>****23440009</t>
        </is>
      </c>
      <c r="U181" s="3" t="inlineStr">
        <is>
          <t>***** A136號舖</t>
        </is>
      </c>
      <c r="V181" s="3" t="inlineStr">
        <is>
          <t>香港</t>
        </is>
      </c>
      <c r="W181" s="3" t="inlineStr">
        <is>
          <t>机纸/小票纸 / 包出</t>
        </is>
      </c>
      <c r="X181" s="3" t="inlineStr">
        <is>
          <t>ESS-SFTS-OTMS</t>
        </is>
      </c>
      <c r="Y181" s="3" t="n"/>
      <c r="Z181" s="3" t="inlineStr"/>
      <c r="AA181" s="3" t="inlineStr">
        <is>
          <t>寄付月結</t>
        </is>
      </c>
      <c r="AB181">
        <f>IFERROR(VLOOKUP(Q181&amp;"",對照表!$A:$B,1,FALSE),"")</f>
        <v/>
      </c>
      <c r="AC181">
        <f>IFERROR(VLOOKUP(Q181&amp;"",對照表!$A:$B,2,FALSE),"")</f>
        <v/>
      </c>
    </row>
    <row r="182">
      <c r="A182" s="3" t="inlineStr">
        <is>
          <t>SF5119115817539</t>
        </is>
      </c>
      <c r="B182" s="3" t="n">
        <v>58424106156411</v>
      </c>
      <c r="C182" s="3" t="inlineStr">
        <is>
          <t>已簽收</t>
        </is>
      </c>
      <c r="D182" s="3" t="inlineStr">
        <is>
          <t>2026-07-02 14:16:57</t>
        </is>
      </c>
      <c r="E182" s="3" t="inlineStr">
        <is>
          <t>2026-07-03 13:01</t>
        </is>
      </c>
      <c r="F182" s="3" t="n">
        <v>4.45</v>
      </c>
      <c r="G182" s="3" t="n">
        <v>1</v>
      </c>
      <c r="H182" s="3" t="n"/>
      <c r="I182" s="3" t="inlineStr"/>
      <c r="J182" s="3" t="inlineStr">
        <is>
          <t>Keeta</t>
        </is>
      </c>
      <c r="K182" s="3" t="inlineStr">
        <is>
          <t>****9568</t>
        </is>
      </c>
      <c r="L182" s="3" t="n"/>
      <c r="M182" s="3" t="inlineStr">
        <is>
          <t>***** 物流中心5樓</t>
        </is>
      </c>
      <c r="N182" s="3" t="inlineStr">
        <is>
          <t>北区</t>
        </is>
      </c>
      <c r="O182" s="3" t="inlineStr">
        <is>
          <t>香港</t>
        </is>
      </c>
      <c r="P182" s="3" t="inlineStr">
        <is>
          <t>香港特别行政区</t>
        </is>
      </c>
      <c r="Q182" s="3" t="n">
        <v>458580</v>
      </c>
      <c r="R182" s="3" t="inlineStr">
        <is>
          <t>星巴克(形點II)StarbucksCoffee</t>
        </is>
      </c>
      <c r="S182" s="3" t="inlineStr">
        <is>
          <t>****29760893</t>
        </is>
      </c>
      <c r="T182" s="3" t="inlineStr">
        <is>
          <t>****29760893</t>
        </is>
      </c>
      <c r="U182" s="3" t="inlineStr">
        <is>
          <t>***** A335號舖</t>
        </is>
      </c>
      <c r="V182" s="3" t="inlineStr">
        <is>
          <t>香港</t>
        </is>
      </c>
      <c r="W182" s="3" t="inlineStr">
        <is>
          <t>机纸/小票纸 / 包出</t>
        </is>
      </c>
      <c r="X182" s="3" t="inlineStr">
        <is>
          <t>ESS-SFTS-OTMS</t>
        </is>
      </c>
      <c r="Y182" s="3" t="n"/>
      <c r="Z182" s="3" t="inlineStr"/>
      <c r="AA182" s="3" t="inlineStr">
        <is>
          <t>寄付月結</t>
        </is>
      </c>
      <c r="AB182">
        <f>IFERROR(VLOOKUP(Q182&amp;"",對照表!$A:$B,1,FALSE),"")</f>
        <v/>
      </c>
      <c r="AC182">
        <f>IFERROR(VLOOKUP(Q182&amp;"",對照表!$A:$B,2,FALSE),"")</f>
        <v/>
      </c>
    </row>
    <row r="183">
      <c r="A183" s="3" t="inlineStr">
        <is>
          <t>SF5119115817432</t>
        </is>
      </c>
      <c r="B183" s="3" t="n">
        <v>58424106156390</v>
      </c>
      <c r="C183" s="3" t="inlineStr">
        <is>
          <t>已簽收</t>
        </is>
      </c>
      <c r="D183" s="3" t="inlineStr">
        <is>
          <t>2026-07-02 14:43:18</t>
        </is>
      </c>
      <c r="E183" s="3" t="inlineStr">
        <is>
          <t>2026-07-03 13:20</t>
        </is>
      </c>
      <c r="F183" s="3" t="n">
        <v>2.8</v>
      </c>
      <c r="G183" s="3" t="n">
        <v>1</v>
      </c>
      <c r="H183" s="3" t="n"/>
      <c r="I183" s="3" t="inlineStr"/>
      <c r="J183" s="3" t="inlineStr">
        <is>
          <t>Keeta</t>
        </is>
      </c>
      <c r="K183" s="3" t="inlineStr">
        <is>
          <t>****9568</t>
        </is>
      </c>
      <c r="L183" s="3" t="n"/>
      <c r="M183" s="3" t="inlineStr">
        <is>
          <t>***** 物流中心5樓</t>
        </is>
      </c>
      <c r="N183" s="3" t="inlineStr">
        <is>
          <t>北区</t>
        </is>
      </c>
      <c r="O183" s="3" t="inlineStr">
        <is>
          <t>香港</t>
        </is>
      </c>
      <c r="P183" s="3" t="inlineStr">
        <is>
          <t>香港特别行政区</t>
        </is>
      </c>
      <c r="Q183" s="3" t="n">
        <v>465353</v>
      </c>
      <c r="R183" s="3" t="inlineStr">
        <is>
          <t>點茶dimtea</t>
        </is>
      </c>
      <c r="S183" s="3" t="inlineStr">
        <is>
          <t>****53333096</t>
        </is>
      </c>
      <c r="T183" s="3" t="inlineStr">
        <is>
          <t>****53333096</t>
        </is>
      </c>
      <c r="U183" s="3" t="inlineStr">
        <is>
          <t>***** 號地下A號舖</t>
        </is>
      </c>
      <c r="V183" s="3" t="inlineStr">
        <is>
          <t>香港</t>
        </is>
      </c>
      <c r="W183" s="3" t="inlineStr">
        <is>
          <t>机纸/小票纸 / 包出</t>
        </is>
      </c>
      <c r="X183" s="3" t="inlineStr">
        <is>
          <t>ESS-SFTS-OTMS</t>
        </is>
      </c>
      <c r="Y183" s="3" t="n"/>
      <c r="Z183" s="3" t="inlineStr"/>
      <c r="AA183" s="3" t="inlineStr">
        <is>
          <t>寄付月結</t>
        </is>
      </c>
      <c r="AB183">
        <f>IFERROR(VLOOKUP(Q183&amp;"",對照表!$A:$B,1,FALSE),"")</f>
        <v/>
      </c>
      <c r="AC183">
        <f>IFERROR(VLOOKUP(Q183&amp;"",對照表!$A:$B,2,FALSE),"")</f>
        <v/>
      </c>
    </row>
    <row r="184">
      <c r="A184" s="3" t="inlineStr">
        <is>
          <t>SF5119115817354</t>
        </is>
      </c>
      <c r="B184" s="3" t="n">
        <v>58424106156377</v>
      </c>
      <c r="C184" s="3" t="inlineStr">
        <is>
          <t>已簽收</t>
        </is>
      </c>
      <c r="D184" s="3" t="inlineStr">
        <is>
          <t>2026-07-02 16:39:56</t>
        </is>
      </c>
      <c r="E184" s="3" t="inlineStr">
        <is>
          <t>2026-07-03 15:17</t>
        </is>
      </c>
      <c r="F184" s="3" t="n">
        <v>5.18</v>
      </c>
      <c r="G184" s="3" t="n">
        <v>1</v>
      </c>
      <c r="H184" s="3" t="n"/>
      <c r="I184" s="3" t="inlineStr"/>
      <c r="J184" s="3" t="inlineStr">
        <is>
          <t>Keeta</t>
        </is>
      </c>
      <c r="K184" s="3" t="inlineStr">
        <is>
          <t>****9568</t>
        </is>
      </c>
      <c r="L184" s="3" t="n"/>
      <c r="M184" s="3" t="inlineStr">
        <is>
          <t>***** 物流中心5樓</t>
        </is>
      </c>
      <c r="N184" s="3" t="inlineStr">
        <is>
          <t>北区</t>
        </is>
      </c>
      <c r="O184" s="3" t="inlineStr">
        <is>
          <t>香港</t>
        </is>
      </c>
      <c r="P184" s="3" t="inlineStr">
        <is>
          <t>香港特别行政区</t>
        </is>
      </c>
      <c r="Q184" s="3" t="n">
        <v>721537356</v>
      </c>
      <c r="R184" s="3" t="inlineStr">
        <is>
          <t>沁喜</t>
        </is>
      </c>
      <c r="S184" s="3" t="inlineStr">
        <is>
          <t>****64335293</t>
        </is>
      </c>
      <c r="T184" s="3" t="inlineStr">
        <is>
          <t>****64335293</t>
        </is>
      </c>
      <c r="U184" s="3" t="inlineStr">
        <is>
          <t>***** 崇潔街</t>
        </is>
      </c>
      <c r="V184" s="3" t="inlineStr">
        <is>
          <t>香港</t>
        </is>
      </c>
      <c r="W184" s="3" t="inlineStr">
        <is>
          <t>塑料袋【小】/ 扎出, 机纸/小票纸 / 包出</t>
        </is>
      </c>
      <c r="X184" s="3" t="inlineStr">
        <is>
          <t>ESS-SFTS-OTMS</t>
        </is>
      </c>
      <c r="Y184" s="3" t="n"/>
      <c r="Z184" s="3" t="inlineStr"/>
      <c r="AA184" s="3" t="inlineStr">
        <is>
          <t>寄付月結</t>
        </is>
      </c>
      <c r="AB184">
        <f>IFERROR(VLOOKUP(Q184&amp;"",對照表!$A:$B,1,FALSE),"")</f>
        <v/>
      </c>
      <c r="AC184">
        <f>IFERROR(VLOOKUP(Q184&amp;"",對照表!$A:$B,2,FALSE),"")</f>
        <v/>
      </c>
    </row>
    <row r="185">
      <c r="A185" s="3" t="inlineStr">
        <is>
          <t>SF5119115817723</t>
        </is>
      </c>
      <c r="B185" s="3" t="n">
        <v>58424106156451</v>
      </c>
      <c r="C185" s="3" t="inlineStr">
        <is>
          <t>已簽收</t>
        </is>
      </c>
      <c r="D185" s="3" t="inlineStr">
        <is>
          <t>2026-07-02 14:35:27</t>
        </is>
      </c>
      <c r="E185" s="3" t="inlineStr">
        <is>
          <t>2026-07-03 09:04</t>
        </is>
      </c>
      <c r="F185" s="3" t="n">
        <v>2.8</v>
      </c>
      <c r="G185" s="3" t="n">
        <v>1</v>
      </c>
      <c r="H185" s="3" t="n"/>
      <c r="I185" s="3" t="inlineStr"/>
      <c r="J185" s="3" t="inlineStr">
        <is>
          <t>Keeta</t>
        </is>
      </c>
      <c r="K185" s="3" t="inlineStr">
        <is>
          <t>****9568</t>
        </is>
      </c>
      <c r="L185" s="3" t="n"/>
      <c r="M185" s="3" t="inlineStr">
        <is>
          <t>***** 物流中心5樓</t>
        </is>
      </c>
      <c r="N185" s="3" t="inlineStr">
        <is>
          <t>北区</t>
        </is>
      </c>
      <c r="O185" s="3" t="inlineStr">
        <is>
          <t>香港</t>
        </is>
      </c>
      <c r="P185" s="3" t="inlineStr">
        <is>
          <t>香港特别行政区</t>
        </is>
      </c>
      <c r="Q185" s="3" t="n">
        <v>721437317</v>
      </c>
      <c r="R185" s="3" t="inlineStr">
        <is>
          <t>珍珍泰國菜x北京烤鴨（京膳鴨）</t>
        </is>
      </c>
      <c r="S185" s="3" t="inlineStr">
        <is>
          <t>****95359919</t>
        </is>
      </c>
      <c r="T185" s="3" t="inlineStr">
        <is>
          <t>****95359919</t>
        </is>
      </c>
      <c r="U185" s="3" t="inlineStr">
        <is>
          <t>***** 廈9樓A及C</t>
        </is>
      </c>
      <c r="V185" s="3" t="inlineStr">
        <is>
          <t>香港</t>
        </is>
      </c>
      <c r="W185" s="3" t="inlineStr">
        <is>
          <t>机纸/小票纸 / 包出</t>
        </is>
      </c>
      <c r="X185" s="3" t="inlineStr">
        <is>
          <t>ESS-SFTS-OTMS</t>
        </is>
      </c>
      <c r="Y185" s="3" t="n"/>
      <c r="Z185" s="3" t="inlineStr"/>
      <c r="AA185" s="3" t="inlineStr">
        <is>
          <t>寄付月結</t>
        </is>
      </c>
      <c r="AB185">
        <f>IFERROR(VLOOKUP(Q185&amp;"",對照表!$A:$B,1,FALSE),"")</f>
        <v/>
      </c>
      <c r="AC185">
        <f>IFERROR(VLOOKUP(Q185&amp;"",對照表!$A:$B,2,FALSE),"")</f>
        <v/>
      </c>
    </row>
    <row r="186">
      <c r="A186" s="3" t="inlineStr">
        <is>
          <t>SF5119115817450</t>
        </is>
      </c>
      <c r="B186" s="3" t="n">
        <v>58424106156395</v>
      </c>
      <c r="C186" s="3" t="inlineStr">
        <is>
          <t>已簽收</t>
        </is>
      </c>
      <c r="D186" s="3" t="inlineStr">
        <is>
          <t>2026-07-02 15:38:50</t>
        </is>
      </c>
      <c r="E186" s="3" t="inlineStr">
        <is>
          <t>2026-07-03 12:53</t>
        </is>
      </c>
      <c r="F186" s="3" t="n">
        <v>43.5</v>
      </c>
      <c r="G186" s="3" t="n">
        <v>3</v>
      </c>
      <c r="H186" s="3" t="n"/>
      <c r="I186" s="3" t="inlineStr"/>
      <c r="J186" s="3" t="inlineStr">
        <is>
          <t>Keeta</t>
        </is>
      </c>
      <c r="K186" s="3" t="inlineStr">
        <is>
          <t>****9568</t>
        </is>
      </c>
      <c r="L186" s="3" t="n"/>
      <c r="M186" s="3" t="inlineStr">
        <is>
          <t>***** 物流中心5樓</t>
        </is>
      </c>
      <c r="N186" s="3" t="inlineStr">
        <is>
          <t>北区</t>
        </is>
      </c>
      <c r="O186" s="3" t="inlineStr">
        <is>
          <t>香港</t>
        </is>
      </c>
      <c r="P186" s="3" t="inlineStr">
        <is>
          <t>香港特别行政区</t>
        </is>
      </c>
      <c r="Q186" s="3" t="n">
        <v>478525</v>
      </c>
      <c r="R186" s="3" t="inlineStr">
        <is>
          <t>麥當勞(牛頭角道)McDonalds</t>
        </is>
      </c>
      <c r="S186" s="3" t="inlineStr">
        <is>
          <t>****23442756</t>
        </is>
      </c>
      <c r="T186" s="3" t="inlineStr">
        <is>
          <t>****23442756</t>
        </is>
      </c>
      <c r="U186" s="3" t="inlineStr">
        <is>
          <t>***** 庫及地下部份</t>
        </is>
      </c>
      <c r="V186" s="3" t="inlineStr">
        <is>
          <t>香港</t>
        </is>
      </c>
      <c r="W186" s="3" t="inlineStr">
        <is>
          <t>纸袋【通版】/ 箱出</t>
        </is>
      </c>
      <c r="X186" s="3" t="inlineStr">
        <is>
          <t>ESS-SFTS-OTMS</t>
        </is>
      </c>
      <c r="Y186" s="3" t="n"/>
      <c r="Z186" s="3" t="inlineStr"/>
      <c r="AA186" s="3" t="inlineStr">
        <is>
          <t>寄付月結</t>
        </is>
      </c>
      <c r="AB186">
        <f>IFERROR(VLOOKUP(Q186&amp;"",對照表!$A:$B,1,FALSE),"")</f>
        <v/>
      </c>
      <c r="AC186">
        <f>IFERROR(VLOOKUP(Q186&amp;"",對照表!$A:$B,2,FALSE),"")</f>
        <v/>
      </c>
    </row>
    <row r="187">
      <c r="A187" s="3" t="inlineStr">
        <is>
          <t>SF5119115817141</t>
        </is>
      </c>
      <c r="B187" s="3" t="n">
        <v>58424106156330</v>
      </c>
      <c r="C187" s="3" t="inlineStr">
        <is>
          <t>已簽收</t>
        </is>
      </c>
      <c r="D187" s="3" t="inlineStr">
        <is>
          <t>2026-07-02 15:41:30</t>
        </is>
      </c>
      <c r="E187" s="3" t="inlineStr">
        <is>
          <t>2026-07-04 15:30</t>
        </is>
      </c>
      <c r="F187" s="3" t="n">
        <v>145</v>
      </c>
      <c r="G187" s="3" t="n">
        <v>10</v>
      </c>
      <c r="H187" s="3" t="n"/>
      <c r="I187" s="3" t="inlineStr"/>
      <c r="J187" s="3" t="inlineStr">
        <is>
          <t>Keeta</t>
        </is>
      </c>
      <c r="K187" s="3" t="inlineStr">
        <is>
          <t>****9568</t>
        </is>
      </c>
      <c r="L187" s="3" t="n"/>
      <c r="M187" s="3" t="inlineStr">
        <is>
          <t>***** 物流中心5樓</t>
        </is>
      </c>
      <c r="N187" s="3" t="inlineStr">
        <is>
          <t>北区</t>
        </is>
      </c>
      <c r="O187" s="3" t="inlineStr">
        <is>
          <t>香港</t>
        </is>
      </c>
      <c r="P187" s="3" t="inlineStr">
        <is>
          <t>香港特别行政区</t>
        </is>
      </c>
      <c r="Q187" s="3" t="n">
        <v>475055</v>
      </c>
      <c r="R187" s="3" t="inlineStr">
        <is>
          <t>麥當勞(德昌大廈)McDonalds</t>
        </is>
      </c>
      <c r="S187" s="3" t="inlineStr">
        <is>
          <t>****27854939</t>
        </is>
      </c>
      <c r="T187" s="3" t="inlineStr">
        <is>
          <t>****27854939</t>
        </is>
      </c>
      <c r="U187" s="3" t="inlineStr">
        <is>
          <t>***** 廈一樓3號舖</t>
        </is>
      </c>
      <c r="V187" s="3" t="inlineStr">
        <is>
          <t>香港</t>
        </is>
      </c>
      <c r="W187" s="3" t="inlineStr">
        <is>
          <t>纸袋【通版】/ 箱出</t>
        </is>
      </c>
      <c r="X187" s="3" t="inlineStr">
        <is>
          <t>ESS-SFTS-OTMS</t>
        </is>
      </c>
      <c r="Y187" s="3" t="n"/>
      <c r="Z187" s="3" t="inlineStr"/>
      <c r="AA187" s="3" t="inlineStr">
        <is>
          <t>寄付月結</t>
        </is>
      </c>
      <c r="AB187">
        <f>IFERROR(VLOOKUP(Q187&amp;"",對照表!$A:$B,1,FALSE),"")</f>
        <v/>
      </c>
      <c r="AC187">
        <f>IFERROR(VLOOKUP(Q187&amp;"",對照表!$A:$B,2,FALSE),"")</f>
        <v/>
      </c>
    </row>
    <row r="188">
      <c r="A188" s="3" t="inlineStr">
        <is>
          <t>SF5119115817690</t>
        </is>
      </c>
      <c r="B188" s="3" t="n">
        <v>58424106156443</v>
      </c>
      <c r="C188" s="3" t="inlineStr">
        <is>
          <t>已簽收</t>
        </is>
      </c>
      <c r="D188" s="3" t="inlineStr">
        <is>
          <t>2026-07-02 17:02:20</t>
        </is>
      </c>
      <c r="E188" s="3" t="inlineStr">
        <is>
          <t>2026-07-03 13:44</t>
        </is>
      </c>
      <c r="F188" s="3" t="n">
        <v>6.5</v>
      </c>
      <c r="G188" s="3" t="n">
        <v>1</v>
      </c>
      <c r="H188" s="3" t="n"/>
      <c r="I188" s="3" t="inlineStr"/>
      <c r="J188" s="3" t="inlineStr">
        <is>
          <t>Keeta</t>
        </is>
      </c>
      <c r="K188" s="3" t="inlineStr">
        <is>
          <t>****9568</t>
        </is>
      </c>
      <c r="L188" s="3" t="n"/>
      <c r="M188" s="3" t="inlineStr">
        <is>
          <t>***** 物流中心5樓</t>
        </is>
      </c>
      <c r="N188" s="3" t="inlineStr">
        <is>
          <t>北区</t>
        </is>
      </c>
      <c r="O188" s="3" t="inlineStr">
        <is>
          <t>香港</t>
        </is>
      </c>
      <c r="P188" s="3" t="inlineStr">
        <is>
          <t>香港特别行政区</t>
        </is>
      </c>
      <c r="Q188" s="3" t="n">
        <v>490436</v>
      </c>
      <c r="R188" s="3" t="inlineStr">
        <is>
          <t>小熊貓（用心製作無味精是家的味道）</t>
        </is>
      </c>
      <c r="S188" s="3" t="inlineStr">
        <is>
          <t>****51674175</t>
        </is>
      </c>
      <c r="T188" s="3" t="inlineStr">
        <is>
          <t>****51674175</t>
        </is>
      </c>
      <c r="U188" s="3" t="inlineStr">
        <is>
          <t>***** F09A號鋪</t>
        </is>
      </c>
      <c r="V188" s="3" t="inlineStr">
        <is>
          <t>香港</t>
        </is>
      </c>
      <c r="W188" s="3" t="inlineStr">
        <is>
          <t>机纸/小票纸 / 包出, 封签【通版】/ 扎出</t>
        </is>
      </c>
      <c r="X188" s="3" t="inlineStr">
        <is>
          <t>ESS-SFTS-OTMS</t>
        </is>
      </c>
      <c r="Y188" s="3" t="n"/>
      <c r="Z188" s="3" t="inlineStr"/>
      <c r="AA188" s="3" t="inlineStr">
        <is>
          <t>寄付月結</t>
        </is>
      </c>
      <c r="AB188">
        <f>IFERROR(VLOOKUP(Q188&amp;"",對照表!$A:$B,1,FALSE),"")</f>
        <v/>
      </c>
      <c r="AC188">
        <f>IFERROR(VLOOKUP(Q188&amp;"",對照表!$A:$B,2,FALSE),"")</f>
        <v/>
      </c>
    </row>
    <row r="189">
      <c r="A189" s="3" t="inlineStr">
        <is>
          <t>SF5119115817714</t>
        </is>
      </c>
      <c r="B189" s="3" t="n">
        <v>58424106156447</v>
      </c>
      <c r="C189" s="3" t="inlineStr">
        <is>
          <t>已簽收</t>
        </is>
      </c>
      <c r="D189" s="3" t="inlineStr">
        <is>
          <t>2026-07-02 17:03:22</t>
        </is>
      </c>
      <c r="E189" s="3" t="inlineStr">
        <is>
          <t>2026-07-03 12:18</t>
        </is>
      </c>
      <c r="F189" s="3" t="n">
        <v>1.32</v>
      </c>
      <c r="G189" s="3" t="n">
        <v>1</v>
      </c>
      <c r="H189" s="3" t="n"/>
      <c r="I189" s="3" t="inlineStr"/>
      <c r="J189" s="3" t="inlineStr">
        <is>
          <t>Keeta</t>
        </is>
      </c>
      <c r="K189" s="3" t="inlineStr">
        <is>
          <t>****9568</t>
        </is>
      </c>
      <c r="L189" s="3" t="n"/>
      <c r="M189" s="3" t="inlineStr">
        <is>
          <t>***** 物流中心5樓</t>
        </is>
      </c>
      <c r="N189" s="3" t="inlineStr">
        <is>
          <t>北区</t>
        </is>
      </c>
      <c r="O189" s="3" t="inlineStr">
        <is>
          <t>香港</t>
        </is>
      </c>
      <c r="P189" s="3" t="inlineStr">
        <is>
          <t>香港特别行政区</t>
        </is>
      </c>
      <c r="Q189" s="3" t="n">
        <v>721424347</v>
      </c>
      <c r="R189" s="3" t="inlineStr">
        <is>
          <t>蛋仔記雞蛋仔</t>
        </is>
      </c>
      <c r="S189" s="3" t="inlineStr">
        <is>
          <t>****46799809</t>
        </is>
      </c>
      <c r="T189" s="3" t="inlineStr">
        <is>
          <t>****46799809</t>
        </is>
      </c>
      <c r="U189" s="3" t="inlineStr">
        <is>
          <t>***** 街33號地下</t>
        </is>
      </c>
      <c r="V189" s="3" t="inlineStr">
        <is>
          <t>香港</t>
        </is>
      </c>
      <c r="W189" s="3" t="inlineStr">
        <is>
          <t>塑料袋【大】/ 扎出</t>
        </is>
      </c>
      <c r="X189" s="3" t="inlineStr">
        <is>
          <t>ESS-SFTS-OTMS</t>
        </is>
      </c>
      <c r="Y189" s="3" t="n"/>
      <c r="Z189" s="3" t="inlineStr"/>
      <c r="AA189" s="3" t="inlineStr">
        <is>
          <t>寄付月結</t>
        </is>
      </c>
      <c r="AB189">
        <f>IFERROR(VLOOKUP(Q189&amp;"",對照表!$A:$B,1,FALSE),"")</f>
        <v/>
      </c>
      <c r="AC189">
        <f>IFERROR(VLOOKUP(Q189&amp;"",對照表!$A:$B,2,FALSE),"")</f>
        <v/>
      </c>
    </row>
    <row r="190">
      <c r="A190" s="3" t="inlineStr">
        <is>
          <t>SF5119115817741</t>
        </is>
      </c>
      <c r="B190" s="3" t="n">
        <v>58424106188804</v>
      </c>
      <c r="C190" s="3" t="inlineStr">
        <is>
          <t>已簽收</t>
        </is>
      </c>
      <c r="D190" s="3" t="inlineStr">
        <is>
          <t>2026-07-02 14:16:44</t>
        </is>
      </c>
      <c r="E190" s="3" t="inlineStr">
        <is>
          <t>2026-07-03 10:29</t>
        </is>
      </c>
      <c r="F190" s="3" t="n">
        <v>4.45</v>
      </c>
      <c r="G190" s="3" t="n">
        <v>1</v>
      </c>
      <c r="H190" s="3" t="n"/>
      <c r="I190" s="3" t="inlineStr"/>
      <c r="J190" s="3" t="inlineStr">
        <is>
          <t>Keeta</t>
        </is>
      </c>
      <c r="K190" s="3" t="inlineStr">
        <is>
          <t>****9568</t>
        </is>
      </c>
      <c r="L190" s="3" t="n"/>
      <c r="M190" s="3" t="inlineStr">
        <is>
          <t>***** 物流中心5樓</t>
        </is>
      </c>
      <c r="N190" s="3" t="inlineStr">
        <is>
          <t>北区</t>
        </is>
      </c>
      <c r="O190" s="3" t="inlineStr">
        <is>
          <t>香港</t>
        </is>
      </c>
      <c r="P190" s="3" t="inlineStr">
        <is>
          <t>香港特别行政区</t>
        </is>
      </c>
      <c r="Q190" s="3" t="n">
        <v>461457</v>
      </c>
      <c r="R190" s="3" t="inlineStr">
        <is>
          <t>新聯發茶餐廳抵食一人餐鑊氣抄飯惹味咖喱葡汁家鄉煲仔</t>
        </is>
      </c>
      <c r="S190" s="3" t="inlineStr">
        <is>
          <t>****98856360</t>
        </is>
      </c>
      <c r="T190" s="3" t="inlineStr">
        <is>
          <t>****98856360</t>
        </is>
      </c>
      <c r="U190" s="3" t="inlineStr">
        <is>
          <t>***** 號億富樓地舖</t>
        </is>
      </c>
      <c r="V190" s="3" t="inlineStr">
        <is>
          <t>香港</t>
        </is>
      </c>
      <c r="W190" s="3" t="inlineStr">
        <is>
          <t>机纸/小票纸 / 包出</t>
        </is>
      </c>
      <c r="X190" s="3" t="inlineStr">
        <is>
          <t>ESS-SFTS-OTMS</t>
        </is>
      </c>
      <c r="Y190" s="3" t="n"/>
      <c r="Z190" s="3" t="inlineStr"/>
      <c r="AA190" s="3" t="inlineStr">
        <is>
          <t>寄付月結</t>
        </is>
      </c>
      <c r="AB190">
        <f>IFERROR(VLOOKUP(Q190&amp;"",對照表!$A:$B,1,FALSE),"")</f>
        <v/>
      </c>
      <c r="AC190">
        <f>IFERROR(VLOOKUP(Q190&amp;"",對照表!$A:$B,2,FALSE),"")</f>
        <v/>
      </c>
    </row>
    <row r="191">
      <c r="A191" s="3" t="inlineStr">
        <is>
          <t>SF5119115817609</t>
        </is>
      </c>
      <c r="B191" s="3" t="n">
        <v>58424106156424</v>
      </c>
      <c r="C191" s="3" t="inlineStr">
        <is>
          <t>已簽收</t>
        </is>
      </c>
      <c r="D191" s="3" t="inlineStr">
        <is>
          <t>2026-07-02 17:03:26</t>
        </is>
      </c>
      <c r="E191" s="3" t="inlineStr">
        <is>
          <t>2026-07-03 12:21</t>
        </is>
      </c>
      <c r="F191" s="3" t="n">
        <v>6.54</v>
      </c>
      <c r="G191" s="3" t="n">
        <v>1</v>
      </c>
      <c r="H191" s="3" t="n"/>
      <c r="I191" s="3" t="inlineStr"/>
      <c r="J191" s="3" t="inlineStr">
        <is>
          <t>Keeta</t>
        </is>
      </c>
      <c r="K191" s="3" t="inlineStr">
        <is>
          <t>****9568</t>
        </is>
      </c>
      <c r="L191" s="3" t="n"/>
      <c r="M191" s="3" t="inlineStr">
        <is>
          <t>***** 物流中心5樓</t>
        </is>
      </c>
      <c r="N191" s="3" t="inlineStr">
        <is>
          <t>北区</t>
        </is>
      </c>
      <c r="O191" s="3" t="inlineStr">
        <is>
          <t>香港</t>
        </is>
      </c>
      <c r="P191" s="3" t="inlineStr">
        <is>
          <t>香港特别行政区</t>
        </is>
      </c>
      <c r="Q191" s="3" t="n">
        <v>471798</v>
      </c>
      <c r="R191" s="3" t="inlineStr">
        <is>
          <t>捌加廿陸天婦羅居酒屋天婦羅丼飯專門店（油麻地店）</t>
        </is>
      </c>
      <c r="S191" s="3" t="inlineStr">
        <is>
          <t>****90835149</t>
        </is>
      </c>
      <c r="T191" s="3" t="inlineStr">
        <is>
          <t>****90835149</t>
        </is>
      </c>
      <c r="U191" s="3" t="inlineStr">
        <is>
          <t>***** 下33A號舖</t>
        </is>
      </c>
      <c r="V191" s="3" t="inlineStr">
        <is>
          <t>香港</t>
        </is>
      </c>
      <c r="W191" s="3" t="inlineStr">
        <is>
          <t>塑料袋【大】/ 扎出</t>
        </is>
      </c>
      <c r="X191" s="3" t="inlineStr">
        <is>
          <t>ESS-SFTS-OTMS</t>
        </is>
      </c>
      <c r="Y191" s="3" t="n"/>
      <c r="Z191" s="3" t="inlineStr"/>
      <c r="AA191" s="3" t="inlineStr">
        <is>
          <t>寄付月結</t>
        </is>
      </c>
      <c r="AB191">
        <f>IFERROR(VLOOKUP(Q191&amp;"",對照表!$A:$B,1,FALSE),"")</f>
        <v/>
      </c>
      <c r="AC191">
        <f>IFERROR(VLOOKUP(Q191&amp;"",對照表!$A:$B,2,FALSE),"")</f>
        <v/>
      </c>
    </row>
    <row r="192">
      <c r="A192" s="3" t="inlineStr">
        <is>
          <t>SF5119115817502</t>
        </is>
      </c>
      <c r="B192" s="3" t="n">
        <v>58424106156405</v>
      </c>
      <c r="C192" s="3" t="inlineStr">
        <is>
          <t>已簽收</t>
        </is>
      </c>
      <c r="D192" s="3" t="inlineStr">
        <is>
          <t>2026-07-02 14:43:28</t>
        </is>
      </c>
      <c r="E192" s="3" t="inlineStr">
        <is>
          <t>2026-07-03 10:12</t>
        </is>
      </c>
      <c r="F192" s="3" t="n">
        <v>0.67</v>
      </c>
      <c r="G192" s="3" t="n">
        <v>1</v>
      </c>
      <c r="H192" s="3" t="n"/>
      <c r="I192" s="3" t="inlineStr"/>
      <c r="J192" s="3" t="inlineStr">
        <is>
          <t>Keeta</t>
        </is>
      </c>
      <c r="K192" s="3" t="inlineStr">
        <is>
          <t>****9568</t>
        </is>
      </c>
      <c r="L192" s="3" t="n"/>
      <c r="M192" s="3" t="inlineStr">
        <is>
          <t>***** 物流中心5樓</t>
        </is>
      </c>
      <c r="N192" s="3" t="inlineStr">
        <is>
          <t>北区</t>
        </is>
      </c>
      <c r="O192" s="3" t="inlineStr">
        <is>
          <t>香港</t>
        </is>
      </c>
      <c r="P192" s="3" t="inlineStr">
        <is>
          <t>香港特别行政区</t>
        </is>
      </c>
      <c r="Q192" s="3" t="n">
        <v>428636</v>
      </c>
      <c r="R192" s="3" t="inlineStr">
        <is>
          <t>傑星冰廳</t>
        </is>
      </c>
      <c r="S192" s="3" t="inlineStr">
        <is>
          <t>****97056600</t>
        </is>
      </c>
      <c r="T192" s="3" t="inlineStr">
        <is>
          <t>****97056600</t>
        </is>
      </c>
      <c r="U192" s="3" t="inlineStr">
        <is>
          <t>***** 219號地下</t>
        </is>
      </c>
      <c r="V192" s="3" t="inlineStr">
        <is>
          <t>香港</t>
        </is>
      </c>
      <c r="W192" s="3" t="inlineStr">
        <is>
          <t>机纸/小票纸 / 包出</t>
        </is>
      </c>
      <c r="X192" s="3" t="inlineStr">
        <is>
          <t>ESS-SFTS-OTMS</t>
        </is>
      </c>
      <c r="Y192" s="3" t="n"/>
      <c r="Z192" s="3" t="inlineStr"/>
      <c r="AA192" s="3" t="inlineStr">
        <is>
          <t>寄付月結</t>
        </is>
      </c>
      <c r="AB192">
        <f>IFERROR(VLOOKUP(Q192&amp;"",對照表!$A:$B,1,FALSE),"")</f>
        <v/>
      </c>
      <c r="AC192">
        <f>IFERROR(VLOOKUP(Q192&amp;"",對照表!$A:$B,2,FALSE),"")</f>
        <v/>
      </c>
    </row>
    <row r="193">
      <c r="A193" s="3" t="inlineStr">
        <is>
          <t>SF5119115817787</t>
        </is>
      </c>
      <c r="B193" s="3" t="n">
        <v>58424106188813</v>
      </c>
      <c r="C193" s="3" t="inlineStr">
        <is>
          <t>已簽收</t>
        </is>
      </c>
      <c r="D193" s="3" t="inlineStr">
        <is>
          <t>2026-07-02 15:40:18</t>
        </is>
      </c>
      <c r="E193" s="3" t="inlineStr">
        <is>
          <t>2026-07-03 10:43</t>
        </is>
      </c>
      <c r="F193" s="3" t="n">
        <v>14.5</v>
      </c>
      <c r="G193" s="3" t="n">
        <v>1</v>
      </c>
      <c r="H193" s="3" t="n"/>
      <c r="I193" s="3" t="inlineStr"/>
      <c r="J193" s="3" t="inlineStr">
        <is>
          <t>Keeta</t>
        </is>
      </c>
      <c r="K193" s="3" t="inlineStr">
        <is>
          <t>****9568</t>
        </is>
      </c>
      <c r="L193" s="3" t="n"/>
      <c r="M193" s="3" t="inlineStr">
        <is>
          <t>***** 物流中心5樓</t>
        </is>
      </c>
      <c r="N193" s="3" t="inlineStr">
        <is>
          <t>北区</t>
        </is>
      </c>
      <c r="O193" s="3" t="inlineStr">
        <is>
          <t>香港</t>
        </is>
      </c>
      <c r="P193" s="3" t="inlineStr">
        <is>
          <t>香港特别行政区</t>
        </is>
      </c>
      <c r="Q193" s="3" t="n">
        <v>721155</v>
      </c>
      <c r="R193" s="3" t="inlineStr">
        <is>
          <t>WestwoodCarvery</t>
        </is>
      </c>
      <c r="S193" s="3" t="inlineStr">
        <is>
          <t>****28698111</t>
        </is>
      </c>
      <c r="T193" s="3" t="inlineStr">
        <is>
          <t>****28698111</t>
        </is>
      </c>
      <c r="U193" s="3" t="inlineStr">
        <is>
          <t>***** 安里2號地舖</t>
        </is>
      </c>
      <c r="V193" s="3" t="inlineStr">
        <is>
          <t>香港</t>
        </is>
      </c>
      <c r="W193" s="3" t="inlineStr">
        <is>
          <t>纸袋【通版】/ 箱出</t>
        </is>
      </c>
      <c r="X193" s="3" t="inlineStr">
        <is>
          <t>ESS-SFTS-OTMS</t>
        </is>
      </c>
      <c r="Y193" s="3" t="n"/>
      <c r="Z193" s="3" t="inlineStr"/>
      <c r="AA193" s="3" t="inlineStr">
        <is>
          <t>寄付月結</t>
        </is>
      </c>
      <c r="AB193">
        <f>IFERROR(VLOOKUP(Q193&amp;"",對照表!$A:$B,1,FALSE),"")</f>
        <v/>
      </c>
      <c r="AC193">
        <f>IFERROR(VLOOKUP(Q193&amp;"",對照表!$A:$B,2,FALSE),"")</f>
        <v/>
      </c>
    </row>
    <row r="194">
      <c r="A194" s="3" t="inlineStr">
        <is>
          <t>SF5119115817820</t>
        </is>
      </c>
      <c r="B194" s="3" t="n">
        <v>58424106188816</v>
      </c>
      <c r="C194" s="3" t="inlineStr">
        <is>
          <t>已簽收</t>
        </is>
      </c>
      <c r="D194" s="3" t="inlineStr">
        <is>
          <t>2026-07-02 14:43:19</t>
        </is>
      </c>
      <c r="E194" s="3" t="inlineStr">
        <is>
          <t>2026-07-03 09:48</t>
        </is>
      </c>
      <c r="F194" s="3" t="n">
        <v>3.64</v>
      </c>
      <c r="G194" s="3" t="n">
        <v>1</v>
      </c>
      <c r="H194" s="3" t="n"/>
      <c r="I194" s="3" t="inlineStr"/>
      <c r="J194" s="3" t="inlineStr">
        <is>
          <t>Keeta</t>
        </is>
      </c>
      <c r="K194" s="3" t="inlineStr">
        <is>
          <t>****9568</t>
        </is>
      </c>
      <c r="L194" s="3" t="n"/>
      <c r="M194" s="3" t="inlineStr">
        <is>
          <t>***** 物流中心5樓</t>
        </is>
      </c>
      <c r="N194" s="3" t="inlineStr">
        <is>
          <t>北区</t>
        </is>
      </c>
      <c r="O194" s="3" t="inlineStr">
        <is>
          <t>香港</t>
        </is>
      </c>
      <c r="P194" s="3" t="inlineStr">
        <is>
          <t>香港特别行政区</t>
        </is>
      </c>
      <c r="Q194" s="3" t="n">
        <v>721448344</v>
      </c>
      <c r="R194" s="3" t="inlineStr">
        <is>
          <t>SeoulNoodles(金龍中心)首爾製麵所</t>
        </is>
      </c>
      <c r="S194" s="3" t="inlineStr">
        <is>
          <t>****52865822</t>
        </is>
      </c>
      <c r="T194" s="3" t="inlineStr">
        <is>
          <t>****52865822</t>
        </is>
      </c>
      <c r="U194" s="3" t="inlineStr">
        <is>
          <t>*****  2及6號舖</t>
        </is>
      </c>
      <c r="V194" s="3" t="inlineStr">
        <is>
          <t>香港</t>
        </is>
      </c>
      <c r="W194" s="3" t="inlineStr">
        <is>
          <t>机纸/小票纸 / 包出</t>
        </is>
      </c>
      <c r="X194" s="3" t="inlineStr">
        <is>
          <t>ESS-SFTS-OTMS</t>
        </is>
      </c>
      <c r="Y194" s="3" t="n"/>
      <c r="Z194" s="3" t="inlineStr"/>
      <c r="AA194" s="3" t="inlineStr">
        <is>
          <t>寄付月結</t>
        </is>
      </c>
      <c r="AB194">
        <f>IFERROR(VLOOKUP(Q194&amp;"",對照表!$A:$B,1,FALSE),"")</f>
        <v/>
      </c>
      <c r="AC194">
        <f>IFERROR(VLOOKUP(Q194&amp;"",對照表!$A:$B,2,FALSE),"")</f>
        <v/>
      </c>
    </row>
    <row r="195">
      <c r="A195" s="3" t="inlineStr">
        <is>
          <t>SF5119115817548</t>
        </is>
      </c>
      <c r="B195" s="3" t="n">
        <v>58424106156413</v>
      </c>
      <c r="C195" s="3" t="inlineStr">
        <is>
          <t>已簽收</t>
        </is>
      </c>
      <c r="D195" s="3" t="inlineStr">
        <is>
          <t>2026-07-02 15:39:26</t>
        </is>
      </c>
      <c r="E195" s="3" t="inlineStr">
        <is>
          <t>2026-07-03 10:29</t>
        </is>
      </c>
      <c r="F195" s="3" t="n">
        <v>43.5</v>
      </c>
      <c r="G195" s="3" t="n">
        <v>3</v>
      </c>
      <c r="H195" s="3" t="n"/>
      <c r="I195" s="3" t="inlineStr"/>
      <c r="J195" s="3" t="inlineStr">
        <is>
          <t>Keeta</t>
        </is>
      </c>
      <c r="K195" s="3" t="inlineStr">
        <is>
          <t>****9568</t>
        </is>
      </c>
      <c r="L195" s="3" t="n"/>
      <c r="M195" s="3" t="inlineStr">
        <is>
          <t>***** 物流中心5樓</t>
        </is>
      </c>
      <c r="N195" s="3" t="inlineStr">
        <is>
          <t>北区</t>
        </is>
      </c>
      <c r="O195" s="3" t="inlineStr">
        <is>
          <t>香港</t>
        </is>
      </c>
      <c r="P195" s="3" t="inlineStr">
        <is>
          <t>香港特别行政区</t>
        </is>
      </c>
      <c r="Q195" s="3" t="n">
        <v>449000</v>
      </c>
      <c r="R195" s="3" t="inlineStr">
        <is>
          <t>麥當勞(富善)McDonalds</t>
        </is>
      </c>
      <c r="S195" s="3" t="inlineStr">
        <is>
          <t>****26670558</t>
        </is>
      </c>
      <c r="T195" s="3" t="inlineStr">
        <is>
          <t>****26670558</t>
        </is>
      </c>
      <c r="U195" s="3" t="inlineStr">
        <is>
          <t>***** 下G25號舖</t>
        </is>
      </c>
      <c r="V195" s="3" t="inlineStr">
        <is>
          <t>香港</t>
        </is>
      </c>
      <c r="W195" s="3" t="inlineStr">
        <is>
          <t>纸袋【通版】/ 箱出</t>
        </is>
      </c>
      <c r="X195" s="3" t="inlineStr">
        <is>
          <t>ESS-SFTS-OTMS</t>
        </is>
      </c>
      <c r="Y195" s="3" t="n"/>
      <c r="Z195" s="3" t="inlineStr"/>
      <c r="AA195" s="3" t="inlineStr">
        <is>
          <t>寄付月結</t>
        </is>
      </c>
      <c r="AB195">
        <f>IFERROR(VLOOKUP(Q195&amp;"",對照表!$A:$B,1,FALSE),"")</f>
        <v/>
      </c>
      <c r="AC195">
        <f>IFERROR(VLOOKUP(Q195&amp;"",對照表!$A:$B,2,FALSE),"")</f>
        <v/>
      </c>
    </row>
    <row r="196">
      <c r="A196" s="3" t="inlineStr">
        <is>
          <t>SF5119115817645</t>
        </is>
      </c>
      <c r="B196" s="3" t="n">
        <v>58424106156433</v>
      </c>
      <c r="C196" s="3" t="inlineStr">
        <is>
          <t>已簽收</t>
        </is>
      </c>
      <c r="D196" s="3" t="inlineStr">
        <is>
          <t>2026-07-02 16:40:13</t>
        </is>
      </c>
      <c r="E196" s="3" t="inlineStr">
        <is>
          <t>2026-07-03 11:46</t>
        </is>
      </c>
      <c r="F196" s="3" t="n">
        <v>0.96</v>
      </c>
      <c r="G196" s="3" t="n">
        <v>1</v>
      </c>
      <c r="H196" s="3" t="n"/>
      <c r="I196" s="3" t="inlineStr"/>
      <c r="J196" s="3" t="inlineStr">
        <is>
          <t>Keeta</t>
        </is>
      </c>
      <c r="K196" s="3" t="inlineStr">
        <is>
          <t>****9568</t>
        </is>
      </c>
      <c r="L196" s="3" t="n"/>
      <c r="M196" s="3" t="inlineStr">
        <is>
          <t>***** 物流中心5樓</t>
        </is>
      </c>
      <c r="N196" s="3" t="inlineStr">
        <is>
          <t>北区</t>
        </is>
      </c>
      <c r="O196" s="3" t="inlineStr">
        <is>
          <t>香港</t>
        </is>
      </c>
      <c r="P196" s="3" t="inlineStr">
        <is>
          <t>香港特别行政区</t>
        </is>
      </c>
      <c r="Q196" s="3" t="n">
        <v>721512297</v>
      </c>
      <c r="R196" s="3" t="inlineStr">
        <is>
          <t>焗飯專門店</t>
        </is>
      </c>
      <c r="S196" s="3" t="inlineStr">
        <is>
          <t>****66007820</t>
        </is>
      </c>
      <c r="T196" s="3" t="inlineStr">
        <is>
          <t>****66007820</t>
        </is>
      </c>
      <c r="U196" s="3" t="inlineStr">
        <is>
          <t>***** 6樓A15室</t>
        </is>
      </c>
      <c r="V196" s="3" t="inlineStr">
        <is>
          <t>香港</t>
        </is>
      </c>
      <c r="W196" s="3" t="inlineStr">
        <is>
          <t>封签【通版】/ 扎出</t>
        </is>
      </c>
      <c r="X196" s="3" t="inlineStr">
        <is>
          <t>ESS-SFTS-OTMS</t>
        </is>
      </c>
      <c r="Y196" s="3" t="n"/>
      <c r="Z196" s="3" t="inlineStr"/>
      <c r="AA196" s="3" t="inlineStr">
        <is>
          <t>寄付月結</t>
        </is>
      </c>
      <c r="AB196">
        <f>IFERROR(VLOOKUP(Q196&amp;"",對照表!$A:$B,1,FALSE),"")</f>
        <v/>
      </c>
      <c r="AC196">
        <f>IFERROR(VLOOKUP(Q196&amp;"",對照表!$A:$B,2,FALSE),"")</f>
        <v/>
      </c>
    </row>
    <row r="197">
      <c r="A197" s="3" t="inlineStr">
        <is>
          <t>SF5119115816913</t>
        </is>
      </c>
      <c r="B197" s="3" t="n">
        <v>58424106156281</v>
      </c>
      <c r="C197" s="3" t="inlineStr">
        <is>
          <t>已簽收</t>
        </is>
      </c>
      <c r="D197" s="3" t="inlineStr">
        <is>
          <t>2026-07-02 15:46:32</t>
        </is>
      </c>
      <c r="E197" s="3" t="inlineStr">
        <is>
          <t>2026-07-03 08:55</t>
        </is>
      </c>
      <c r="F197" s="3" t="n">
        <v>58</v>
      </c>
      <c r="G197" s="3" t="n">
        <v>4</v>
      </c>
      <c r="H197" s="3" t="n"/>
      <c r="I197" s="3" t="inlineStr"/>
      <c r="J197" s="3" t="inlineStr">
        <is>
          <t>Keeta</t>
        </is>
      </c>
      <c r="K197" s="3" t="inlineStr">
        <is>
          <t>****9568</t>
        </is>
      </c>
      <c r="L197" s="3" t="n"/>
      <c r="M197" s="3" t="inlineStr">
        <is>
          <t>***** 物流中心5樓</t>
        </is>
      </c>
      <c r="N197" s="3" t="inlineStr">
        <is>
          <t>北区</t>
        </is>
      </c>
      <c r="O197" s="3" t="inlineStr">
        <is>
          <t>香港</t>
        </is>
      </c>
      <c r="P197" s="3" t="inlineStr">
        <is>
          <t>香港特别行政区</t>
        </is>
      </c>
      <c r="Q197" s="3" t="n">
        <v>721426298</v>
      </c>
      <c r="R197" s="3" t="inlineStr">
        <is>
          <t>麥當勞(佐敦)McDonalds</t>
        </is>
      </c>
      <c r="S197" s="3" t="inlineStr">
        <is>
          <t>****23325215</t>
        </is>
      </c>
      <c r="T197" s="3" t="inlineStr">
        <is>
          <t>****23325215</t>
        </is>
      </c>
      <c r="U197" s="3" t="inlineStr">
        <is>
          <t>***** 地下(部分)</t>
        </is>
      </c>
      <c r="V197" s="3" t="inlineStr">
        <is>
          <t>香港</t>
        </is>
      </c>
      <c r="W197" s="3" t="inlineStr">
        <is>
          <t>纸袋【通版】/ 箱出</t>
        </is>
      </c>
      <c r="X197" s="3" t="inlineStr">
        <is>
          <t>ESS-SFTS-OTMS</t>
        </is>
      </c>
      <c r="Y197" s="3" t="n"/>
      <c r="Z197" s="3" t="inlineStr"/>
      <c r="AA197" s="3" t="inlineStr">
        <is>
          <t>寄付月結</t>
        </is>
      </c>
      <c r="AB197">
        <f>IFERROR(VLOOKUP(Q197&amp;"",對照表!$A:$B,1,FALSE),"")</f>
        <v/>
      </c>
      <c r="AC197">
        <f>IFERROR(VLOOKUP(Q197&amp;"",對照表!$A:$B,2,FALSE),"")</f>
        <v/>
      </c>
    </row>
    <row r="198">
      <c r="A198" s="3" t="inlineStr">
        <is>
          <t>SF5119115817909</t>
        </is>
      </c>
      <c r="B198" s="3" t="n">
        <v>58424106188838</v>
      </c>
      <c r="C198" s="3" t="inlineStr">
        <is>
          <t>已簽收</t>
        </is>
      </c>
      <c r="D198" s="3" t="inlineStr">
        <is>
          <t>2026-07-02 14:17:04</t>
        </is>
      </c>
      <c r="E198" s="3" t="inlineStr">
        <is>
          <t>2026-07-03 12:01</t>
        </is>
      </c>
      <c r="F198" s="3" t="n">
        <v>4.45</v>
      </c>
      <c r="G198" s="3" t="n">
        <v>1</v>
      </c>
      <c r="H198" s="3" t="n"/>
      <c r="I198" s="3" t="inlineStr"/>
      <c r="J198" s="3" t="inlineStr">
        <is>
          <t>Keeta</t>
        </is>
      </c>
      <c r="K198" s="3" t="inlineStr">
        <is>
          <t>****9568</t>
        </is>
      </c>
      <c r="L198" s="3" t="n"/>
      <c r="M198" s="3" t="inlineStr">
        <is>
          <t>***** 物流中心5樓</t>
        </is>
      </c>
      <c r="N198" s="3" t="inlineStr">
        <is>
          <t>北区</t>
        </is>
      </c>
      <c r="O198" s="3" t="inlineStr">
        <is>
          <t>香港</t>
        </is>
      </c>
      <c r="P198" s="3" t="inlineStr">
        <is>
          <t>香港特别行政区</t>
        </is>
      </c>
      <c r="Q198" s="3" t="n">
        <v>721528357</v>
      </c>
      <c r="R198" s="3" t="inlineStr">
        <is>
          <t>牛爺燒（旺角太子店）</t>
        </is>
      </c>
      <c r="S198" s="3" t="inlineStr">
        <is>
          <t>****65190072</t>
        </is>
      </c>
      <c r="T198" s="3" t="inlineStr">
        <is>
          <t>****65190072</t>
        </is>
      </c>
      <c r="U198" s="3" t="inlineStr">
        <is>
          <t>***** 號地下A1鋪</t>
        </is>
      </c>
      <c r="V198" s="3" t="inlineStr">
        <is>
          <t>香港</t>
        </is>
      </c>
      <c r="W198" s="3" t="inlineStr">
        <is>
          <t>机纸/小票纸 / 包出</t>
        </is>
      </c>
      <c r="X198" s="3" t="inlineStr">
        <is>
          <t>ESS-SFTS-OTMS</t>
        </is>
      </c>
      <c r="Y198" s="3" t="n"/>
      <c r="Z198" s="3" t="inlineStr"/>
      <c r="AA198" s="3" t="inlineStr">
        <is>
          <t>寄付月結</t>
        </is>
      </c>
      <c r="AB198">
        <f>IFERROR(VLOOKUP(Q198&amp;"",對照表!$A:$B,1,FALSE),"")</f>
        <v/>
      </c>
      <c r="AC198">
        <f>IFERROR(VLOOKUP(Q198&amp;"",對照表!$A:$B,2,FALSE),"")</f>
        <v/>
      </c>
    </row>
    <row r="199">
      <c r="A199" s="3" t="inlineStr">
        <is>
          <t>SF5119115817990</t>
        </is>
      </c>
      <c r="B199" s="3" t="n">
        <v>58424106188858</v>
      </c>
      <c r="C199" s="3" t="inlineStr">
        <is>
          <t>已簽收</t>
        </is>
      </c>
      <c r="D199" s="3" t="inlineStr">
        <is>
          <t>2026-07-02 15:40:15</t>
        </is>
      </c>
      <c r="E199" s="3" t="inlineStr">
        <is>
          <t>2026-07-03 14:05</t>
        </is>
      </c>
      <c r="F199" s="3" t="n">
        <v>14.5</v>
      </c>
      <c r="G199" s="3" t="n">
        <v>1</v>
      </c>
      <c r="H199" s="3" t="n"/>
      <c r="I199" s="3" t="inlineStr"/>
      <c r="J199" s="3" t="inlineStr">
        <is>
          <t>Keeta</t>
        </is>
      </c>
      <c r="K199" s="3" t="inlineStr">
        <is>
          <t>****9568</t>
        </is>
      </c>
      <c r="L199" s="3" t="n"/>
      <c r="M199" s="3" t="inlineStr">
        <is>
          <t>***** 物流中心5樓</t>
        </is>
      </c>
      <c r="N199" s="3" t="inlineStr">
        <is>
          <t>北区</t>
        </is>
      </c>
      <c r="O199" s="3" t="inlineStr">
        <is>
          <t>香港</t>
        </is>
      </c>
      <c r="P199" s="3" t="inlineStr">
        <is>
          <t>香港特别行政区</t>
        </is>
      </c>
      <c r="Q199" s="3" t="n">
        <v>472048</v>
      </c>
      <c r="R199" s="3" t="inlineStr">
        <is>
          <t>麥當勞(又一城III)McDonalds</t>
        </is>
      </c>
      <c r="S199" s="3" t="inlineStr">
        <is>
          <t>****22658232</t>
        </is>
      </c>
      <c r="T199" s="3" t="inlineStr">
        <is>
          <t>****22658232</t>
        </is>
      </c>
      <c r="U199" s="3" t="inlineStr">
        <is>
          <t>***** -01A號舖</t>
        </is>
      </c>
      <c r="V199" s="3" t="inlineStr">
        <is>
          <t>香港</t>
        </is>
      </c>
      <c r="W199" s="3" t="inlineStr">
        <is>
          <t>纸袋【通版】/ 箱出</t>
        </is>
      </c>
      <c r="X199" s="3" t="inlineStr">
        <is>
          <t>ESS-SFTS-OTMS</t>
        </is>
      </c>
      <c r="Y199" s="3" t="n"/>
      <c r="Z199" s="3" t="inlineStr"/>
      <c r="AA199" s="3" t="inlineStr">
        <is>
          <t>寄付月結</t>
        </is>
      </c>
      <c r="AB199">
        <f>IFERROR(VLOOKUP(Q199&amp;"",對照表!$A:$B,1,FALSE),"")</f>
        <v/>
      </c>
      <c r="AC199">
        <f>IFERROR(VLOOKUP(Q199&amp;"",對照表!$A:$B,2,FALSE),"")</f>
        <v/>
      </c>
    </row>
    <row r="200">
      <c r="A200" s="3" t="inlineStr">
        <is>
          <t>SF5119115817627</t>
        </is>
      </c>
      <c r="B200" s="3" t="n">
        <v>58424106156429</v>
      </c>
      <c r="C200" s="3" t="inlineStr">
        <is>
          <t>已簽收</t>
        </is>
      </c>
      <c r="D200" s="3" t="inlineStr">
        <is>
          <t>2026-07-02 14:19:51</t>
        </is>
      </c>
      <c r="E200" s="3" t="inlineStr">
        <is>
          <t>2026-07-03 11:12</t>
        </is>
      </c>
      <c r="F200" s="3" t="n">
        <v>4.45</v>
      </c>
      <c r="G200" s="3" t="n">
        <v>1</v>
      </c>
      <c r="H200" s="3" t="n"/>
      <c r="I200" s="3" t="inlineStr"/>
      <c r="J200" s="3" t="inlineStr">
        <is>
          <t>Keeta</t>
        </is>
      </c>
      <c r="K200" s="3" t="inlineStr">
        <is>
          <t>****9568</t>
        </is>
      </c>
      <c r="L200" s="3" t="n"/>
      <c r="M200" s="3" t="inlineStr">
        <is>
          <t>***** 物流中心5樓</t>
        </is>
      </c>
      <c r="N200" s="3" t="inlineStr">
        <is>
          <t>北区</t>
        </is>
      </c>
      <c r="O200" s="3" t="inlineStr">
        <is>
          <t>香港</t>
        </is>
      </c>
      <c r="P200" s="3" t="inlineStr">
        <is>
          <t>香港特别行政区</t>
        </is>
      </c>
      <c r="Q200" s="3" t="n">
        <v>476466</v>
      </c>
      <c r="R200" s="3" t="inlineStr">
        <is>
          <t>牛極300度石燒牛排專家(銅鑼灣)</t>
        </is>
      </c>
      <c r="S200" s="3" t="inlineStr">
        <is>
          <t>****63888002</t>
        </is>
      </c>
      <c r="T200" s="3" t="inlineStr">
        <is>
          <t>****63888002</t>
        </is>
      </c>
      <c r="U200" s="3" t="inlineStr">
        <is>
          <t>***** C-1D號舖</t>
        </is>
      </c>
      <c r="V200" s="3" t="inlineStr">
        <is>
          <t>香港</t>
        </is>
      </c>
      <c r="W200" s="3" t="inlineStr">
        <is>
          <t>机纸/小票纸 / 包出</t>
        </is>
      </c>
      <c r="X200" s="3" t="inlineStr">
        <is>
          <t>ESS-SFTS-OTMS</t>
        </is>
      </c>
      <c r="Y200" s="3" t="n"/>
      <c r="Z200" s="3" t="inlineStr"/>
      <c r="AA200" s="3" t="inlineStr">
        <is>
          <t>寄付月結</t>
        </is>
      </c>
      <c r="AB200">
        <f>IFERROR(VLOOKUP(Q200&amp;"",對照表!$A:$B,1,FALSE),"")</f>
        <v/>
      </c>
      <c r="AC200">
        <f>IFERROR(VLOOKUP(Q200&amp;"",對照表!$A:$B,2,FALSE),"")</f>
        <v/>
      </c>
    </row>
    <row r="201">
      <c r="A201" s="3" t="inlineStr">
        <is>
          <t>SF5119115817848</t>
        </is>
      </c>
      <c r="B201" s="3" t="n">
        <v>58424106188826</v>
      </c>
      <c r="C201" s="3" t="inlineStr">
        <is>
          <t>已簽收</t>
        </is>
      </c>
      <c r="D201" s="3" t="inlineStr">
        <is>
          <t>2026-07-02 14:16:42</t>
        </is>
      </c>
      <c r="E201" s="3" t="inlineStr">
        <is>
          <t>2026-07-03 12:43</t>
        </is>
      </c>
      <c r="F201" s="3" t="n">
        <v>4.45</v>
      </c>
      <c r="G201" s="3" t="n">
        <v>1</v>
      </c>
      <c r="H201" s="3" t="n"/>
      <c r="I201" s="3" t="inlineStr"/>
      <c r="J201" s="3" t="inlineStr">
        <is>
          <t>Keeta</t>
        </is>
      </c>
      <c r="K201" s="3" t="inlineStr">
        <is>
          <t>****9568</t>
        </is>
      </c>
      <c r="L201" s="3" t="n"/>
      <c r="M201" s="3" t="inlineStr">
        <is>
          <t>***** 物流中心5樓</t>
        </is>
      </c>
      <c r="N201" s="3" t="inlineStr">
        <is>
          <t>北区</t>
        </is>
      </c>
      <c r="O201" s="3" t="inlineStr">
        <is>
          <t>香港</t>
        </is>
      </c>
      <c r="P201" s="3" t="inlineStr">
        <is>
          <t>香港特别行政区</t>
        </is>
      </c>
      <c r="Q201" s="3" t="n">
        <v>465049</v>
      </c>
      <c r="R201" s="3" t="inlineStr">
        <is>
          <t>隨您鍾意日式外賣專門店</t>
        </is>
      </c>
      <c r="S201" s="3" t="inlineStr">
        <is>
          <t>****28332876</t>
        </is>
      </c>
      <c r="T201" s="3" t="inlineStr">
        <is>
          <t>****28332876</t>
        </is>
      </c>
      <c r="U201" s="3" t="inlineStr">
        <is>
          <t>***** 號地舖14號</t>
        </is>
      </c>
      <c r="V201" s="3" t="inlineStr">
        <is>
          <t>香港</t>
        </is>
      </c>
      <c r="W201" s="3" t="inlineStr">
        <is>
          <t>机纸/小票纸 / 包出</t>
        </is>
      </c>
      <c r="X201" s="3" t="inlineStr">
        <is>
          <t>ESS-SFTS-OTMS</t>
        </is>
      </c>
      <c r="Y201" s="3" t="n"/>
      <c r="Z201" s="3" t="inlineStr"/>
      <c r="AA201" s="3" t="inlineStr">
        <is>
          <t>寄付月結</t>
        </is>
      </c>
      <c r="AB201">
        <f>IFERROR(VLOOKUP(Q201&amp;"",對照表!$A:$B,1,FALSE),"")</f>
        <v/>
      </c>
      <c r="AC201">
        <f>IFERROR(VLOOKUP(Q201&amp;"",對照表!$A:$B,2,FALSE),"")</f>
        <v/>
      </c>
    </row>
    <row r="202">
      <c r="A202" s="3" t="inlineStr">
        <is>
          <t>SF5119115817732</t>
        </is>
      </c>
      <c r="B202" s="3" t="n">
        <v>58424106188802</v>
      </c>
      <c r="C202" s="3" t="inlineStr">
        <is>
          <t>已簽收</t>
        </is>
      </c>
      <c r="D202" s="3" t="inlineStr">
        <is>
          <t>2026-07-02 14:16:58</t>
        </is>
      </c>
      <c r="E202" s="3" t="inlineStr">
        <is>
          <t>2026-07-03 11:55</t>
        </is>
      </c>
      <c r="F202" s="3" t="n">
        <v>4.45</v>
      </c>
      <c r="G202" s="3" t="n">
        <v>1</v>
      </c>
      <c r="H202" s="3" t="n"/>
      <c r="I202" s="3" t="inlineStr"/>
      <c r="J202" s="3" t="inlineStr">
        <is>
          <t>Keeta</t>
        </is>
      </c>
      <c r="K202" s="3" t="inlineStr">
        <is>
          <t>****9568</t>
        </is>
      </c>
      <c r="L202" s="3" t="n"/>
      <c r="M202" s="3" t="inlineStr">
        <is>
          <t>***** 物流中心5樓</t>
        </is>
      </c>
      <c r="N202" s="3" t="inlineStr">
        <is>
          <t>北区</t>
        </is>
      </c>
      <c r="O202" s="3" t="inlineStr">
        <is>
          <t>香港</t>
        </is>
      </c>
      <c r="P202" s="3" t="inlineStr">
        <is>
          <t>香港特别行政区</t>
        </is>
      </c>
      <c r="Q202" s="3" t="n">
        <v>721444350</v>
      </c>
      <c r="R202" s="3" t="inlineStr">
        <is>
          <t>NoodleTownTimeOut推介韓式中華料理</t>
        </is>
      </c>
      <c r="S202" s="3" t="inlineStr">
        <is>
          <t>****92318934</t>
        </is>
      </c>
      <c r="T202" s="3" t="inlineStr">
        <is>
          <t>****92318934</t>
        </is>
      </c>
      <c r="U202" s="3" t="inlineStr">
        <is>
          <t>***** OP B&amp;C</t>
        </is>
      </c>
      <c r="V202" s="3" t="inlineStr">
        <is>
          <t>香港</t>
        </is>
      </c>
      <c r="W202" s="3" t="inlineStr">
        <is>
          <t>机纸/小票纸 / 包出</t>
        </is>
      </c>
      <c r="X202" s="3" t="inlineStr">
        <is>
          <t>ESS-SFTS-OTMS</t>
        </is>
      </c>
      <c r="Y202" s="3" t="n"/>
      <c r="Z202" s="3" t="inlineStr"/>
      <c r="AA202" s="3" t="inlineStr">
        <is>
          <t>寄付月結</t>
        </is>
      </c>
      <c r="AB202">
        <f>IFERROR(VLOOKUP(Q202&amp;"",對照表!$A:$B,1,FALSE),"")</f>
        <v/>
      </c>
      <c r="AC202">
        <f>IFERROR(VLOOKUP(Q202&amp;"",對照表!$A:$B,2,FALSE),"")</f>
        <v/>
      </c>
    </row>
    <row r="203">
      <c r="A203" s="3" t="inlineStr">
        <is>
          <t>SF5119115817705</t>
        </is>
      </c>
      <c r="B203" s="3" t="n">
        <v>58424106156444</v>
      </c>
      <c r="C203" s="3" t="inlineStr">
        <is>
          <t>已簽收</t>
        </is>
      </c>
      <c r="D203" s="3" t="inlineStr">
        <is>
          <t>2026-07-02 15:17:04</t>
        </is>
      </c>
      <c r="E203" s="3" t="inlineStr">
        <is>
          <t>2026-07-03 17:01</t>
        </is>
      </c>
      <c r="F203" s="3" t="n">
        <v>2.36</v>
      </c>
      <c r="G203" s="3" t="n">
        <v>1</v>
      </c>
      <c r="H203" s="3" t="n"/>
      <c r="I203" s="3" t="inlineStr"/>
      <c r="J203" s="3" t="inlineStr">
        <is>
          <t>Keeta</t>
        </is>
      </c>
      <c r="K203" s="3" t="inlineStr">
        <is>
          <t>****9568</t>
        </is>
      </c>
      <c r="L203" s="3" t="n"/>
      <c r="M203" s="3" t="inlineStr">
        <is>
          <t>***** 物流中心5樓</t>
        </is>
      </c>
      <c r="N203" s="3" t="inlineStr">
        <is>
          <t>北区</t>
        </is>
      </c>
      <c r="O203" s="3" t="inlineStr">
        <is>
          <t>香港</t>
        </is>
      </c>
      <c r="P203" s="3" t="inlineStr">
        <is>
          <t>香港特别行政区</t>
        </is>
      </c>
      <c r="Q203" s="3" t="n">
        <v>461983</v>
      </c>
      <c r="R203" s="3" t="inlineStr">
        <is>
          <t>翠苑餐廳</t>
        </is>
      </c>
      <c r="S203" s="3" t="inlineStr">
        <is>
          <t>****91031380</t>
        </is>
      </c>
      <c r="T203" s="3" t="inlineStr">
        <is>
          <t>****91031380</t>
        </is>
      </c>
      <c r="U203" s="3" t="inlineStr">
        <is>
          <t>***** -116號舖</t>
        </is>
      </c>
      <c r="V203" s="3" t="inlineStr">
        <is>
          <t>香港</t>
        </is>
      </c>
      <c r="W203" s="3" t="inlineStr">
        <is>
          <t>机纸/小票纸 / 包出</t>
        </is>
      </c>
      <c r="X203" s="3" t="inlineStr">
        <is>
          <t>ESS-SFTS-OTMS</t>
        </is>
      </c>
      <c r="Y203" s="3" t="n"/>
      <c r="Z203" s="3" t="inlineStr"/>
      <c r="AA203" s="3" t="inlineStr">
        <is>
          <t>寄付月結</t>
        </is>
      </c>
      <c r="AB203">
        <f>IFERROR(VLOOKUP(Q203&amp;"",對照表!$A:$B,1,FALSE),"")</f>
        <v/>
      </c>
      <c r="AC203">
        <f>IFERROR(VLOOKUP(Q203&amp;"",對照表!$A:$B,2,FALSE),"")</f>
        <v/>
      </c>
    </row>
    <row r="204">
      <c r="A204" s="3" t="inlineStr">
        <is>
          <t>SF5119115817884</t>
        </is>
      </c>
      <c r="B204" s="3" t="n">
        <v>58424106188835</v>
      </c>
      <c r="C204" s="3" t="inlineStr">
        <is>
          <t>已簽收</t>
        </is>
      </c>
      <c r="D204" s="3" t="inlineStr">
        <is>
          <t>2026-07-02 15:16:51</t>
        </is>
      </c>
      <c r="E204" s="3" t="inlineStr">
        <is>
          <t>2026-07-03 10:11</t>
        </is>
      </c>
      <c r="F204" s="3" t="n">
        <v>2.36</v>
      </c>
      <c r="G204" s="3" t="n">
        <v>1</v>
      </c>
      <c r="H204" s="3" t="n"/>
      <c r="I204" s="3" t="inlineStr"/>
      <c r="J204" s="3" t="inlineStr">
        <is>
          <t>Keeta</t>
        </is>
      </c>
      <c r="K204" s="3" t="inlineStr">
        <is>
          <t>****9568</t>
        </is>
      </c>
      <c r="L204" s="3" t="n"/>
      <c r="M204" s="3" t="inlineStr">
        <is>
          <t>***** 物流中心5樓</t>
        </is>
      </c>
      <c r="N204" s="3" t="inlineStr">
        <is>
          <t>北区</t>
        </is>
      </c>
      <c r="O204" s="3" t="inlineStr">
        <is>
          <t>香港</t>
        </is>
      </c>
      <c r="P204" s="3" t="inlineStr">
        <is>
          <t>香港特别行政区</t>
        </is>
      </c>
      <c r="Q204" s="3" t="n">
        <v>478168</v>
      </c>
      <c r="R204" s="3" t="inlineStr">
        <is>
          <t>正斗滷鵝(西營盤老字號超抵滷鵝套餐)</t>
        </is>
      </c>
      <c r="S204" s="3" t="inlineStr">
        <is>
          <t>****25487389</t>
        </is>
      </c>
      <c r="T204" s="3" t="inlineStr">
        <is>
          <t>****25487389</t>
        </is>
      </c>
      <c r="U204" s="3" t="inlineStr">
        <is>
          <t>***** 256號地下</t>
        </is>
      </c>
      <c r="V204" s="3" t="inlineStr">
        <is>
          <t>香港</t>
        </is>
      </c>
      <c r="W204" s="3" t="inlineStr">
        <is>
          <t>机纸/小票纸 / 包出</t>
        </is>
      </c>
      <c r="X204" s="3" t="inlineStr">
        <is>
          <t>ESS-SFTS-OTMS</t>
        </is>
      </c>
      <c r="Y204" s="3" t="n"/>
      <c r="Z204" s="3" t="inlineStr"/>
      <c r="AA204" s="3" t="inlineStr">
        <is>
          <t>寄付月結</t>
        </is>
      </c>
      <c r="AB204">
        <f>IFERROR(VLOOKUP(Q204&amp;"",對照表!$A:$B,1,FALSE),"")</f>
        <v/>
      </c>
      <c r="AC204">
        <f>IFERROR(VLOOKUP(Q204&amp;"",對照表!$A:$B,2,FALSE),"")</f>
        <v/>
      </c>
    </row>
    <row r="205">
      <c r="A205" s="3" t="inlineStr">
        <is>
          <t>SF5119115818002</t>
        </is>
      </c>
      <c r="B205" s="3" t="n">
        <v>58424106188861</v>
      </c>
      <c r="C205" s="3" t="inlineStr">
        <is>
          <t>已簽收</t>
        </is>
      </c>
      <c r="D205" s="3" t="inlineStr">
        <is>
          <t>2026-07-02 16:58:01</t>
        </is>
      </c>
      <c r="E205" s="3" t="inlineStr">
        <is>
          <t>2026-07-03 13:52</t>
        </is>
      </c>
      <c r="F205" s="3" t="n">
        <v>29</v>
      </c>
      <c r="G205" s="3" t="n">
        <v>2</v>
      </c>
      <c r="H205" s="3" t="n"/>
      <c r="I205" s="3" t="inlineStr"/>
      <c r="J205" s="3" t="inlineStr">
        <is>
          <t>Keeta</t>
        </is>
      </c>
      <c r="K205" s="3" t="inlineStr">
        <is>
          <t>****9568</t>
        </is>
      </c>
      <c r="L205" s="3" t="n"/>
      <c r="M205" s="3" t="inlineStr">
        <is>
          <t>***** 物流中心5樓</t>
        </is>
      </c>
      <c r="N205" s="3" t="inlineStr">
        <is>
          <t>北区</t>
        </is>
      </c>
      <c r="O205" s="3" t="inlineStr">
        <is>
          <t>香港</t>
        </is>
      </c>
      <c r="P205" s="3" t="inlineStr">
        <is>
          <t>香港特别行政区</t>
        </is>
      </c>
      <c r="Q205" s="3" t="n">
        <v>448618</v>
      </c>
      <c r="R205" s="3" t="inlineStr">
        <is>
          <t>麥當勞(囍寓)McDonalds</t>
        </is>
      </c>
      <c r="S205" s="3" t="inlineStr">
        <is>
          <t>****28277537</t>
        </is>
      </c>
      <c r="T205" s="3" t="inlineStr">
        <is>
          <t>****28277537</t>
        </is>
      </c>
      <c r="U205" s="3" t="inlineStr">
        <is>
          <t>***** 庫及地下部份</t>
        </is>
      </c>
      <c r="V205" s="3" t="inlineStr">
        <is>
          <t>香港</t>
        </is>
      </c>
      <c r="W205" s="3" t="inlineStr">
        <is>
          <t>纸袋【通版】/ 箱出</t>
        </is>
      </c>
      <c r="X205" s="3" t="inlineStr">
        <is>
          <t>ESS-SFTS-OTMS</t>
        </is>
      </c>
      <c r="Y205" s="3" t="n"/>
      <c r="Z205" s="3" t="inlineStr"/>
      <c r="AA205" s="3" t="inlineStr">
        <is>
          <t>寄付月結</t>
        </is>
      </c>
      <c r="AB205">
        <f>IFERROR(VLOOKUP(Q205&amp;"",對照表!$A:$B,1,FALSE),"")</f>
        <v/>
      </c>
      <c r="AC205">
        <f>IFERROR(VLOOKUP(Q205&amp;"",對照表!$A:$B,2,FALSE),"")</f>
        <v/>
      </c>
    </row>
    <row r="206">
      <c r="A206" s="3" t="inlineStr">
        <is>
          <t>SF5119115817593</t>
        </is>
      </c>
      <c r="B206" s="3" t="n">
        <v>58424106156423</v>
      </c>
      <c r="C206" s="3" t="inlineStr">
        <is>
          <t>已簽收</t>
        </is>
      </c>
      <c r="D206" s="3" t="inlineStr">
        <is>
          <t>2026-07-02 15:39:22</t>
        </is>
      </c>
      <c r="E206" s="3" t="inlineStr">
        <is>
          <t>2026-07-03 11:37</t>
        </is>
      </c>
      <c r="F206" s="3" t="n">
        <v>43.5</v>
      </c>
      <c r="G206" s="3" t="n">
        <v>3</v>
      </c>
      <c r="H206" s="3" t="n"/>
      <c r="I206" s="3" t="inlineStr"/>
      <c r="J206" s="3" t="inlineStr">
        <is>
          <t>Keeta</t>
        </is>
      </c>
      <c r="K206" s="3" t="inlineStr">
        <is>
          <t>****9568</t>
        </is>
      </c>
      <c r="L206" s="3" t="n"/>
      <c r="M206" s="3" t="inlineStr">
        <is>
          <t>***** 物流中心5樓</t>
        </is>
      </c>
      <c r="N206" s="3" t="inlineStr">
        <is>
          <t>北区</t>
        </is>
      </c>
      <c r="O206" s="3" t="inlineStr">
        <is>
          <t>香港</t>
        </is>
      </c>
      <c r="P206" s="3" t="inlineStr">
        <is>
          <t>香港特别行政区</t>
        </is>
      </c>
      <c r="Q206" s="3" t="n">
        <v>455432</v>
      </c>
      <c r="R206" s="3" t="inlineStr">
        <is>
          <t>麥當勞(利東)McDonalds</t>
        </is>
      </c>
      <c r="S206" s="3" t="inlineStr">
        <is>
          <t>****28749654</t>
        </is>
      </c>
      <c r="T206" s="3" t="inlineStr">
        <is>
          <t>****28749654</t>
        </is>
      </c>
      <c r="U206" s="3" t="inlineStr">
        <is>
          <t>***** 期212號舖</t>
        </is>
      </c>
      <c r="V206" s="3" t="inlineStr">
        <is>
          <t>香港</t>
        </is>
      </c>
      <c r="W206" s="3" t="inlineStr">
        <is>
          <t>纸袋【通版】/ 箱出</t>
        </is>
      </c>
      <c r="X206" s="3" t="inlineStr">
        <is>
          <t>ESS-SFTS-OTMS</t>
        </is>
      </c>
      <c r="Y206" s="3" t="n"/>
      <c r="Z206" s="3" t="inlineStr"/>
      <c r="AA206" s="3" t="inlineStr">
        <is>
          <t>寄付月結</t>
        </is>
      </c>
      <c r="AB206">
        <f>IFERROR(VLOOKUP(Q206&amp;"",對照表!$A:$B,1,FALSE),"")</f>
        <v/>
      </c>
      <c r="AC206">
        <f>IFERROR(VLOOKUP(Q206&amp;"",對照表!$A:$B,2,FALSE),"")</f>
        <v/>
      </c>
    </row>
    <row r="207">
      <c r="A207" s="3" t="inlineStr">
        <is>
          <t>SF5119115817945</t>
        </is>
      </c>
      <c r="B207" s="3" t="n">
        <v>58424106188848</v>
      </c>
      <c r="C207" s="3" t="inlineStr">
        <is>
          <t>已簽收</t>
        </is>
      </c>
      <c r="D207" s="3" t="inlineStr">
        <is>
          <t>2026-07-02 14:16:56</t>
        </is>
      </c>
      <c r="E207" s="3" t="inlineStr">
        <is>
          <t>2026-07-03 13:49</t>
        </is>
      </c>
      <c r="F207" s="3" t="n">
        <v>4.45</v>
      </c>
      <c r="G207" s="3" t="n">
        <v>1</v>
      </c>
      <c r="H207" s="3" t="n"/>
      <c r="I207" s="3" t="inlineStr"/>
      <c r="J207" s="3" t="inlineStr">
        <is>
          <t>Keeta</t>
        </is>
      </c>
      <c r="K207" s="3" t="inlineStr">
        <is>
          <t>****9568</t>
        </is>
      </c>
      <c r="L207" s="3" t="n"/>
      <c r="M207" s="3" t="inlineStr">
        <is>
          <t>***** 物流中心5樓</t>
        </is>
      </c>
      <c r="N207" s="3" t="inlineStr">
        <is>
          <t>北区</t>
        </is>
      </c>
      <c r="O207" s="3" t="inlineStr">
        <is>
          <t>香港</t>
        </is>
      </c>
      <c r="P207" s="3" t="inlineStr">
        <is>
          <t>香港特别行政区</t>
        </is>
      </c>
      <c r="Q207" s="3" t="n">
        <v>405627</v>
      </c>
      <c r="R207" s="3" t="inlineStr">
        <is>
          <t>德豐打冷粉麵餐廳TakFungNoodlesRestaurant</t>
        </is>
      </c>
      <c r="S207" s="3" t="inlineStr">
        <is>
          <t>****61909578</t>
        </is>
      </c>
      <c r="T207" s="3" t="inlineStr">
        <is>
          <t>****61909578</t>
        </is>
      </c>
      <c r="U207" s="3" t="inlineStr">
        <is>
          <t>***** 147號地舖</t>
        </is>
      </c>
      <c r="V207" s="3" t="inlineStr">
        <is>
          <t>香港</t>
        </is>
      </c>
      <c r="W207" s="3" t="inlineStr">
        <is>
          <t>机纸/小票纸 / 包出</t>
        </is>
      </c>
      <c r="X207" s="3" t="inlineStr">
        <is>
          <t>ESS-SFTS-OTMS</t>
        </is>
      </c>
      <c r="Y207" s="3" t="n"/>
      <c r="Z207" s="3" t="inlineStr"/>
      <c r="AA207" s="3" t="inlineStr">
        <is>
          <t>寄付月結</t>
        </is>
      </c>
      <c r="AB207">
        <f>IFERROR(VLOOKUP(Q207&amp;"",對照表!$A:$B,1,FALSE),"")</f>
        <v/>
      </c>
      <c r="AC207">
        <f>IFERROR(VLOOKUP(Q207&amp;"",對照表!$A:$B,2,FALSE),"")</f>
        <v/>
      </c>
    </row>
    <row r="208">
      <c r="A208" s="3" t="inlineStr">
        <is>
          <t>SF5119115818093</t>
        </is>
      </c>
      <c r="B208" s="3" t="n">
        <v>58424106188879</v>
      </c>
      <c r="C208" s="3" t="inlineStr">
        <is>
          <t>已簽收</t>
        </is>
      </c>
      <c r="D208" s="3" t="inlineStr">
        <is>
          <t>2026-07-02 15:17:00</t>
        </is>
      </c>
      <c r="E208" s="3" t="inlineStr">
        <is>
          <t>2026-07-03 13:53</t>
        </is>
      </c>
      <c r="F208" s="3" t="n">
        <v>1.5</v>
      </c>
      <c r="G208" s="3" t="n">
        <v>1</v>
      </c>
      <c r="H208" s="3" t="n"/>
      <c r="I208" s="3" t="inlineStr"/>
      <c r="J208" s="3" t="inlineStr">
        <is>
          <t>Keeta</t>
        </is>
      </c>
      <c r="K208" s="3" t="inlineStr">
        <is>
          <t>****9568</t>
        </is>
      </c>
      <c r="L208" s="3" t="n"/>
      <c r="M208" s="3" t="inlineStr">
        <is>
          <t>***** 物流中心5樓</t>
        </is>
      </c>
      <c r="N208" s="3" t="inlineStr">
        <is>
          <t>北区</t>
        </is>
      </c>
      <c r="O208" s="3" t="inlineStr">
        <is>
          <t>香港</t>
        </is>
      </c>
      <c r="P208" s="3" t="inlineStr">
        <is>
          <t>香港特别行政区</t>
        </is>
      </c>
      <c r="Q208" s="3" t="n">
        <v>721446391</v>
      </c>
      <c r="R208" s="3" t="inlineStr">
        <is>
          <t>TamSang(泰式地道美食)</t>
        </is>
      </c>
      <c r="S208" s="3" t="inlineStr">
        <is>
          <t>****98897667</t>
        </is>
      </c>
      <c r="T208" s="3" t="inlineStr">
        <is>
          <t>****98897667</t>
        </is>
      </c>
      <c r="U208" s="3" t="inlineStr">
        <is>
          <t>***** g Kong</t>
        </is>
      </c>
      <c r="V208" s="3" t="inlineStr">
        <is>
          <t>香港</t>
        </is>
      </c>
      <c r="W208" s="3" t="inlineStr">
        <is>
          <t>机纸/小票纸 / 包出</t>
        </is>
      </c>
      <c r="X208" s="3" t="inlineStr">
        <is>
          <t>ESS-SFTS-OTMS</t>
        </is>
      </c>
      <c r="Y208" s="3" t="n"/>
      <c r="Z208" s="3" t="inlineStr"/>
      <c r="AA208" s="3" t="inlineStr">
        <is>
          <t>寄付月結</t>
        </is>
      </c>
      <c r="AB208">
        <f>IFERROR(VLOOKUP(Q208&amp;"",對照表!$A:$B,1,FALSE),"")</f>
        <v/>
      </c>
      <c r="AC208">
        <f>IFERROR(VLOOKUP(Q208&amp;"",對照表!$A:$B,2,FALSE),"")</f>
        <v/>
      </c>
    </row>
    <row r="209">
      <c r="A209" s="3" t="inlineStr">
        <is>
          <t>SF5119115817496</t>
        </is>
      </c>
      <c r="B209" s="3" t="n">
        <v>58424106156402</v>
      </c>
      <c r="C209" s="3" t="inlineStr">
        <is>
          <t>已簽收</t>
        </is>
      </c>
      <c r="D209" s="3" t="inlineStr">
        <is>
          <t>2026-07-02 16:59:08</t>
        </is>
      </c>
      <c r="E209" s="3" t="inlineStr">
        <is>
          <t>2026-07-03 12:37</t>
        </is>
      </c>
      <c r="F209" s="3" t="n">
        <v>11.59</v>
      </c>
      <c r="G209" s="3" t="n">
        <v>1</v>
      </c>
      <c r="H209" s="3" t="n"/>
      <c r="I209" s="3" t="inlineStr"/>
      <c r="J209" s="3" t="inlineStr">
        <is>
          <t>Keeta</t>
        </is>
      </c>
      <c r="K209" s="3" t="inlineStr">
        <is>
          <t>****9568</t>
        </is>
      </c>
      <c r="L209" s="3" t="n"/>
      <c r="M209" s="3" t="inlineStr">
        <is>
          <t>***** 物流中心5樓</t>
        </is>
      </c>
      <c r="N209" s="3" t="inlineStr">
        <is>
          <t>北区</t>
        </is>
      </c>
      <c r="O209" s="3" t="inlineStr">
        <is>
          <t>香港</t>
        </is>
      </c>
      <c r="P209" s="3" t="inlineStr">
        <is>
          <t>香港特别行政区</t>
        </is>
      </c>
      <c r="Q209" s="3" t="n">
        <v>750746</v>
      </c>
      <c r="R209" s="3" t="inlineStr">
        <is>
          <t>牛品x一品手作（銅鑼灣店）新出台灣料理招牌台灣甜品奶茶招牌便當送珍珠奶茶</t>
        </is>
      </c>
      <c r="S209" s="3" t="inlineStr">
        <is>
          <t>****62329999</t>
        </is>
      </c>
      <c r="T209" s="3" t="inlineStr">
        <is>
          <t>****62329999</t>
        </is>
      </c>
      <c r="U209" s="3" t="inlineStr">
        <is>
          <t>***** TOWN1樓</t>
        </is>
      </c>
      <c r="V209" s="3" t="inlineStr">
        <is>
          <t>香港</t>
        </is>
      </c>
      <c r="W209" s="3" t="inlineStr">
        <is>
          <t>无纺布【规格四大号】/ 箱出</t>
        </is>
      </c>
      <c r="X209" s="3" t="inlineStr">
        <is>
          <t>ESS-SFTS-OTMS</t>
        </is>
      </c>
      <c r="Y209" s="3" t="n"/>
      <c r="Z209" s="3" t="inlineStr"/>
      <c r="AA209" s="3" t="inlineStr">
        <is>
          <t>寄付月結</t>
        </is>
      </c>
      <c r="AB209">
        <f>IFERROR(VLOOKUP(Q209&amp;"",對照表!$A:$B,1,FALSE),"")</f>
        <v/>
      </c>
      <c r="AC209">
        <f>IFERROR(VLOOKUP(Q209&amp;"",對照表!$A:$B,2,FALSE),"")</f>
        <v/>
      </c>
    </row>
    <row r="210">
      <c r="A210" s="3" t="inlineStr">
        <is>
          <t>SF5119115817811</t>
        </is>
      </c>
      <c r="B210" s="3" t="n">
        <v>58424106188821</v>
      </c>
      <c r="C210" s="3" t="inlineStr">
        <is>
          <t>已簽收</t>
        </is>
      </c>
      <c r="D210" s="3" t="inlineStr">
        <is>
          <t>2026-07-02 14:16:52</t>
        </is>
      </c>
      <c r="E210" s="3" t="inlineStr">
        <is>
          <t>2026-07-03 16:38</t>
        </is>
      </c>
      <c r="F210" s="3" t="n">
        <v>4.45</v>
      </c>
      <c r="G210" s="3" t="n">
        <v>1</v>
      </c>
      <c r="H210" s="3" t="n"/>
      <c r="I210" s="3" t="inlineStr"/>
      <c r="J210" s="3" t="inlineStr">
        <is>
          <t>Keeta</t>
        </is>
      </c>
      <c r="K210" s="3" t="inlineStr">
        <is>
          <t>****9568</t>
        </is>
      </c>
      <c r="L210" s="3" t="n"/>
      <c r="M210" s="3" t="inlineStr">
        <is>
          <t>***** 物流中心5樓</t>
        </is>
      </c>
      <c r="N210" s="3" t="inlineStr">
        <is>
          <t>北区</t>
        </is>
      </c>
      <c r="O210" s="3" t="inlineStr">
        <is>
          <t>香港</t>
        </is>
      </c>
      <c r="P210" s="3" t="inlineStr">
        <is>
          <t>香港特别行政区</t>
        </is>
      </c>
      <c r="Q210" s="3" t="n">
        <v>399008</v>
      </c>
      <c r="R210" s="3" t="inlineStr">
        <is>
          <t>首爾石鍋燒</t>
        </is>
      </c>
      <c r="S210" s="3" t="inlineStr">
        <is>
          <t>****92016319</t>
        </is>
      </c>
      <c r="T210" s="3" t="inlineStr">
        <is>
          <t>****92016319</t>
        </is>
      </c>
      <c r="U210" s="3" t="inlineStr">
        <is>
          <t>***** 街21號地舖</t>
        </is>
      </c>
      <c r="V210" s="3" t="inlineStr">
        <is>
          <t>香港</t>
        </is>
      </c>
      <c r="W210" s="3" t="inlineStr">
        <is>
          <t>机纸/小票纸 / 包出</t>
        </is>
      </c>
      <c r="X210" s="3" t="inlineStr">
        <is>
          <t>ESS-SFTS-OTMS</t>
        </is>
      </c>
      <c r="Y210" s="3" t="n"/>
      <c r="Z210" s="3" t="inlineStr"/>
      <c r="AA210" s="3" t="inlineStr">
        <is>
          <t>寄付月結</t>
        </is>
      </c>
      <c r="AB210">
        <f>IFERROR(VLOOKUP(Q210&amp;"",對照表!$A:$B,1,FALSE),"")</f>
        <v/>
      </c>
      <c r="AC210">
        <f>IFERROR(VLOOKUP(Q210&amp;"",對照表!$A:$B,2,FALSE),"")</f>
        <v/>
      </c>
    </row>
    <row r="211">
      <c r="A211" s="3" t="inlineStr">
        <is>
          <t>SF5119115817796</t>
        </is>
      </c>
      <c r="B211" s="3" t="n">
        <v>58424106188814</v>
      </c>
      <c r="C211" s="3" t="inlineStr">
        <is>
          <t>已簽收</t>
        </is>
      </c>
      <c r="D211" s="3" t="inlineStr">
        <is>
          <t>2026-07-02 15:39:11</t>
        </is>
      </c>
      <c r="E211" s="3" t="inlineStr">
        <is>
          <t>2026-07-03 15:23</t>
        </is>
      </c>
      <c r="F211" s="3" t="n">
        <v>43.5</v>
      </c>
      <c r="G211" s="3" t="n">
        <v>3</v>
      </c>
      <c r="H211" s="3" t="n"/>
      <c r="I211" s="3" t="inlineStr"/>
      <c r="J211" s="3" t="inlineStr">
        <is>
          <t>Keeta</t>
        </is>
      </c>
      <c r="K211" s="3" t="inlineStr">
        <is>
          <t>****9568</t>
        </is>
      </c>
      <c r="L211" s="3" t="n"/>
      <c r="M211" s="3" t="inlineStr">
        <is>
          <t>***** 物流中心5樓</t>
        </is>
      </c>
      <c r="N211" s="3" t="inlineStr">
        <is>
          <t>北区</t>
        </is>
      </c>
      <c r="O211" s="3" t="inlineStr">
        <is>
          <t>香港</t>
        </is>
      </c>
      <c r="P211" s="3" t="inlineStr">
        <is>
          <t>香港特别行政区</t>
        </is>
      </c>
      <c r="Q211" s="3" t="n">
        <v>721433336</v>
      </c>
      <c r="R211" s="3" t="inlineStr">
        <is>
          <t>麥當勞(美孚廣場)McDonalds</t>
        </is>
      </c>
      <c r="S211" s="3" t="inlineStr">
        <is>
          <t>****21483022</t>
        </is>
      </c>
      <c r="T211" s="3" t="inlineStr">
        <is>
          <t>****21483022</t>
        </is>
      </c>
      <c r="U211" s="3" t="inlineStr">
        <is>
          <t>***** 樓119號舖</t>
        </is>
      </c>
      <c r="V211" s="3" t="inlineStr">
        <is>
          <t>香港</t>
        </is>
      </c>
      <c r="W211" s="3" t="inlineStr">
        <is>
          <t>纸袋【通版】/ 箱出</t>
        </is>
      </c>
      <c r="X211" s="3" t="inlineStr">
        <is>
          <t>ESS-SFTS-OTMS</t>
        </is>
      </c>
      <c r="Y211" s="3" t="n"/>
      <c r="Z211" s="3" t="inlineStr"/>
      <c r="AA211" s="3" t="inlineStr">
        <is>
          <t>寄付月結</t>
        </is>
      </c>
      <c r="AB211">
        <f>IFERROR(VLOOKUP(Q211&amp;"",對照表!$A:$B,1,FALSE),"")</f>
        <v/>
      </c>
      <c r="AC211">
        <f>IFERROR(VLOOKUP(Q211&amp;"",對照表!$A:$B,2,FALSE),"")</f>
        <v/>
      </c>
    </row>
    <row r="212">
      <c r="A212" s="3" t="inlineStr">
        <is>
          <t>SF5119115818020</t>
        </is>
      </c>
      <c r="B212" s="3" t="n">
        <v>58424106188865</v>
      </c>
      <c r="C212" s="3" t="inlineStr">
        <is>
          <t>已簽收</t>
        </is>
      </c>
      <c r="D212" s="3" t="inlineStr">
        <is>
          <t>2026-07-02 17:03:17</t>
        </is>
      </c>
      <c r="E212" s="3" t="inlineStr">
        <is>
          <t>2026-07-03 10:29</t>
        </is>
      </c>
      <c r="F212" s="3" t="n">
        <v>5.12</v>
      </c>
      <c r="G212" s="3" t="n">
        <v>1</v>
      </c>
      <c r="H212" s="3" t="n"/>
      <c r="I212" s="3" t="inlineStr"/>
      <c r="J212" s="3" t="inlineStr">
        <is>
          <t>Keeta</t>
        </is>
      </c>
      <c r="K212" s="3" t="inlineStr">
        <is>
          <t>****9568</t>
        </is>
      </c>
      <c r="L212" s="3" t="n"/>
      <c r="M212" s="3" t="inlineStr">
        <is>
          <t>***** 物流中心5樓</t>
        </is>
      </c>
      <c r="N212" s="3" t="inlineStr">
        <is>
          <t>北区</t>
        </is>
      </c>
      <c r="O212" s="3" t="inlineStr">
        <is>
          <t>香港</t>
        </is>
      </c>
      <c r="P212" s="3" t="inlineStr">
        <is>
          <t>香港特别行政区</t>
        </is>
      </c>
      <c r="Q212" s="3" t="n">
        <v>721497290</v>
      </c>
      <c r="R212" s="3" t="inlineStr">
        <is>
          <t>KidsbayFresh新鮮輕食首選(柴灣店)</t>
        </is>
      </c>
      <c r="S212" s="3" t="inlineStr">
        <is>
          <t>****91472910</t>
        </is>
      </c>
      <c r="T212" s="3" t="inlineStr">
        <is>
          <t>****91472910</t>
        </is>
      </c>
      <c r="U212" s="3" t="inlineStr">
        <is>
          <t>***** 樓A3室G室</t>
        </is>
      </c>
      <c r="V212" s="3" t="inlineStr">
        <is>
          <t>香港</t>
        </is>
      </c>
      <c r="W212" s="3" t="inlineStr">
        <is>
          <t>塑料袋【大】/ 扎出</t>
        </is>
      </c>
      <c r="X212" s="3" t="inlineStr">
        <is>
          <t>ESS-SFTS-OTMS</t>
        </is>
      </c>
      <c r="Y212" s="3" t="n"/>
      <c r="Z212" s="3" t="inlineStr"/>
      <c r="AA212" s="3" t="inlineStr">
        <is>
          <t>寄付月結</t>
        </is>
      </c>
      <c r="AB212">
        <f>IFERROR(VLOOKUP(Q212&amp;"",對照表!$A:$B,1,FALSE),"")</f>
        <v/>
      </c>
      <c r="AC212">
        <f>IFERROR(VLOOKUP(Q212&amp;"",對照表!$A:$B,2,FALSE),"")</f>
        <v/>
      </c>
    </row>
    <row r="213">
      <c r="A213" s="3" t="inlineStr">
        <is>
          <t>SF5119115818066</t>
        </is>
      </c>
      <c r="B213" s="3" t="n">
        <v>58424106188873</v>
      </c>
      <c r="C213" s="3" t="inlineStr">
        <is>
          <t>已簽收</t>
        </is>
      </c>
      <c r="D213" s="3" t="inlineStr">
        <is>
          <t>2026-07-02 15:16:58</t>
        </is>
      </c>
      <c r="E213" s="3" t="inlineStr">
        <is>
          <t>2026-07-03 15:49</t>
        </is>
      </c>
      <c r="F213" s="3" t="n">
        <v>1.5</v>
      </c>
      <c r="G213" s="3" t="n">
        <v>1</v>
      </c>
      <c r="H213" s="3" t="n"/>
      <c r="I213" s="3" t="inlineStr"/>
      <c r="J213" s="3" t="inlineStr">
        <is>
          <t>Keeta</t>
        </is>
      </c>
      <c r="K213" s="3" t="inlineStr">
        <is>
          <t>****9568</t>
        </is>
      </c>
      <c r="L213" s="3" t="n"/>
      <c r="M213" s="3" t="inlineStr">
        <is>
          <t>***** 物流中心5樓</t>
        </is>
      </c>
      <c r="N213" s="3" t="inlineStr">
        <is>
          <t>北区</t>
        </is>
      </c>
      <c r="O213" s="3" t="inlineStr">
        <is>
          <t>香港</t>
        </is>
      </c>
      <c r="P213" s="3" t="inlineStr">
        <is>
          <t>香港特别行政区</t>
        </is>
      </c>
      <c r="Q213" s="3" t="n">
        <v>464871</v>
      </c>
      <c r="R213" s="3" t="inlineStr">
        <is>
          <t>薔紅特色茶餐廳金牌脆皮燒雞（灣仔總店)</t>
        </is>
      </c>
      <c r="S213" s="3" t="inlineStr">
        <is>
          <t>****28383784</t>
        </is>
      </c>
      <c r="T213" s="3" t="inlineStr">
        <is>
          <t>****28383784</t>
        </is>
      </c>
      <c r="U213" s="3" t="inlineStr">
        <is>
          <t>***** 商業中心1樓</t>
        </is>
      </c>
      <c r="V213" s="3" t="inlineStr">
        <is>
          <t>香港</t>
        </is>
      </c>
      <c r="W213" s="3" t="inlineStr">
        <is>
          <t>机纸/小票纸 / 包出</t>
        </is>
      </c>
      <c r="X213" s="3" t="inlineStr">
        <is>
          <t>ESS-SFTS-OTMS</t>
        </is>
      </c>
      <c r="Y213" s="3" t="n"/>
      <c r="Z213" s="3" t="inlineStr"/>
      <c r="AA213" s="3" t="inlineStr">
        <is>
          <t>寄付月結</t>
        </is>
      </c>
      <c r="AB213">
        <f>IFERROR(VLOOKUP(Q213&amp;"",對照表!$A:$B,1,FALSE),"")</f>
        <v/>
      </c>
      <c r="AC213">
        <f>IFERROR(VLOOKUP(Q213&amp;"",對照表!$A:$B,2,FALSE),"")</f>
        <v/>
      </c>
    </row>
    <row r="214">
      <c r="A214" s="3" t="inlineStr">
        <is>
          <t>SF5119115817981</t>
        </is>
      </c>
      <c r="B214" s="3" t="n">
        <v>58424106188856</v>
      </c>
      <c r="C214" s="3" t="inlineStr">
        <is>
          <t>已簽收</t>
        </is>
      </c>
      <c r="D214" s="3" t="inlineStr">
        <is>
          <t>2026-07-02 16:58:02</t>
        </is>
      </c>
      <c r="E214" s="3" t="inlineStr">
        <is>
          <t>2026-07-03 11:08</t>
        </is>
      </c>
      <c r="F214" s="3" t="n">
        <v>29</v>
      </c>
      <c r="G214" s="3" t="n">
        <v>2</v>
      </c>
      <c r="H214" s="3" t="n"/>
      <c r="I214" s="3" t="inlineStr"/>
      <c r="J214" s="3" t="inlineStr">
        <is>
          <t>Keeta</t>
        </is>
      </c>
      <c r="K214" s="3" t="inlineStr">
        <is>
          <t>****9568</t>
        </is>
      </c>
      <c r="L214" s="3" t="n"/>
      <c r="M214" s="3" t="inlineStr">
        <is>
          <t>***** 物流中心5樓</t>
        </is>
      </c>
      <c r="N214" s="3" t="inlineStr">
        <is>
          <t>北区</t>
        </is>
      </c>
      <c r="O214" s="3" t="inlineStr">
        <is>
          <t>香港</t>
        </is>
      </c>
      <c r="P214" s="3" t="inlineStr">
        <is>
          <t>香港特别行政区</t>
        </is>
      </c>
      <c r="Q214" s="3" t="n">
        <v>461844</v>
      </c>
      <c r="R214" s="3" t="inlineStr">
        <is>
          <t>ThePantryChipsRepublic</t>
        </is>
      </c>
      <c r="S214" s="3" t="inlineStr">
        <is>
          <t>****29555662</t>
        </is>
      </c>
      <c r="T214" s="3" t="inlineStr">
        <is>
          <t>****29555662</t>
        </is>
      </c>
      <c r="U214" s="3" t="inlineStr">
        <is>
          <t>***** -438號舖</t>
        </is>
      </c>
      <c r="V214" s="3" t="inlineStr">
        <is>
          <t>香港</t>
        </is>
      </c>
      <c r="W214" s="3" t="inlineStr">
        <is>
          <t>纸袋【通版】/ 箱出</t>
        </is>
      </c>
      <c r="X214" s="3" t="inlineStr">
        <is>
          <t>ESS-SFTS-OTMS</t>
        </is>
      </c>
      <c r="Y214" s="3" t="n"/>
      <c r="Z214" s="3" t="inlineStr"/>
      <c r="AA214" s="3" t="inlineStr">
        <is>
          <t>寄付月結</t>
        </is>
      </c>
      <c r="AB214">
        <f>IFERROR(VLOOKUP(Q214&amp;"",對照表!$A:$B,1,FALSE),"")</f>
        <v/>
      </c>
      <c r="AC214">
        <f>IFERROR(VLOOKUP(Q214&amp;"",對照表!$A:$B,2,FALSE),"")</f>
        <v/>
      </c>
    </row>
    <row r="215">
      <c r="A215" s="3" t="inlineStr">
        <is>
          <t>SF5119115817839</t>
        </is>
      </c>
      <c r="B215" s="3" t="n">
        <v>58424106188824</v>
      </c>
      <c r="C215" s="3" t="inlineStr">
        <is>
          <t>已簽收</t>
        </is>
      </c>
      <c r="D215" s="3" t="inlineStr">
        <is>
          <t>2026-07-02 14:16:50</t>
        </is>
      </c>
      <c r="E215" s="3" t="inlineStr">
        <is>
          <t>2026-07-03 09:52</t>
        </is>
      </c>
      <c r="F215" s="3" t="n">
        <v>4.45</v>
      </c>
      <c r="G215" s="3" t="n">
        <v>1</v>
      </c>
      <c r="H215" s="3" t="n"/>
      <c r="I215" s="3" t="inlineStr"/>
      <c r="J215" s="3" t="inlineStr">
        <is>
          <t>Keeta</t>
        </is>
      </c>
      <c r="K215" s="3" t="inlineStr">
        <is>
          <t>****9568</t>
        </is>
      </c>
      <c r="L215" s="3" t="n"/>
      <c r="M215" s="3" t="inlineStr">
        <is>
          <t>***** 物流中心5樓</t>
        </is>
      </c>
      <c r="N215" s="3" t="inlineStr">
        <is>
          <t>北区</t>
        </is>
      </c>
      <c r="O215" s="3" t="inlineStr">
        <is>
          <t>香港</t>
        </is>
      </c>
      <c r="P215" s="3" t="inlineStr">
        <is>
          <t>香港特别行政区</t>
        </is>
      </c>
      <c r="Q215" s="3" t="n">
        <v>458855</v>
      </c>
      <c r="R215" s="3" t="inlineStr">
        <is>
          <t>村姑美食餐廳</t>
        </is>
      </c>
      <c r="S215" s="3" t="inlineStr">
        <is>
          <t>****28966619</t>
        </is>
      </c>
      <c r="T215" s="3" t="inlineStr">
        <is>
          <t>****28966619</t>
        </is>
      </c>
      <c r="U215" s="3" t="inlineStr">
        <is>
          <t>***** 5及52號舖</t>
        </is>
      </c>
      <c r="V215" s="3" t="inlineStr">
        <is>
          <t>香港</t>
        </is>
      </c>
      <c r="W215" s="3" t="inlineStr">
        <is>
          <t>机纸/小票纸 / 包出</t>
        </is>
      </c>
      <c r="X215" s="3" t="inlineStr">
        <is>
          <t>ESS-SFTS-OTMS</t>
        </is>
      </c>
      <c r="Y215" s="3" t="n"/>
      <c r="Z215" s="3" t="inlineStr"/>
      <c r="AA215" s="3" t="inlineStr">
        <is>
          <t>寄付月結</t>
        </is>
      </c>
      <c r="AB215">
        <f>IFERROR(VLOOKUP(Q215&amp;"",對照表!$A:$B,1,FALSE),"")</f>
        <v/>
      </c>
      <c r="AC215">
        <f>IFERROR(VLOOKUP(Q215&amp;"",對照表!$A:$B,2,FALSE),"")</f>
        <v/>
      </c>
    </row>
    <row r="216">
      <c r="A216" s="3" t="inlineStr">
        <is>
          <t>SF5119115817875</t>
        </is>
      </c>
      <c r="B216" s="3" t="n">
        <v>58424106188833</v>
      </c>
      <c r="C216" s="3" t="inlineStr">
        <is>
          <t>已簽收</t>
        </is>
      </c>
      <c r="D216" s="3" t="inlineStr">
        <is>
          <t>2026-07-02 15:17:08</t>
        </is>
      </c>
      <c r="E216" s="3" t="inlineStr">
        <is>
          <t>2026-07-04 11:10</t>
        </is>
      </c>
      <c r="F216" s="3" t="n">
        <v>1.5</v>
      </c>
      <c r="G216" s="3" t="n">
        <v>1</v>
      </c>
      <c r="H216" s="3" t="n"/>
      <c r="I216" s="3" t="inlineStr"/>
      <c r="J216" s="3" t="inlineStr">
        <is>
          <t>Keeta</t>
        </is>
      </c>
      <c r="K216" s="3" t="inlineStr">
        <is>
          <t>****9568</t>
        </is>
      </c>
      <c r="L216" s="3" t="n"/>
      <c r="M216" s="3" t="inlineStr">
        <is>
          <t>***** 物流中心5樓</t>
        </is>
      </c>
      <c r="N216" s="3" t="inlineStr">
        <is>
          <t>北区</t>
        </is>
      </c>
      <c r="O216" s="3" t="inlineStr">
        <is>
          <t>香港</t>
        </is>
      </c>
      <c r="P216" s="3" t="inlineStr">
        <is>
          <t>香港特别行政区</t>
        </is>
      </c>
      <c r="Q216" s="3" t="n">
        <v>721429361</v>
      </c>
      <c r="R216" s="3" t="inlineStr">
        <is>
          <t>Zoe韓式便當</t>
        </is>
      </c>
      <c r="S216" s="3" t="inlineStr">
        <is>
          <t>****56151703</t>
        </is>
      </c>
      <c r="T216" s="3" t="inlineStr">
        <is>
          <t>****56151703</t>
        </is>
      </c>
      <c r="U216" s="3" t="inlineStr">
        <is>
          <t>***** -G21號舖</t>
        </is>
      </c>
      <c r="V216" s="3" t="inlineStr">
        <is>
          <t>香港</t>
        </is>
      </c>
      <c r="W216" s="3" t="inlineStr">
        <is>
          <t>机纸/小票纸 / 包出</t>
        </is>
      </c>
      <c r="X216" s="3" t="inlineStr">
        <is>
          <t>ESS-SFTS-OTMS</t>
        </is>
      </c>
      <c r="Y216" s="3" t="n"/>
      <c r="Z216" s="3" t="inlineStr"/>
      <c r="AA216" s="3" t="inlineStr">
        <is>
          <t>寄付月結</t>
        </is>
      </c>
      <c r="AB216">
        <f>IFERROR(VLOOKUP(Q216&amp;"",對照表!$A:$B,1,FALSE),"")</f>
        <v/>
      </c>
      <c r="AC216">
        <f>IFERROR(VLOOKUP(Q216&amp;"",對照表!$A:$B,2,FALSE),"")</f>
        <v/>
      </c>
    </row>
    <row r="217">
      <c r="A217" s="3" t="inlineStr">
        <is>
          <t>SF5119115817584</t>
        </is>
      </c>
      <c r="B217" s="3" t="n">
        <v>58424106156421</v>
      </c>
      <c r="C217" s="3" t="inlineStr">
        <is>
          <t>已簽收</t>
        </is>
      </c>
      <c r="D217" s="3" t="inlineStr">
        <is>
          <t>2026-07-02 15:40:22</t>
        </is>
      </c>
      <c r="E217" s="3" t="inlineStr">
        <is>
          <t>2026-07-03 09:24</t>
        </is>
      </c>
      <c r="F217" s="3" t="n">
        <v>14.5</v>
      </c>
      <c r="G217" s="3" t="n">
        <v>1</v>
      </c>
      <c r="H217" s="3" t="n"/>
      <c r="I217" s="3" t="inlineStr"/>
      <c r="J217" s="3" t="inlineStr">
        <is>
          <t>Keeta</t>
        </is>
      </c>
      <c r="K217" s="3" t="inlineStr">
        <is>
          <t>****9568</t>
        </is>
      </c>
      <c r="L217" s="3" t="n"/>
      <c r="M217" s="3" t="inlineStr">
        <is>
          <t>***** 物流中心5樓</t>
        </is>
      </c>
      <c r="N217" s="3" t="inlineStr">
        <is>
          <t>北区</t>
        </is>
      </c>
      <c r="O217" s="3" t="inlineStr">
        <is>
          <t>香港</t>
        </is>
      </c>
      <c r="P217" s="3" t="inlineStr">
        <is>
          <t>香港特别行政区</t>
        </is>
      </c>
      <c r="Q217" s="3" t="n">
        <v>721530405</v>
      </c>
      <c r="R217" s="3" t="inlineStr">
        <is>
          <t>PROSPERITY</t>
        </is>
      </c>
      <c r="S217" s="3" t="inlineStr">
        <is>
          <t>****9933224</t>
        </is>
      </c>
      <c r="T217" s="3" t="inlineStr">
        <is>
          <t>****9933224</t>
        </is>
      </c>
      <c r="U217" s="3" t="inlineStr">
        <is>
          <t>***** 6室A4部份</t>
        </is>
      </c>
      <c r="V217" s="3" t="inlineStr">
        <is>
          <t>香港</t>
        </is>
      </c>
      <c r="W217" s="3" t="inlineStr">
        <is>
          <t>纸袋【通版】/ 箱出</t>
        </is>
      </c>
      <c r="X217" s="3" t="inlineStr">
        <is>
          <t>ESS-SFTS-OTMS</t>
        </is>
      </c>
      <c r="Y217" s="3" t="n"/>
      <c r="Z217" s="3" t="inlineStr"/>
      <c r="AA217" s="3" t="inlineStr">
        <is>
          <t>寄付月結</t>
        </is>
      </c>
      <c r="AB217">
        <f>IFERROR(VLOOKUP(Q217&amp;"",對照表!$A:$B,1,FALSE),"")</f>
        <v/>
      </c>
      <c r="AC217">
        <f>IFERROR(VLOOKUP(Q217&amp;"",對照表!$A:$B,2,FALSE),"")</f>
        <v/>
      </c>
    </row>
    <row r="218">
      <c r="A218" s="3" t="inlineStr">
        <is>
          <t>SF5119115817954</t>
        </is>
      </c>
      <c r="B218" s="3" t="n">
        <v>58424106188852</v>
      </c>
      <c r="C218" s="3" t="inlineStr">
        <is>
          <t>已簽收</t>
        </is>
      </c>
      <c r="D218" s="3" t="inlineStr">
        <is>
          <t>2026-07-02 15:17:06</t>
        </is>
      </c>
      <c r="E218" s="3" t="inlineStr">
        <is>
          <t>2026-07-03 16:17</t>
        </is>
      </c>
      <c r="F218" s="3" t="n">
        <v>2.36</v>
      </c>
      <c r="G218" s="3" t="n">
        <v>1</v>
      </c>
      <c r="H218" s="3" t="n"/>
      <c r="I218" s="3" t="inlineStr"/>
      <c r="J218" s="3" t="inlineStr">
        <is>
          <t>Keeta</t>
        </is>
      </c>
      <c r="K218" s="3" t="inlineStr">
        <is>
          <t>****9568</t>
        </is>
      </c>
      <c r="L218" s="3" t="n"/>
      <c r="M218" s="3" t="inlineStr">
        <is>
          <t>***** 物流中心5樓</t>
        </is>
      </c>
      <c r="N218" s="3" t="inlineStr">
        <is>
          <t>北区</t>
        </is>
      </c>
      <c r="O218" s="3" t="inlineStr">
        <is>
          <t>香港</t>
        </is>
      </c>
      <c r="P218" s="3" t="inlineStr">
        <is>
          <t>香港特别行政区</t>
        </is>
      </c>
      <c r="Q218" s="3" t="n">
        <v>448728</v>
      </c>
      <c r="R218" s="3" t="inlineStr">
        <is>
          <t>星巴克(VCity)StarbucksCoffee</t>
        </is>
      </c>
      <c r="S218" s="3" t="inlineStr">
        <is>
          <t>****26671883</t>
        </is>
      </c>
      <c r="T218" s="3" t="inlineStr">
        <is>
          <t>****26671883</t>
        </is>
      </c>
      <c r="U218" s="3" t="inlineStr">
        <is>
          <t>***** L1-1號舖</t>
        </is>
      </c>
      <c r="V218" s="3" t="inlineStr">
        <is>
          <t>香港</t>
        </is>
      </c>
      <c r="W218" s="3" t="inlineStr">
        <is>
          <t>机纸/小票纸 / 包出</t>
        </is>
      </c>
      <c r="X218" s="3" t="inlineStr">
        <is>
          <t>ESS-SFTS-OTMS</t>
        </is>
      </c>
      <c r="Y218" s="3" t="n"/>
      <c r="Z218" s="3" t="inlineStr"/>
      <c r="AA218" s="3" t="inlineStr">
        <is>
          <t>寄付月結</t>
        </is>
      </c>
      <c r="AB218">
        <f>IFERROR(VLOOKUP(Q218&amp;"",對照表!$A:$B,1,FALSE),"")</f>
        <v/>
      </c>
      <c r="AC218">
        <f>IFERROR(VLOOKUP(Q218&amp;"",對照表!$A:$B,2,FALSE),"")</f>
        <v/>
      </c>
    </row>
    <row r="219">
      <c r="A219" s="3" t="inlineStr">
        <is>
          <t>SF5119115817866</t>
        </is>
      </c>
      <c r="B219" s="3" t="n">
        <v>58424106188830</v>
      </c>
      <c r="C219" s="3" t="inlineStr">
        <is>
          <t>已簽收</t>
        </is>
      </c>
      <c r="D219" s="3" t="inlineStr">
        <is>
          <t>2026-07-02 15:47:18</t>
        </is>
      </c>
      <c r="E219" s="3" t="inlineStr">
        <is>
          <t>2026-07-03 09:53</t>
        </is>
      </c>
      <c r="F219" s="3" t="n">
        <v>29</v>
      </c>
      <c r="G219" s="3" t="n">
        <v>2</v>
      </c>
      <c r="H219" s="3" t="n"/>
      <c r="I219" s="3" t="inlineStr"/>
      <c r="J219" s="3" t="inlineStr">
        <is>
          <t>Keeta</t>
        </is>
      </c>
      <c r="K219" s="3" t="inlineStr">
        <is>
          <t>****9568</t>
        </is>
      </c>
      <c r="L219" s="3" t="n"/>
      <c r="M219" s="3" t="inlineStr">
        <is>
          <t>***** 物流中心5樓</t>
        </is>
      </c>
      <c r="N219" s="3" t="inlineStr">
        <is>
          <t>北区</t>
        </is>
      </c>
      <c r="O219" s="3" t="inlineStr">
        <is>
          <t>香港</t>
        </is>
      </c>
      <c r="P219" s="3" t="inlineStr">
        <is>
          <t>香港特别行政区</t>
        </is>
      </c>
      <c r="Q219" s="3" t="n">
        <v>721512369</v>
      </c>
      <c r="R219" s="3" t="inlineStr">
        <is>
          <t>麥當勞 (欽州街) McDonald&amp;apos;s
McDonald&amp;apos;s (Yen Chow)</t>
        </is>
      </c>
      <c r="S219" s="3" t="inlineStr">
        <is>
          <t>****27284222</t>
        </is>
      </c>
      <c r="T219" s="3" t="inlineStr">
        <is>
          <t>****27284222</t>
        </is>
      </c>
      <c r="U219" s="3" t="inlineStr">
        <is>
          <t>***** 號地下及閣樓</t>
        </is>
      </c>
      <c r="V219" s="3" t="inlineStr">
        <is>
          <t>香港</t>
        </is>
      </c>
      <c r="W219" s="3" t="inlineStr">
        <is>
          <t>纸袋【通版】/ 箱出</t>
        </is>
      </c>
      <c r="X219" s="3" t="inlineStr">
        <is>
          <t>ESS-SFTS-OTMS</t>
        </is>
      </c>
      <c r="Y219" s="3" t="n"/>
      <c r="Z219" s="3" t="inlineStr"/>
      <c r="AA219" s="3" t="inlineStr">
        <is>
          <t>寄付月結</t>
        </is>
      </c>
      <c r="AB219">
        <f>IFERROR(VLOOKUP(Q219&amp;"",對照表!$A:$B,1,FALSE),"")</f>
        <v/>
      </c>
      <c r="AC219">
        <f>IFERROR(VLOOKUP(Q219&amp;"",對照表!$A:$B,2,FALSE),"")</f>
        <v/>
      </c>
    </row>
    <row r="220">
      <c r="A220" s="3" t="inlineStr">
        <is>
          <t>SF5119115817778</t>
        </is>
      </c>
      <c r="B220" s="3" t="n">
        <v>58424106188811</v>
      </c>
      <c r="C220" s="3" t="inlineStr">
        <is>
          <t>已簽收</t>
        </is>
      </c>
      <c r="D220" s="3" t="inlineStr">
        <is>
          <t>2026-07-02 15:39:15</t>
        </is>
      </c>
      <c r="E220" s="3" t="inlineStr">
        <is>
          <t>2026-07-03 15:53</t>
        </is>
      </c>
      <c r="F220" s="3" t="n">
        <v>43.5</v>
      </c>
      <c r="G220" s="3" t="n">
        <v>3</v>
      </c>
      <c r="H220" s="3" t="n"/>
      <c r="I220" s="3" t="inlineStr"/>
      <c r="J220" s="3" t="inlineStr">
        <is>
          <t>Keeta</t>
        </is>
      </c>
      <c r="K220" s="3" t="inlineStr">
        <is>
          <t>****9568</t>
        </is>
      </c>
      <c r="L220" s="3" t="n"/>
      <c r="M220" s="3" t="inlineStr">
        <is>
          <t>***** 物流中心5樓</t>
        </is>
      </c>
      <c r="N220" s="3" t="inlineStr">
        <is>
          <t>北区</t>
        </is>
      </c>
      <c r="O220" s="3" t="inlineStr">
        <is>
          <t>香港</t>
        </is>
      </c>
      <c r="P220" s="3" t="inlineStr">
        <is>
          <t>香港特别行政区</t>
        </is>
      </c>
      <c r="Q220" s="3" t="n">
        <v>449001</v>
      </c>
      <c r="R220" s="3" t="inlineStr">
        <is>
          <t>麥當勞(元朗廣場II)McDonalds</t>
        </is>
      </c>
      <c r="S220" s="3" t="inlineStr">
        <is>
          <t>****24783431</t>
        </is>
      </c>
      <c r="T220" s="3" t="inlineStr">
        <is>
          <t>****24783431</t>
        </is>
      </c>
      <c r="U220" s="3" t="inlineStr">
        <is>
          <t>***** -078號舖</t>
        </is>
      </c>
      <c r="V220" s="3" t="inlineStr">
        <is>
          <t>香港</t>
        </is>
      </c>
      <c r="W220" s="3" t="inlineStr">
        <is>
          <t>纸袋【通版】/ 箱出</t>
        </is>
      </c>
      <c r="X220" s="3" t="inlineStr">
        <is>
          <t>ESS-SFTS-OTMS</t>
        </is>
      </c>
      <c r="Y220" s="3" t="n"/>
      <c r="Z220" s="3" t="inlineStr"/>
      <c r="AA220" s="3" t="inlineStr">
        <is>
          <t>寄付月結</t>
        </is>
      </c>
      <c r="AB220">
        <f>IFERROR(VLOOKUP(Q220&amp;"",對照表!$A:$B,1,FALSE),"")</f>
        <v/>
      </c>
      <c r="AC220">
        <f>IFERROR(VLOOKUP(Q220&amp;"",對照表!$A:$B,2,FALSE),"")</f>
        <v/>
      </c>
    </row>
    <row r="221">
      <c r="A221" s="3" t="inlineStr">
        <is>
          <t>SF5119115817663</t>
        </is>
      </c>
      <c r="B221" s="3" t="n">
        <v>58424106156436</v>
      </c>
      <c r="C221" s="3" t="inlineStr">
        <is>
          <t>已簽收</t>
        </is>
      </c>
      <c r="D221" s="3" t="inlineStr">
        <is>
          <t>2026-07-02 14:16:54</t>
        </is>
      </c>
      <c r="E221" s="3" t="inlineStr">
        <is>
          <t>2026-07-03 10:03</t>
        </is>
      </c>
      <c r="F221" s="3" t="n">
        <v>4.45</v>
      </c>
      <c r="G221" s="3" t="n">
        <v>1</v>
      </c>
      <c r="H221" s="3" t="n"/>
      <c r="I221" s="3" t="inlineStr"/>
      <c r="J221" s="3" t="inlineStr">
        <is>
          <t>Keeta</t>
        </is>
      </c>
      <c r="K221" s="3" t="inlineStr">
        <is>
          <t>****9568</t>
        </is>
      </c>
      <c r="L221" s="3" t="n"/>
      <c r="M221" s="3" t="inlineStr">
        <is>
          <t>***** 物流中心5樓</t>
        </is>
      </c>
      <c r="N221" s="3" t="inlineStr">
        <is>
          <t>北区</t>
        </is>
      </c>
      <c r="O221" s="3" t="inlineStr">
        <is>
          <t>香港</t>
        </is>
      </c>
      <c r="P221" s="3" t="inlineStr">
        <is>
          <t>香港特别行政区</t>
        </is>
      </c>
      <c r="Q221" s="3" t="n">
        <v>408907</v>
      </c>
      <c r="R221" s="3" t="inlineStr">
        <is>
          <t>有米餐室</t>
        </is>
      </c>
      <c r="S221" s="3" t="inlineStr">
        <is>
          <t>****93890189</t>
        </is>
      </c>
      <c r="T221" s="3" t="inlineStr">
        <is>
          <t>****93890189</t>
        </is>
      </c>
      <c r="U221" s="3" t="inlineStr">
        <is>
          <t>***** HAI,HK</t>
        </is>
      </c>
      <c r="V221" s="3" t="inlineStr">
        <is>
          <t>香港</t>
        </is>
      </c>
      <c r="W221" s="3" t="inlineStr">
        <is>
          <t>机纸/小票纸 / 包出</t>
        </is>
      </c>
      <c r="X221" s="3" t="inlineStr">
        <is>
          <t>ESS-SFTS-OTMS</t>
        </is>
      </c>
      <c r="Y221" s="3" t="n"/>
      <c r="Z221" s="3" t="inlineStr"/>
      <c r="AA221" s="3" t="inlineStr">
        <is>
          <t>寄付月結</t>
        </is>
      </c>
      <c r="AB221">
        <f>IFERROR(VLOOKUP(Q221&amp;"",對照表!$A:$B,1,FALSE),"")</f>
        <v/>
      </c>
      <c r="AC221">
        <f>IFERROR(VLOOKUP(Q221&amp;"",對照表!$A:$B,2,FALSE),"")</f>
        <v/>
      </c>
    </row>
    <row r="222">
      <c r="A222" s="3" t="inlineStr">
        <is>
          <t>SF5119115817963</t>
        </is>
      </c>
      <c r="B222" s="3" t="n">
        <v>58424106188850</v>
      </c>
      <c r="C222" s="3" t="inlineStr">
        <is>
          <t>已簽收</t>
        </is>
      </c>
      <c r="D222" s="3" t="inlineStr">
        <is>
          <t>2026-07-02 16:58:04</t>
        </is>
      </c>
      <c r="E222" s="3" t="inlineStr">
        <is>
          <t>2026-07-03 09:11</t>
        </is>
      </c>
      <c r="F222" s="3" t="n">
        <v>29</v>
      </c>
      <c r="G222" s="3" t="n">
        <v>2</v>
      </c>
      <c r="H222" s="3" t="n"/>
      <c r="I222" s="3" t="inlineStr"/>
      <c r="J222" s="3" t="inlineStr">
        <is>
          <t>Keeta</t>
        </is>
      </c>
      <c r="K222" s="3" t="inlineStr">
        <is>
          <t>****9568</t>
        </is>
      </c>
      <c r="L222" s="3" t="n"/>
      <c r="M222" s="3" t="inlineStr">
        <is>
          <t>***** 物流中心5樓</t>
        </is>
      </c>
      <c r="N222" s="3" t="inlineStr">
        <is>
          <t>北区</t>
        </is>
      </c>
      <c r="O222" s="3" t="inlineStr">
        <is>
          <t>香港</t>
        </is>
      </c>
      <c r="P222" s="3" t="inlineStr">
        <is>
          <t>香港特别行政区</t>
        </is>
      </c>
      <c r="Q222" s="3" t="n">
        <v>793439</v>
      </c>
      <c r="R222" s="3" t="inlineStr">
        <is>
          <t>麥當勞(海富中心)McDonalds</t>
        </is>
      </c>
      <c r="S222" s="3" t="inlineStr">
        <is>
          <t>****25201329</t>
        </is>
      </c>
      <c r="T222" s="3" t="inlineStr">
        <is>
          <t>****25201329</t>
        </is>
      </c>
      <c r="U222" s="3" t="inlineStr">
        <is>
          <t>***** 外賣櫃取餐）</t>
        </is>
      </c>
      <c r="V222" s="3" t="inlineStr">
        <is>
          <t>香港</t>
        </is>
      </c>
      <c r="W222" s="3" t="inlineStr">
        <is>
          <t>纸袋【通版】/ 箱出</t>
        </is>
      </c>
      <c r="X222" s="3" t="inlineStr">
        <is>
          <t>ESS-SFTS-OTMS</t>
        </is>
      </c>
      <c r="Y222" s="3" t="n"/>
      <c r="Z222" s="3" t="inlineStr"/>
      <c r="AA222" s="3" t="inlineStr">
        <is>
          <t>寄付月結</t>
        </is>
      </c>
      <c r="AB222">
        <f>IFERROR(VLOOKUP(Q222&amp;"",對照表!$A:$B,1,FALSE),"")</f>
        <v/>
      </c>
      <c r="AC222">
        <f>IFERROR(VLOOKUP(Q222&amp;"",對照表!$A:$B,2,FALSE),"")</f>
        <v/>
      </c>
    </row>
    <row r="223">
      <c r="A223" s="3" t="inlineStr">
        <is>
          <t>SF5119115818127</t>
        </is>
      </c>
      <c r="B223" s="3" t="n">
        <v>58424106188886</v>
      </c>
      <c r="C223" s="3" t="inlineStr">
        <is>
          <t>已簽收</t>
        </is>
      </c>
      <c r="D223" s="3" t="inlineStr">
        <is>
          <t>2026-07-02 16:40:10</t>
        </is>
      </c>
      <c r="E223" s="3" t="inlineStr">
        <is>
          <t>2026-07-03 15:53</t>
        </is>
      </c>
      <c r="F223" s="3" t="n">
        <v>1.32</v>
      </c>
      <c r="G223" s="3" t="n">
        <v>1</v>
      </c>
      <c r="H223" s="3" t="n"/>
      <c r="I223" s="3" t="inlineStr"/>
      <c r="J223" s="3" t="inlineStr">
        <is>
          <t>Keeta</t>
        </is>
      </c>
      <c r="K223" s="3" t="inlineStr">
        <is>
          <t>****9568</t>
        </is>
      </c>
      <c r="L223" s="3" t="n"/>
      <c r="M223" s="3" t="inlineStr">
        <is>
          <t>***** 物流中心5樓</t>
        </is>
      </c>
      <c r="N223" s="3" t="inlineStr">
        <is>
          <t>北区</t>
        </is>
      </c>
      <c r="O223" s="3" t="inlineStr">
        <is>
          <t>香港</t>
        </is>
      </c>
      <c r="P223" s="3" t="inlineStr">
        <is>
          <t>香港特别行政区</t>
        </is>
      </c>
      <c r="Q223" s="3" t="n">
        <v>721422338</v>
      </c>
      <c r="R223" s="3" t="inlineStr">
        <is>
          <t>RASOI(家庭式經營正宗印度菜香料與風味的完美結合)</t>
        </is>
      </c>
      <c r="S223" s="3" t="inlineStr">
        <is>
          <t>****69705980</t>
        </is>
      </c>
      <c r="T223" s="3" t="inlineStr">
        <is>
          <t>****69705980</t>
        </is>
      </c>
      <c r="U223" s="3" t="inlineStr">
        <is>
          <t>***** ngKong</t>
        </is>
      </c>
      <c r="V223" s="3" t="inlineStr">
        <is>
          <t>香港</t>
        </is>
      </c>
      <c r="W223" s="3" t="inlineStr">
        <is>
          <t>封签【通版】/ 扎出</t>
        </is>
      </c>
      <c r="X223" s="3" t="inlineStr">
        <is>
          <t>ESS-SFTS-OTMS</t>
        </is>
      </c>
      <c r="Y223" s="3" t="n"/>
      <c r="Z223" s="3" t="inlineStr"/>
      <c r="AA223" s="3" t="inlineStr">
        <is>
          <t>寄付月結</t>
        </is>
      </c>
      <c r="AB223">
        <f>IFERROR(VLOOKUP(Q223&amp;"",對照表!$A:$B,1,FALSE),"")</f>
        <v/>
      </c>
      <c r="AC223">
        <f>IFERROR(VLOOKUP(Q223&amp;"",對照表!$A:$B,2,FALSE),"")</f>
        <v/>
      </c>
    </row>
    <row r="224">
      <c r="A224" s="3" t="inlineStr">
        <is>
          <t>SF5119115818039</t>
        </is>
      </c>
      <c r="B224" s="3" t="n">
        <v>58424106188866</v>
      </c>
      <c r="C224" s="3" t="inlineStr">
        <is>
          <t>已簽收</t>
        </is>
      </c>
      <c r="D224" s="3" t="inlineStr">
        <is>
          <t>2026-07-02 14:16:39</t>
        </is>
      </c>
      <c r="E224" s="3" t="inlineStr">
        <is>
          <t>2026-07-03 16:33</t>
        </is>
      </c>
      <c r="F224" s="3" t="n">
        <v>4.45</v>
      </c>
      <c r="G224" s="3" t="n">
        <v>1</v>
      </c>
      <c r="H224" s="3" t="n"/>
      <c r="I224" s="3" t="inlineStr"/>
      <c r="J224" s="3" t="inlineStr">
        <is>
          <t>Keeta</t>
        </is>
      </c>
      <c r="K224" s="3" t="inlineStr">
        <is>
          <t>****9568</t>
        </is>
      </c>
      <c r="L224" s="3" t="n"/>
      <c r="M224" s="3" t="inlineStr">
        <is>
          <t>***** 物流中心5樓</t>
        </is>
      </c>
      <c r="N224" s="3" t="inlineStr">
        <is>
          <t>北区</t>
        </is>
      </c>
      <c r="O224" s="3" t="inlineStr">
        <is>
          <t>香港</t>
        </is>
      </c>
      <c r="P224" s="3" t="inlineStr">
        <is>
          <t>香港特别行政区</t>
        </is>
      </c>
      <c r="Q224" s="3" t="n">
        <v>721512366</v>
      </c>
      <c r="R224" s="3" t="inlineStr">
        <is>
          <t>卡本卡(荃灣)【沙田人氣冬陰功撈麵登陸+荃灣限定特色湯麵</t>
        </is>
      </c>
      <c r="S224" s="3" t="inlineStr">
        <is>
          <t>****98305413</t>
        </is>
      </c>
      <c r="T224" s="3" t="inlineStr">
        <is>
          <t>****98305413</t>
        </is>
      </c>
      <c r="U224" s="3" t="inlineStr">
        <is>
          <t>***** an, 香港</t>
        </is>
      </c>
      <c r="V224" s="3" t="inlineStr">
        <is>
          <t>香港</t>
        </is>
      </c>
      <c r="W224" s="3" t="inlineStr">
        <is>
          <t>机纸/小票纸 / 包出</t>
        </is>
      </c>
      <c r="X224" s="3" t="inlineStr">
        <is>
          <t>ESS-SFTS-OTMS</t>
        </is>
      </c>
      <c r="Y224" s="3" t="n"/>
      <c r="Z224" s="3" t="inlineStr"/>
      <c r="AA224" s="3" t="inlineStr">
        <is>
          <t>寄付月結</t>
        </is>
      </c>
      <c r="AB224">
        <f>IFERROR(VLOOKUP(Q224&amp;"",對照表!$A:$B,1,FALSE),"")</f>
        <v/>
      </c>
      <c r="AC224">
        <f>IFERROR(VLOOKUP(Q224&amp;"",對照表!$A:$B,2,FALSE),"")</f>
        <v/>
      </c>
    </row>
    <row r="225">
      <c r="A225" s="3" t="inlineStr">
        <is>
          <t>SF5119115817802</t>
        </is>
      </c>
      <c r="B225" s="3" t="n">
        <v>58424106188822</v>
      </c>
      <c r="C225" s="3" t="inlineStr">
        <is>
          <t>已簽收</t>
        </is>
      </c>
      <c r="D225" s="3" t="inlineStr">
        <is>
          <t>2026-07-02 15:16:56</t>
        </is>
      </c>
      <c r="E225" s="3" t="inlineStr">
        <is>
          <t>2026-07-03 10:38</t>
        </is>
      </c>
      <c r="F225" s="3" t="n">
        <v>1.5</v>
      </c>
      <c r="G225" s="3" t="n">
        <v>1</v>
      </c>
      <c r="H225" s="3" t="n"/>
      <c r="I225" s="3" t="inlineStr"/>
      <c r="J225" s="3" t="inlineStr">
        <is>
          <t>Keeta</t>
        </is>
      </c>
      <c r="K225" s="3" t="inlineStr">
        <is>
          <t>****9568</t>
        </is>
      </c>
      <c r="L225" s="3" t="n"/>
      <c r="M225" s="3" t="inlineStr">
        <is>
          <t>***** 物流中心5樓</t>
        </is>
      </c>
      <c r="N225" s="3" t="inlineStr">
        <is>
          <t>北区</t>
        </is>
      </c>
      <c r="O225" s="3" t="inlineStr">
        <is>
          <t>香港</t>
        </is>
      </c>
      <c r="P225" s="3" t="inlineStr">
        <is>
          <t>香港特别行政区</t>
        </is>
      </c>
      <c r="Q225" s="3" t="n">
        <v>721529397</v>
      </c>
      <c r="R225" s="3" t="inlineStr">
        <is>
          <t>Murvey Box Healthy Food 輕食健康餐（</t>
        </is>
      </c>
      <c r="S225" s="3" t="inlineStr">
        <is>
          <t>****61921491</t>
        </is>
      </c>
      <c r="T225" s="3" t="inlineStr">
        <is>
          <t>****61921491</t>
        </is>
      </c>
      <c r="U225" s="3" t="inlineStr">
        <is>
          <t>***** B室B3部份</t>
        </is>
      </c>
      <c r="V225" s="3" t="inlineStr">
        <is>
          <t>香港</t>
        </is>
      </c>
      <c r="W225" s="3" t="inlineStr">
        <is>
          <t>机纸/小票纸 / 包出</t>
        </is>
      </c>
      <c r="X225" s="3" t="inlineStr">
        <is>
          <t>ESS-SFTS-OTMS</t>
        </is>
      </c>
      <c r="Y225" s="3" t="n"/>
      <c r="Z225" s="3" t="inlineStr"/>
      <c r="AA225" s="3" t="inlineStr">
        <is>
          <t>寄付月結</t>
        </is>
      </c>
      <c r="AB225">
        <f>IFERROR(VLOOKUP(Q225&amp;"",對照表!$A:$B,1,FALSE),"")</f>
        <v/>
      </c>
      <c r="AC225">
        <f>IFERROR(VLOOKUP(Q225&amp;"",對照表!$A:$B,2,FALSE),"")</f>
        <v/>
      </c>
    </row>
    <row r="226">
      <c r="A226" s="3" t="inlineStr">
        <is>
          <t>SF5119115817893</t>
        </is>
      </c>
      <c r="B226" s="3" t="n">
        <v>58424106188837</v>
      </c>
      <c r="C226" s="3" t="inlineStr">
        <is>
          <t>已簽收</t>
        </is>
      </c>
      <c r="D226" s="3" t="inlineStr">
        <is>
          <t>2026-07-02 14:16:41</t>
        </is>
      </c>
      <c r="E226" s="3" t="inlineStr">
        <is>
          <t>2026-07-03 12:01</t>
        </is>
      </c>
      <c r="F226" s="3" t="n">
        <v>4.45</v>
      </c>
      <c r="G226" s="3" t="n">
        <v>1</v>
      </c>
      <c r="H226" s="3" t="n"/>
      <c r="I226" s="3" t="inlineStr"/>
      <c r="J226" s="3" t="inlineStr">
        <is>
          <t>Keeta</t>
        </is>
      </c>
      <c r="K226" s="3" t="inlineStr">
        <is>
          <t>****9568</t>
        </is>
      </c>
      <c r="L226" s="3" t="n"/>
      <c r="M226" s="3" t="inlineStr">
        <is>
          <t>***** 物流中心5樓</t>
        </is>
      </c>
      <c r="N226" s="3" t="inlineStr">
        <is>
          <t>北区</t>
        </is>
      </c>
      <c r="O226" s="3" t="inlineStr">
        <is>
          <t>香港</t>
        </is>
      </c>
      <c r="P226" s="3" t="inlineStr">
        <is>
          <t>香港特别行政区</t>
        </is>
      </c>
      <c r="Q226" s="3" t="n">
        <v>721424336</v>
      </c>
      <c r="R226" s="3" t="inlineStr">
        <is>
          <t>珍味館（經典粵式私房菜鍋氣十足鮮香無比）</t>
        </is>
      </c>
      <c r="S226" s="3" t="inlineStr">
        <is>
          <t>****68407894</t>
        </is>
      </c>
      <c r="T226" s="3" t="inlineStr">
        <is>
          <t>****68407894</t>
        </is>
      </c>
      <c r="U226" s="3" t="inlineStr">
        <is>
          <t>***** 書院低層2樓</t>
        </is>
      </c>
      <c r="V226" s="3" t="inlineStr">
        <is>
          <t>香港</t>
        </is>
      </c>
      <c r="W226" s="3" t="inlineStr">
        <is>
          <t>机纸/小票纸 / 包出</t>
        </is>
      </c>
      <c r="X226" s="3" t="inlineStr">
        <is>
          <t>ESS-SFTS-OTMS</t>
        </is>
      </c>
      <c r="Y226" s="3" t="n"/>
      <c r="Z226" s="3" t="inlineStr"/>
      <c r="AA226" s="3" t="inlineStr">
        <is>
          <t>寄付月結</t>
        </is>
      </c>
      <c r="AB226">
        <f>IFERROR(VLOOKUP(Q226&amp;"",對照表!$A:$B,1,FALSE),"")</f>
        <v/>
      </c>
      <c r="AC226">
        <f>IFERROR(VLOOKUP(Q226&amp;"",對照表!$A:$B,2,FALSE),"")</f>
        <v/>
      </c>
    </row>
    <row r="227">
      <c r="A227" s="3" t="inlineStr">
        <is>
          <t>SF5119115817918</t>
        </is>
      </c>
      <c r="B227" s="3" t="n">
        <v>58424106188840</v>
      </c>
      <c r="C227" s="3" t="inlineStr">
        <is>
          <t>已簽收</t>
        </is>
      </c>
      <c r="D227" s="3" t="inlineStr">
        <is>
          <t>2026-07-02 15:43:37</t>
        </is>
      </c>
      <c r="E227" s="3" t="inlineStr">
        <is>
          <t>2026-07-03 11:43</t>
        </is>
      </c>
      <c r="F227" s="3" t="n">
        <v>72.5</v>
      </c>
      <c r="G227" s="3" t="n">
        <v>5</v>
      </c>
      <c r="H227" s="3" t="n"/>
      <c r="I227" s="3" t="inlineStr"/>
      <c r="J227" s="3" t="inlineStr">
        <is>
          <t>Keeta</t>
        </is>
      </c>
      <c r="K227" s="3" t="inlineStr">
        <is>
          <t>****9568</t>
        </is>
      </c>
      <c r="L227" s="3" t="n"/>
      <c r="M227" s="3" t="inlineStr">
        <is>
          <t>***** 物流中心5樓</t>
        </is>
      </c>
      <c r="N227" s="3" t="inlineStr">
        <is>
          <t>北区</t>
        </is>
      </c>
      <c r="O227" s="3" t="inlineStr">
        <is>
          <t>香港</t>
        </is>
      </c>
      <c r="P227" s="3" t="inlineStr">
        <is>
          <t>香港特别行政区</t>
        </is>
      </c>
      <c r="Q227" s="3" t="n">
        <v>458731</v>
      </c>
      <c r="R227" s="3" t="inlineStr">
        <is>
          <t>麥當勞(海聯廣場)McDonalds</t>
        </is>
      </c>
      <c r="S227" s="3" t="inlineStr">
        <is>
          <t>****26763860</t>
        </is>
      </c>
      <c r="T227" s="3" t="inlineStr">
        <is>
          <t>****26763860</t>
        </is>
      </c>
      <c r="U227" s="3" t="inlineStr">
        <is>
          <t>***** 下2A及2B</t>
        </is>
      </c>
      <c r="V227" s="3" t="inlineStr">
        <is>
          <t>香港</t>
        </is>
      </c>
      <c r="W227" s="3" t="inlineStr">
        <is>
          <t>纸袋【通版】/ 箱出</t>
        </is>
      </c>
      <c r="X227" s="3" t="inlineStr">
        <is>
          <t>ESS-SFTS-OTMS</t>
        </is>
      </c>
      <c r="Y227" s="3" t="n"/>
      <c r="Z227" s="3" t="inlineStr"/>
      <c r="AA227" s="3" t="inlineStr">
        <is>
          <t>寄付月結</t>
        </is>
      </c>
      <c r="AB227">
        <f>IFERROR(VLOOKUP(Q227&amp;"",對照表!$A:$B,1,FALSE),"")</f>
        <v/>
      </c>
      <c r="AC227">
        <f>IFERROR(VLOOKUP(Q227&amp;"",對照表!$A:$B,2,FALSE),"")</f>
        <v/>
      </c>
    </row>
    <row r="228">
      <c r="A228" s="3" t="inlineStr">
        <is>
          <t>SF5119115818011</t>
        </is>
      </c>
      <c r="B228" s="3" t="n">
        <v>58424106188863</v>
      </c>
      <c r="C228" s="3" t="inlineStr">
        <is>
          <t>已簽收</t>
        </is>
      </c>
      <c r="D228" s="3" t="inlineStr">
        <is>
          <t>2026-07-02 14:16:40</t>
        </is>
      </c>
      <c r="E228" s="3" t="inlineStr">
        <is>
          <t>2026-07-03 10:54</t>
        </is>
      </c>
      <c r="F228" s="3" t="n">
        <v>4.45</v>
      </c>
      <c r="G228" s="3" t="n">
        <v>1</v>
      </c>
      <c r="H228" s="3" t="n"/>
      <c r="I228" s="3" t="inlineStr"/>
      <c r="J228" s="3" t="inlineStr">
        <is>
          <t>Keeta</t>
        </is>
      </c>
      <c r="K228" s="3" t="inlineStr">
        <is>
          <t>****9568</t>
        </is>
      </c>
      <c r="L228" s="3" t="n"/>
      <c r="M228" s="3" t="inlineStr">
        <is>
          <t>***** 物流中心5樓</t>
        </is>
      </c>
      <c r="N228" s="3" t="inlineStr">
        <is>
          <t>北区</t>
        </is>
      </c>
      <c r="O228" s="3" t="inlineStr">
        <is>
          <t>香港</t>
        </is>
      </c>
      <c r="P228" s="3" t="inlineStr">
        <is>
          <t>香港特别行政区</t>
        </is>
      </c>
      <c r="Q228" s="3" t="n">
        <v>456729</v>
      </c>
      <c r="R228" s="3" t="inlineStr">
        <is>
          <t>木椰餐廳（沙田）</t>
        </is>
      </c>
      <c r="S228" s="3" t="inlineStr">
        <is>
          <t>****21559318</t>
        </is>
      </c>
      <c r="T228" s="3" t="inlineStr">
        <is>
          <t>****21559318</t>
        </is>
      </c>
      <c r="U228" s="3" t="inlineStr">
        <is>
          <t>***** 4-16號舖</t>
        </is>
      </c>
      <c r="V228" s="3" t="inlineStr">
        <is>
          <t>香港</t>
        </is>
      </c>
      <c r="W228" s="3" t="inlineStr">
        <is>
          <t>机纸/小票纸 / 包出</t>
        </is>
      </c>
      <c r="X228" s="3" t="inlineStr">
        <is>
          <t>ESS-SFTS-OTMS</t>
        </is>
      </c>
      <c r="Y228" s="3" t="n"/>
      <c r="Z228" s="3" t="inlineStr"/>
      <c r="AA228" s="3" t="inlineStr">
        <is>
          <t>寄付月結</t>
        </is>
      </c>
      <c r="AB228">
        <f>IFERROR(VLOOKUP(Q228&amp;"",對照表!$A:$B,1,FALSE),"")</f>
        <v/>
      </c>
      <c r="AC228">
        <f>IFERROR(VLOOKUP(Q228&amp;"",對照表!$A:$B,2,FALSE),"")</f>
        <v/>
      </c>
    </row>
    <row r="229">
      <c r="A229" s="3" t="inlineStr">
        <is>
          <t>SF5119115818084</t>
        </is>
      </c>
      <c r="B229" s="3" t="n">
        <v>58424106188876</v>
      </c>
      <c r="C229" s="3" t="inlineStr">
        <is>
          <t>已簽收</t>
        </is>
      </c>
      <c r="D229" s="3" t="inlineStr">
        <is>
          <t>2026-07-02 14:16:59</t>
        </is>
      </c>
      <c r="E229" s="3" t="inlineStr">
        <is>
          <t>2026-07-03 12:41</t>
        </is>
      </c>
      <c r="F229" s="3" t="n">
        <v>4.45</v>
      </c>
      <c r="G229" s="3" t="n">
        <v>1</v>
      </c>
      <c r="H229" s="3" t="n"/>
      <c r="I229" s="3" t="inlineStr"/>
      <c r="J229" s="3" t="inlineStr">
        <is>
          <t>Keeta</t>
        </is>
      </c>
      <c r="K229" s="3" t="inlineStr">
        <is>
          <t>****9568</t>
        </is>
      </c>
      <c r="L229" s="3" t="n"/>
      <c r="M229" s="3" t="inlineStr">
        <is>
          <t>***** 物流中心5樓</t>
        </is>
      </c>
      <c r="N229" s="3" t="inlineStr">
        <is>
          <t>北区</t>
        </is>
      </c>
      <c r="O229" s="3" t="inlineStr">
        <is>
          <t>香港</t>
        </is>
      </c>
      <c r="P229" s="3" t="inlineStr">
        <is>
          <t>香港特别行政区</t>
        </is>
      </c>
      <c r="Q229" s="3" t="n">
        <v>449877</v>
      </c>
      <c r="R229" s="3" t="inlineStr">
        <is>
          <t>TheBottleSteak(灣仔)(澳洲扒房)食肉獸之選</t>
        </is>
      </c>
      <c r="S229" s="3" t="inlineStr">
        <is>
          <t>****55663218</t>
        </is>
      </c>
      <c r="T229" s="3" t="inlineStr">
        <is>
          <t>****55663218</t>
        </is>
      </c>
      <c r="U229" s="3" t="inlineStr">
        <is>
          <t>***** ai, HK</t>
        </is>
      </c>
      <c r="V229" s="3" t="inlineStr">
        <is>
          <t>香港</t>
        </is>
      </c>
      <c r="W229" s="3" t="inlineStr">
        <is>
          <t>机纸/小票纸 / 包出</t>
        </is>
      </c>
      <c r="X229" s="3" t="inlineStr">
        <is>
          <t>ESS-SFTS-OTMS</t>
        </is>
      </c>
      <c r="Y229" s="3" t="n"/>
      <c r="Z229" s="3" t="inlineStr"/>
      <c r="AA229" s="3" t="inlineStr">
        <is>
          <t>寄付月結</t>
        </is>
      </c>
      <c r="AB229">
        <f>IFERROR(VLOOKUP(Q229&amp;"",對照表!$A:$B,1,FALSE),"")</f>
        <v/>
      </c>
      <c r="AC229">
        <f>IFERROR(VLOOKUP(Q229&amp;"",對照表!$A:$B,2,FALSE),"")</f>
        <v/>
      </c>
    </row>
    <row r="230">
      <c r="A230" s="3" t="inlineStr">
        <is>
          <t>SF5119115817769</t>
        </is>
      </c>
      <c r="B230" s="3" t="n">
        <v>58424106188809</v>
      </c>
      <c r="C230" s="3" t="inlineStr">
        <is>
          <t>已簽收</t>
        </is>
      </c>
      <c r="D230" s="3" t="inlineStr">
        <is>
          <t>2026-07-02 15:47:17</t>
        </is>
      </c>
      <c r="E230" s="3" t="inlineStr">
        <is>
          <t>2026-07-03 10:10</t>
        </is>
      </c>
      <c r="F230" s="3" t="n">
        <v>29</v>
      </c>
      <c r="G230" s="3" t="n">
        <v>2</v>
      </c>
      <c r="H230" s="3" t="n"/>
      <c r="I230" s="3" t="inlineStr"/>
      <c r="J230" s="3" t="inlineStr">
        <is>
          <t>Keeta</t>
        </is>
      </c>
      <c r="K230" s="3" t="inlineStr">
        <is>
          <t>****9568</t>
        </is>
      </c>
      <c r="L230" s="3" t="n"/>
      <c r="M230" s="3" t="inlineStr">
        <is>
          <t>***** 物流中心5樓</t>
        </is>
      </c>
      <c r="N230" s="3" t="inlineStr">
        <is>
          <t>北区</t>
        </is>
      </c>
      <c r="O230" s="3" t="inlineStr">
        <is>
          <t>香港</t>
        </is>
      </c>
      <c r="P230" s="3" t="inlineStr">
        <is>
          <t>香港特别行政区</t>
        </is>
      </c>
      <c r="Q230" s="3" t="n">
        <v>450671</v>
      </c>
      <c r="R230" s="3" t="inlineStr">
        <is>
          <t>麥當勞(慈雲山)McDonalds</t>
        </is>
      </c>
      <c r="S230" s="3" t="inlineStr">
        <is>
          <t>****27528426</t>
        </is>
      </c>
      <c r="T230" s="3" t="inlineStr">
        <is>
          <t>****27528426</t>
        </is>
      </c>
      <c r="U230" s="3" t="inlineStr">
        <is>
          <t>***** 心333號舖</t>
        </is>
      </c>
      <c r="V230" s="3" t="inlineStr">
        <is>
          <t>香港</t>
        </is>
      </c>
      <c r="W230" s="3" t="inlineStr">
        <is>
          <t>纸袋【通版】/ 箱出</t>
        </is>
      </c>
      <c r="X230" s="3" t="inlineStr">
        <is>
          <t>ESS-SFTS-OTMS</t>
        </is>
      </c>
      <c r="Y230" s="3" t="n"/>
      <c r="Z230" s="3" t="inlineStr"/>
      <c r="AA230" s="3" t="inlineStr">
        <is>
          <t>寄付月結</t>
        </is>
      </c>
      <c r="AB230">
        <f>IFERROR(VLOOKUP(Q230&amp;"",對照表!$A:$B,1,FALSE),"")</f>
        <v/>
      </c>
      <c r="AC230">
        <f>IFERROR(VLOOKUP(Q230&amp;"",對照表!$A:$B,2,FALSE),"")</f>
        <v/>
      </c>
    </row>
    <row r="231">
      <c r="A231" s="3" t="inlineStr">
        <is>
          <t>SF5119115818118</t>
        </is>
      </c>
      <c r="B231" s="3" t="n">
        <v>58424106188885</v>
      </c>
      <c r="C231" s="3" t="inlineStr">
        <is>
          <t>已簽收</t>
        </is>
      </c>
      <c r="D231" s="3" t="inlineStr">
        <is>
          <t>2026-07-02 14:17:03</t>
        </is>
      </c>
      <c r="E231" s="3" t="inlineStr">
        <is>
          <t>2026-07-03 14:05</t>
        </is>
      </c>
      <c r="F231" s="3" t="n">
        <v>4.45</v>
      </c>
      <c r="G231" s="3" t="n">
        <v>1</v>
      </c>
      <c r="H231" s="3" t="n"/>
      <c r="I231" s="3" t="inlineStr"/>
      <c r="J231" s="3" t="inlineStr">
        <is>
          <t>Keeta</t>
        </is>
      </c>
      <c r="K231" s="3" t="inlineStr">
        <is>
          <t>****9568</t>
        </is>
      </c>
      <c r="L231" s="3" t="n"/>
      <c r="M231" s="3" t="inlineStr">
        <is>
          <t>***** 物流中心5樓</t>
        </is>
      </c>
      <c r="N231" s="3" t="inlineStr">
        <is>
          <t>北区</t>
        </is>
      </c>
      <c r="O231" s="3" t="inlineStr">
        <is>
          <t>香港</t>
        </is>
      </c>
      <c r="P231" s="3" t="inlineStr">
        <is>
          <t>香港特别行政区</t>
        </is>
      </c>
      <c r="Q231" s="3" t="n">
        <v>461744</v>
      </c>
      <c r="R231" s="3" t="inlineStr">
        <is>
          <t>紅橋夜市HungKiuNightMarket</t>
        </is>
      </c>
      <c r="S231" s="3" t="inlineStr">
        <is>
          <t>****62887880</t>
        </is>
      </c>
      <c r="T231" s="3" t="inlineStr">
        <is>
          <t>****62887880</t>
        </is>
      </c>
      <c r="U231" s="3" t="inlineStr">
        <is>
          <t>***** en Mun</t>
        </is>
      </c>
      <c r="V231" s="3" t="inlineStr">
        <is>
          <t>香港</t>
        </is>
      </c>
      <c r="W231" s="3" t="inlineStr">
        <is>
          <t>机纸/小票纸 / 包出</t>
        </is>
      </c>
      <c r="X231" s="3" t="inlineStr">
        <is>
          <t>ESS-SFTS-OTMS</t>
        </is>
      </c>
      <c r="Y231" s="3" t="n"/>
      <c r="Z231" s="3" t="inlineStr"/>
      <c r="AA231" s="3" t="inlineStr">
        <is>
          <t>寄付月結</t>
        </is>
      </c>
      <c r="AB231">
        <f>IFERROR(VLOOKUP(Q231&amp;"",對照表!$A:$B,1,FALSE),"")</f>
        <v/>
      </c>
      <c r="AC231">
        <f>IFERROR(VLOOKUP(Q231&amp;"",對照表!$A:$B,2,FALSE),"")</f>
        <v/>
      </c>
    </row>
    <row r="232">
      <c r="A232" s="3" t="inlineStr">
        <is>
          <t>SF5119115817672</t>
        </is>
      </c>
      <c r="B232" s="3" t="n">
        <v>58424106156438</v>
      </c>
      <c r="C232" s="3" t="inlineStr">
        <is>
          <t>已簽收</t>
        </is>
      </c>
      <c r="D232" s="3" t="inlineStr">
        <is>
          <t>2026-07-02 17:01:18</t>
        </is>
      </c>
      <c r="E232" s="3" t="inlineStr">
        <is>
          <t>2026-07-03 11:54</t>
        </is>
      </c>
      <c r="F232" s="3" t="n">
        <v>12.44</v>
      </c>
      <c r="G232" s="3" t="n">
        <v>2</v>
      </c>
      <c r="H232" s="3" t="n"/>
      <c r="I232" s="3" t="inlineStr"/>
      <c r="J232" s="3" t="inlineStr">
        <is>
          <t>Keeta</t>
        </is>
      </c>
      <c r="K232" s="3" t="inlineStr">
        <is>
          <t>****9568</t>
        </is>
      </c>
      <c r="L232" s="3" t="n"/>
      <c r="M232" s="3" t="inlineStr">
        <is>
          <t>***** 物流中心5樓</t>
        </is>
      </c>
      <c r="N232" s="3" t="inlineStr">
        <is>
          <t>北区</t>
        </is>
      </c>
      <c r="O232" s="3" t="inlineStr">
        <is>
          <t>香港</t>
        </is>
      </c>
      <c r="P232" s="3" t="inlineStr">
        <is>
          <t>香港特别行政区</t>
        </is>
      </c>
      <c r="Q232" s="3" t="n">
        <v>721516382</v>
      </c>
      <c r="R232" s="3" t="inlineStr">
        <is>
          <t>MINYOUNG</t>
        </is>
      </c>
      <c r="S232" s="3" t="inlineStr">
        <is>
          <t>****56475009</t>
        </is>
      </c>
      <c r="T232" s="3" t="inlineStr">
        <is>
          <t>****56475009</t>
        </is>
      </c>
      <c r="U232" s="3" t="inlineStr">
        <is>
          <t>***** G KONG</t>
        </is>
      </c>
      <c r="V232" s="3" t="inlineStr">
        <is>
          <t>香港</t>
        </is>
      </c>
      <c r="W232" s="3" t="inlineStr">
        <is>
          <t>机纸/小票纸 / 包出, 无纺布【规格三中号】/ 箱出</t>
        </is>
      </c>
      <c r="X232" s="3" t="inlineStr">
        <is>
          <t>ESS-SFTS-OTMS</t>
        </is>
      </c>
      <c r="Y232" s="3" t="n"/>
      <c r="Z232" s="3" t="inlineStr"/>
      <c r="AA232" s="3" t="inlineStr">
        <is>
          <t>寄付月結</t>
        </is>
      </c>
      <c r="AB232">
        <f>IFERROR(VLOOKUP(Q232&amp;"",對照表!$A:$B,1,FALSE),"")</f>
        <v/>
      </c>
      <c r="AC232">
        <f>IFERROR(VLOOKUP(Q232&amp;"",對照表!$A:$B,2,FALSE),"")</f>
        <v/>
      </c>
    </row>
    <row r="233">
      <c r="A233" s="3" t="inlineStr">
        <is>
          <t>SF5119115817857</t>
        </is>
      </c>
      <c r="B233" s="3" t="n">
        <v>58424106188829</v>
      </c>
      <c r="C233" s="3" t="inlineStr">
        <is>
          <t>已簽收</t>
        </is>
      </c>
      <c r="D233" s="3" t="inlineStr">
        <is>
          <t>2026-07-02 15:47:19</t>
        </is>
      </c>
      <c r="E233" s="3" t="inlineStr">
        <is>
          <t>2026-07-03 12:25</t>
        </is>
      </c>
      <c r="F233" s="3" t="n">
        <v>29</v>
      </c>
      <c r="G233" s="3" t="n">
        <v>2</v>
      </c>
      <c r="H233" s="3" t="n"/>
      <c r="I233" s="3" t="inlineStr"/>
      <c r="J233" s="3" t="inlineStr">
        <is>
          <t>Keeta</t>
        </is>
      </c>
      <c r="K233" s="3" t="inlineStr">
        <is>
          <t>****9568</t>
        </is>
      </c>
      <c r="L233" s="3" t="n"/>
      <c r="M233" s="3" t="inlineStr">
        <is>
          <t>***** 物流中心5樓</t>
        </is>
      </c>
      <c r="N233" s="3" t="inlineStr">
        <is>
          <t>北区</t>
        </is>
      </c>
      <c r="O233" s="3" t="inlineStr">
        <is>
          <t>香港</t>
        </is>
      </c>
      <c r="P233" s="3" t="inlineStr">
        <is>
          <t>香港特别行政区</t>
        </is>
      </c>
      <c r="Q233" s="3" t="n">
        <v>721538395</v>
      </c>
      <c r="R233" s="3" t="inlineStr">
        <is>
          <t>麥當勞 (將軍澳中心II) McDonald&amp;apos;s
McDonald&amp;apos;s (Park Central II)
ID 721538395
 · KA團隊
 門市編</t>
        </is>
      </c>
      <c r="S233" s="3" t="inlineStr">
        <is>
          <t>****27870201</t>
        </is>
      </c>
      <c r="T233" s="3" t="inlineStr">
        <is>
          <t>****27870201</t>
        </is>
      </c>
      <c r="U233" s="3" t="inlineStr">
        <is>
          <t>***** 下G33號舖</t>
        </is>
      </c>
      <c r="V233" s="3" t="inlineStr">
        <is>
          <t>香港</t>
        </is>
      </c>
      <c r="W233" s="3" t="inlineStr">
        <is>
          <t>纸袋【通版】/ 箱出</t>
        </is>
      </c>
      <c r="X233" s="3" t="inlineStr">
        <is>
          <t>ESS-SFTS-OTMS</t>
        </is>
      </c>
      <c r="Y233" s="3" t="n"/>
      <c r="Z233" s="3" t="inlineStr"/>
      <c r="AA233" s="3" t="inlineStr">
        <is>
          <t>寄付月結</t>
        </is>
      </c>
      <c r="AB233">
        <f>IFERROR(VLOOKUP(Q233&amp;"",對照表!$A:$B,1,FALSE),"")</f>
        <v/>
      </c>
      <c r="AC233">
        <f>IFERROR(VLOOKUP(Q233&amp;"",對照表!$A:$B,2,FALSE),"")</f>
        <v/>
      </c>
    </row>
    <row r="234">
      <c r="A234" s="3" t="inlineStr">
        <is>
          <t>SF5119115818057</t>
        </is>
      </c>
      <c r="B234" s="3" t="n">
        <v>58424106188870</v>
      </c>
      <c r="C234" s="3" t="inlineStr">
        <is>
          <t>已簽收</t>
        </is>
      </c>
      <c r="D234" s="3" t="inlineStr">
        <is>
          <t>2026-07-02 15:40:17</t>
        </is>
      </c>
      <c r="E234" s="3" t="inlineStr">
        <is>
          <t>2026-07-03 11:25</t>
        </is>
      </c>
      <c r="F234" s="3" t="n">
        <v>14.5</v>
      </c>
      <c r="G234" s="3" t="n">
        <v>1</v>
      </c>
      <c r="H234" s="3" t="n"/>
      <c r="I234" s="3" t="inlineStr"/>
      <c r="J234" s="3" t="inlineStr">
        <is>
          <t>Keeta</t>
        </is>
      </c>
      <c r="K234" s="3" t="inlineStr">
        <is>
          <t>****9568</t>
        </is>
      </c>
      <c r="L234" s="3" t="n"/>
      <c r="M234" s="3" t="inlineStr">
        <is>
          <t>***** 物流中心5樓</t>
        </is>
      </c>
      <c r="N234" s="3" t="inlineStr">
        <is>
          <t>北区</t>
        </is>
      </c>
      <c r="O234" s="3" t="inlineStr">
        <is>
          <t>香港</t>
        </is>
      </c>
      <c r="P234" s="3" t="inlineStr">
        <is>
          <t>香港特别行政区</t>
        </is>
      </c>
      <c r="Q234" s="3" t="n">
        <v>721512370</v>
      </c>
      <c r="R234" s="3" t="inlineStr">
        <is>
          <t>麥當勞 (九龍站) McDonald&amp;apos;s
McDonald&amp;apos;s (Kowloon Station)</t>
        </is>
      </c>
      <c r="S234" s="3" t="inlineStr">
        <is>
          <t>****23750161</t>
        </is>
      </c>
      <c r="T234" s="3" t="inlineStr">
        <is>
          <t>****23750161</t>
        </is>
      </c>
      <c r="U234" s="3" t="inlineStr">
        <is>
          <t>***** 堂12號B舖</t>
        </is>
      </c>
      <c r="V234" s="3" t="inlineStr">
        <is>
          <t>香港</t>
        </is>
      </c>
      <c r="W234" s="3" t="inlineStr">
        <is>
          <t>纸袋【通版】/ 箱出</t>
        </is>
      </c>
      <c r="X234" s="3" t="inlineStr">
        <is>
          <t>ESS-SFTS-OTMS</t>
        </is>
      </c>
      <c r="Y234" s="3" t="n"/>
      <c r="Z234" s="3" t="inlineStr"/>
      <c r="AA234" s="3" t="inlineStr">
        <is>
          <t>寄付月結</t>
        </is>
      </c>
      <c r="AB234">
        <f>IFERROR(VLOOKUP(Q234&amp;"",對照表!$A:$B,1,FALSE),"")</f>
        <v/>
      </c>
      <c r="AC234">
        <f>IFERROR(VLOOKUP(Q234&amp;"",對照表!$A:$B,2,FALSE),"")</f>
        <v/>
      </c>
    </row>
    <row r="235">
      <c r="A235" s="3" t="inlineStr">
        <is>
          <t>SF5119115818075</t>
        </is>
      </c>
      <c r="B235" s="3" t="n">
        <v>58424106188875</v>
      </c>
      <c r="C235" s="3" t="inlineStr">
        <is>
          <t>已簽收</t>
        </is>
      </c>
      <c r="D235" s="3" t="inlineStr">
        <is>
          <t>2026-07-02 14:17:01</t>
        </is>
      </c>
      <c r="E235" s="3" t="inlineStr">
        <is>
          <t>2026-07-03 10:54</t>
        </is>
      </c>
      <c r="F235" s="3" t="n">
        <v>4.45</v>
      </c>
      <c r="G235" s="3" t="n">
        <v>1</v>
      </c>
      <c r="H235" s="3" t="n"/>
      <c r="I235" s="3" t="inlineStr"/>
      <c r="J235" s="3" t="inlineStr">
        <is>
          <t>Keeta</t>
        </is>
      </c>
      <c r="K235" s="3" t="inlineStr">
        <is>
          <t>****9568</t>
        </is>
      </c>
      <c r="L235" s="3" t="n"/>
      <c r="M235" s="3" t="inlineStr">
        <is>
          <t>***** 物流中心5樓</t>
        </is>
      </c>
      <c r="N235" s="3" t="inlineStr">
        <is>
          <t>北区</t>
        </is>
      </c>
      <c r="O235" s="3" t="inlineStr">
        <is>
          <t>香港</t>
        </is>
      </c>
      <c r="P235" s="3" t="inlineStr">
        <is>
          <t>香港特别行政区</t>
        </is>
      </c>
      <c r="Q235" s="3" t="n">
        <v>721527377</v>
      </c>
      <c r="R235" s="3" t="inlineStr">
        <is>
          <t>樂天冰室 (黃大仙)
LOK TIN CAFÉ (WONG TAI SIN)</t>
        </is>
      </c>
      <c r="S235" s="3" t="inlineStr">
        <is>
          <t>****62169388</t>
        </is>
      </c>
      <c r="T235" s="3" t="inlineStr">
        <is>
          <t>****62169388</t>
        </is>
      </c>
      <c r="U235" s="3" t="inlineStr">
        <is>
          <t>***** 地下G9號舖</t>
        </is>
      </c>
      <c r="V235" s="3" t="inlineStr">
        <is>
          <t>香港</t>
        </is>
      </c>
      <c r="W235" s="3" t="inlineStr">
        <is>
          <t>机纸/小票纸 / 包出</t>
        </is>
      </c>
      <c r="X235" s="3" t="inlineStr">
        <is>
          <t>ESS-SFTS-OTMS</t>
        </is>
      </c>
      <c r="Y235" s="3" t="n"/>
      <c r="Z235" s="3" t="inlineStr"/>
      <c r="AA235" s="3" t="inlineStr">
        <is>
          <t>寄付月結</t>
        </is>
      </c>
      <c r="AB235">
        <f>IFERROR(VLOOKUP(Q235&amp;"",對照表!$A:$B,1,FALSE),"")</f>
        <v/>
      </c>
      <c r="AC235">
        <f>IFERROR(VLOOKUP(Q235&amp;"",對照表!$A:$B,2,FALSE),"")</f>
        <v/>
      </c>
    </row>
    <row r="236">
      <c r="A236" s="3" t="inlineStr">
        <is>
          <t>SF5119115817750</t>
        </is>
      </c>
      <c r="B236" s="3" t="n">
        <v>58424106188806</v>
      </c>
      <c r="C236" s="3" t="inlineStr">
        <is>
          <t>已簽收</t>
        </is>
      </c>
      <c r="D236" s="3" t="inlineStr">
        <is>
          <t>2026-07-02 15:40:16</t>
        </is>
      </c>
      <c r="E236" s="3" t="inlineStr">
        <is>
          <t>2026-07-03 10:07</t>
        </is>
      </c>
      <c r="F236" s="3" t="n">
        <v>14.5</v>
      </c>
      <c r="G236" s="3" t="n">
        <v>1</v>
      </c>
      <c r="H236" s="3" t="n"/>
      <c r="I236" s="3" t="inlineStr"/>
      <c r="J236" s="3" t="inlineStr">
        <is>
          <t>Keeta</t>
        </is>
      </c>
      <c r="K236" s="3" t="inlineStr">
        <is>
          <t>****9568</t>
        </is>
      </c>
      <c r="L236" s="3" t="n"/>
      <c r="M236" s="3" t="inlineStr">
        <is>
          <t>***** 物流中心5樓</t>
        </is>
      </c>
      <c r="N236" s="3" t="inlineStr">
        <is>
          <t>北区</t>
        </is>
      </c>
      <c r="O236" s="3" t="inlineStr">
        <is>
          <t>香港</t>
        </is>
      </c>
      <c r="P236" s="3" t="inlineStr">
        <is>
          <t>香港特别行政区</t>
        </is>
      </c>
      <c r="Q236" s="3" t="n">
        <v>721526348</v>
      </c>
      <c r="R236" s="3" t="inlineStr">
        <is>
          <t>有營站HealthGoal每月不同套餐大大份新鮮蔬菜</t>
        </is>
      </c>
      <c r="S236" s="3" t="inlineStr">
        <is>
          <t>****69948988</t>
        </is>
      </c>
      <c r="T236" s="3" t="inlineStr">
        <is>
          <t>****69948988</t>
        </is>
      </c>
      <c r="U236" s="3" t="inlineStr">
        <is>
          <t>***** NG WAN</t>
        </is>
      </c>
      <c r="V236" s="3" t="inlineStr">
        <is>
          <t>香港</t>
        </is>
      </c>
      <c r="W236" s="3" t="inlineStr">
        <is>
          <t>纸袋【通版】/ 箱出</t>
        </is>
      </c>
      <c r="X236" s="3" t="inlineStr">
        <is>
          <t>ESS-SFTS-OTMS</t>
        </is>
      </c>
      <c r="Y236" s="3" t="n"/>
      <c r="Z236" s="3" t="inlineStr"/>
      <c r="AA236" s="3" t="inlineStr">
        <is>
          <t>寄付月結</t>
        </is>
      </c>
      <c r="AB236">
        <f>IFERROR(VLOOKUP(Q236&amp;"",對照表!$A:$B,1,FALSE),"")</f>
        <v/>
      </c>
      <c r="AC236">
        <f>IFERROR(VLOOKUP(Q236&amp;"",對照表!$A:$B,2,FALSE),"")</f>
        <v/>
      </c>
    </row>
    <row r="237">
      <c r="A237" s="3" t="inlineStr">
        <is>
          <t>SF5119115818145</t>
        </is>
      </c>
      <c r="B237" s="3" t="n">
        <v>58424106188890</v>
      </c>
      <c r="C237" s="3" t="inlineStr">
        <is>
          <t>已簽收</t>
        </is>
      </c>
      <c r="D237" s="3" t="inlineStr">
        <is>
          <t>2026-07-02 15:16:17</t>
        </is>
      </c>
      <c r="E237" s="3" t="inlineStr">
        <is>
          <t>2026-07-03 09:39</t>
        </is>
      </c>
      <c r="F237" s="3" t="n">
        <v>2.36</v>
      </c>
      <c r="G237" s="3" t="n">
        <v>1</v>
      </c>
      <c r="H237" s="3" t="n"/>
      <c r="I237" s="3" t="inlineStr"/>
      <c r="J237" s="3" t="inlineStr">
        <is>
          <t>Keeta</t>
        </is>
      </c>
      <c r="K237" s="3" t="inlineStr">
        <is>
          <t>****9568</t>
        </is>
      </c>
      <c r="L237" s="3" t="n"/>
      <c r="M237" s="3" t="inlineStr">
        <is>
          <t>***** 物流中心5樓</t>
        </is>
      </c>
      <c r="N237" s="3" t="inlineStr">
        <is>
          <t>北区</t>
        </is>
      </c>
      <c r="O237" s="3" t="inlineStr">
        <is>
          <t>香港</t>
        </is>
      </c>
      <c r="P237" s="3" t="inlineStr">
        <is>
          <t>香港特别行政区</t>
        </is>
      </c>
      <c r="Q237" s="3" t="n">
        <v>721527304</v>
      </c>
      <c r="R237" s="3" t="inlineStr">
        <is>
          <t>FancySalad即叫即煎健康沙律</t>
        </is>
      </c>
      <c r="S237" s="3" t="inlineStr">
        <is>
          <t>****51007705</t>
        </is>
      </c>
      <c r="T237" s="3" t="inlineStr">
        <is>
          <t>****51007705</t>
        </is>
      </c>
      <c r="U237" s="3" t="inlineStr">
        <is>
          <t>***** 街12號地下</t>
        </is>
      </c>
      <c r="V237" s="3" t="inlineStr">
        <is>
          <t>香港</t>
        </is>
      </c>
      <c r="W237" s="3" t="inlineStr">
        <is>
          <t>机纸/小票纸 / 包出</t>
        </is>
      </c>
      <c r="X237" s="3" t="inlineStr">
        <is>
          <t>ESS-SFTS-OTMS</t>
        </is>
      </c>
      <c r="Y237" s="3" t="n"/>
      <c r="Z237" s="3" t="inlineStr"/>
      <c r="AA237" s="3" t="inlineStr">
        <is>
          <t>寄付月結</t>
        </is>
      </c>
      <c r="AB237">
        <f>IFERROR(VLOOKUP(Q237&amp;"",對照表!$A:$B,1,FALSE),"")</f>
        <v/>
      </c>
      <c r="AC237">
        <f>IFERROR(VLOOKUP(Q237&amp;"",對照表!$A:$B,2,FALSE),"")</f>
        <v/>
      </c>
    </row>
    <row r="238">
      <c r="A238" s="3" t="inlineStr">
        <is>
          <t>SF5119115818048</t>
        </is>
      </c>
      <c r="B238" s="3" t="n">
        <v>58424106188868</v>
      </c>
      <c r="C238" s="3" t="inlineStr">
        <is>
          <t>已簽收</t>
        </is>
      </c>
      <c r="D238" s="3" t="inlineStr">
        <is>
          <t>2026-07-02 16:59:02</t>
        </is>
      </c>
      <c r="E238" s="3" t="inlineStr">
        <is>
          <t>2026-07-03 16:59</t>
        </is>
      </c>
      <c r="F238" s="3" t="n">
        <v>9.9</v>
      </c>
      <c r="G238" s="3" t="n">
        <v>1</v>
      </c>
      <c r="H238" s="3" t="n"/>
      <c r="I238" s="3" t="inlineStr"/>
      <c r="J238" s="3" t="inlineStr">
        <is>
          <t>Keeta</t>
        </is>
      </c>
      <c r="K238" s="3" t="inlineStr">
        <is>
          <t>****9568</t>
        </is>
      </c>
      <c r="L238" s="3" t="n"/>
      <c r="M238" s="3" t="inlineStr">
        <is>
          <t>***** 物流中心5樓</t>
        </is>
      </c>
      <c r="N238" s="3" t="inlineStr">
        <is>
          <t>北区</t>
        </is>
      </c>
      <c r="O238" s="3" t="inlineStr">
        <is>
          <t>香港</t>
        </is>
      </c>
      <c r="P238" s="3" t="inlineStr">
        <is>
          <t>香港特别行政区</t>
        </is>
      </c>
      <c r="Q238" s="3" t="n">
        <v>721421318</v>
      </c>
      <c r="R238" s="3" t="inlineStr">
        <is>
          <t>UG樂己(藍田)(台灣超人氣茶飲)</t>
        </is>
      </c>
      <c r="S238" s="3" t="inlineStr">
        <is>
          <t>****23321080</t>
        </is>
      </c>
      <c r="T238" s="3" t="inlineStr">
        <is>
          <t>****23321080</t>
        </is>
      </c>
      <c r="U238" s="3" t="inlineStr">
        <is>
          <t>***** 樓2A1號舖</t>
        </is>
      </c>
      <c r="V238" s="3" t="inlineStr">
        <is>
          <t>香港</t>
        </is>
      </c>
      <c r="W238" s="3" t="inlineStr">
        <is>
          <t>无纺布【规格三中号】/ 箱出</t>
        </is>
      </c>
      <c r="X238" s="3" t="inlineStr">
        <is>
          <t>ESS-SFTS-OTMS</t>
        </is>
      </c>
      <c r="Y238" s="3" t="n"/>
      <c r="Z238" s="3" t="inlineStr"/>
      <c r="AA238" s="3" t="inlineStr">
        <is>
          <t>寄付月結</t>
        </is>
      </c>
      <c r="AB238">
        <f>IFERROR(VLOOKUP(Q238&amp;"",對照表!$A:$B,1,FALSE),"")</f>
        <v/>
      </c>
      <c r="AC238">
        <f>IFERROR(VLOOKUP(Q238&amp;"",對照表!$A:$B,2,FALSE),"")</f>
        <v/>
      </c>
    </row>
    <row r="239">
      <c r="A239" s="3" t="inlineStr">
        <is>
          <t>SF5119115817008</t>
        </is>
      </c>
      <c r="B239" s="3" t="n">
        <v>58424106156302</v>
      </c>
      <c r="C239" s="3" t="inlineStr">
        <is>
          <t>已簽收</t>
        </is>
      </c>
      <c r="D239" s="3" t="inlineStr">
        <is>
          <t>2026-07-02 18:00:20</t>
        </is>
      </c>
      <c r="E239" s="3" t="inlineStr">
        <is>
          <t>2026-07-03 12:50</t>
        </is>
      </c>
      <c r="F239" s="3" t="n">
        <v>1</v>
      </c>
      <c r="G239" s="3" t="n">
        <v>1</v>
      </c>
      <c r="H239" s="3" t="n"/>
      <c r="I239" s="3" t="inlineStr"/>
      <c r="J239" s="3" t="inlineStr">
        <is>
          <t>Keeta</t>
        </is>
      </c>
      <c r="K239" s="3" t="inlineStr">
        <is>
          <t>****9568</t>
        </is>
      </c>
      <c r="L239" s="3" t="n"/>
      <c r="M239" s="3" t="inlineStr">
        <is>
          <t>***** 物流中心5樓</t>
        </is>
      </c>
      <c r="N239" s="3" t="inlineStr">
        <is>
          <t>北区</t>
        </is>
      </c>
      <c r="O239" s="3" t="inlineStr">
        <is>
          <t>香港</t>
        </is>
      </c>
      <c r="P239" s="3" t="inlineStr">
        <is>
          <t>香港特别行政区</t>
        </is>
      </c>
      <c r="Q239" s="3" t="n">
        <v>572120</v>
      </c>
      <c r="R239" s="3" t="inlineStr">
        <is>
          <t>同芯冰室</t>
        </is>
      </c>
      <c r="S239" s="3" t="inlineStr">
        <is>
          <t>****9339</t>
        </is>
      </c>
      <c r="T239" s="3" t="inlineStr">
        <is>
          <t>****9339</t>
        </is>
      </c>
      <c r="U239" s="3" t="inlineStr">
        <is>
          <t>***** 道59號地舖</t>
        </is>
      </c>
      <c r="V239" s="3" t="inlineStr">
        <is>
          <t>香港</t>
        </is>
      </c>
      <c r="W239" s="3" t="inlineStr">
        <is>
          <t>翻新POS机【真唯】/ 件出</t>
        </is>
      </c>
      <c r="X239" s="3" t="inlineStr">
        <is>
          <t>ESS-SFTS-OTMS</t>
        </is>
      </c>
      <c r="Y239" s="3" t="n"/>
      <c r="Z239" s="3" t="inlineStr"/>
      <c r="AA239" s="3" t="inlineStr">
        <is>
          <t>寄付月結</t>
        </is>
      </c>
      <c r="AB239">
        <f>IFERROR(VLOOKUP(Q239&amp;"",對照表!$A:$B,1,FALSE),"")</f>
        <v/>
      </c>
      <c r="AC239">
        <f>IFERROR(VLOOKUP(Q239&amp;"",對照表!$A:$B,2,FALSE),"")</f>
        <v/>
      </c>
    </row>
    <row r="240">
      <c r="A240" s="3" t="inlineStr">
        <is>
          <t>SF5119115816695</t>
        </is>
      </c>
      <c r="B240" s="3" t="n">
        <v>58424106156220</v>
      </c>
      <c r="C240" s="3" t="inlineStr">
        <is>
          <t>已簽收</t>
        </is>
      </c>
      <c r="D240" s="3" t="inlineStr">
        <is>
          <t>2026-07-02 18:09:17</t>
        </is>
      </c>
      <c r="E240" s="3" t="inlineStr">
        <is>
          <t>2026-07-03 10:42</t>
        </is>
      </c>
      <c r="F240" s="3" t="n">
        <v>1</v>
      </c>
      <c r="G240" s="3" t="n">
        <v>1</v>
      </c>
      <c r="H240" s="3" t="n"/>
      <c r="I240" s="3" t="inlineStr"/>
      <c r="J240" s="3" t="inlineStr">
        <is>
          <t>Keeta</t>
        </is>
      </c>
      <c r="K240" s="3" t="inlineStr">
        <is>
          <t>****9568</t>
        </is>
      </c>
      <c r="L240" s="3" t="n"/>
      <c r="M240" s="3" t="inlineStr">
        <is>
          <t>***** 物流中心5樓</t>
        </is>
      </c>
      <c r="N240" s="3" t="inlineStr">
        <is>
          <t>北区</t>
        </is>
      </c>
      <c r="O240" s="3" t="inlineStr">
        <is>
          <t>香港</t>
        </is>
      </c>
      <c r="P240" s="3" t="inlineStr">
        <is>
          <t>香港特别行政区</t>
        </is>
      </c>
      <c r="Q240" s="3" t="n">
        <v>562262</v>
      </c>
      <c r="R240" s="3" t="inlineStr">
        <is>
          <t>袁記雲餃（太安樓）全球近5000家門店</t>
        </is>
      </c>
      <c r="S240" s="3" t="inlineStr">
        <is>
          <t>****8932</t>
        </is>
      </c>
      <c r="T240" s="3" t="inlineStr">
        <is>
          <t>****8932</t>
        </is>
      </c>
      <c r="U240" s="3" t="inlineStr">
        <is>
          <t>***** g Kong</t>
        </is>
      </c>
      <c r="V240" s="3" t="inlineStr">
        <is>
          <t>香港</t>
        </is>
      </c>
      <c r="W240" s="3" t="inlineStr">
        <is>
          <t>翻新POS机【真唯】/ 件出</t>
        </is>
      </c>
      <c r="X240" s="3" t="inlineStr">
        <is>
          <t>ESS-SFTS-OTMS</t>
        </is>
      </c>
      <c r="Y240" s="3" t="n"/>
      <c r="Z240" s="3" t="inlineStr"/>
      <c r="AA240" s="3" t="inlineStr">
        <is>
          <t>寄付月結</t>
        </is>
      </c>
      <c r="AB240">
        <f>IFERROR(VLOOKUP(Q240&amp;"",對照表!$A:$B,1,FALSE),"")</f>
        <v/>
      </c>
      <c r="AC240">
        <f>IFERROR(VLOOKUP(Q240&amp;"",對照表!$A:$B,2,FALSE),"")</f>
        <v/>
      </c>
    </row>
    <row r="241">
      <c r="A241" s="3" t="inlineStr">
        <is>
          <t>SF5119115815715</t>
        </is>
      </c>
      <c r="B241" s="3" t="n">
        <v>58424106123275</v>
      </c>
      <c r="C241" s="3" t="inlineStr">
        <is>
          <t>已簽收</t>
        </is>
      </c>
      <c r="D241" s="3" t="inlineStr">
        <is>
          <t>2026-07-02 17:53:53</t>
        </is>
      </c>
      <c r="E241" s="3" t="inlineStr">
        <is>
          <t>2026-07-03 09:51</t>
        </is>
      </c>
      <c r="F241" s="3" t="n">
        <v>1</v>
      </c>
      <c r="G241" s="3" t="n">
        <v>1</v>
      </c>
      <c r="H241" s="3" t="n"/>
      <c r="I241" s="3" t="inlineStr"/>
      <c r="J241" s="3" t="inlineStr">
        <is>
          <t>Keeta</t>
        </is>
      </c>
      <c r="K241" s="3" t="inlineStr">
        <is>
          <t>****9568</t>
        </is>
      </c>
      <c r="L241" s="3" t="n"/>
      <c r="M241" s="3" t="inlineStr">
        <is>
          <t>***** 物流中心5樓</t>
        </is>
      </c>
      <c r="N241" s="3" t="inlineStr">
        <is>
          <t>北区</t>
        </is>
      </c>
      <c r="O241" s="3" t="inlineStr">
        <is>
          <t>香港</t>
        </is>
      </c>
      <c r="P241" s="3" t="inlineStr">
        <is>
          <t>香港特别行政区</t>
        </is>
      </c>
      <c r="Q241" s="3" t="n">
        <v>52395656</v>
      </c>
      <c r="R241" s="3" t="inlineStr">
        <is>
          <t>三多美食 【石門店】 (精美小菜任君選擇, 性價比之選)</t>
        </is>
      </c>
      <c r="S241" s="3" t="inlineStr">
        <is>
          <t>****5656</t>
        </is>
      </c>
      <c r="T241" s="3" t="inlineStr">
        <is>
          <t>****5656</t>
        </is>
      </c>
      <c r="U241" s="3" t="inlineStr">
        <is>
          <t>***** 下30C號鋪</t>
        </is>
      </c>
      <c r="V241" s="3" t="inlineStr">
        <is>
          <t>香港</t>
        </is>
      </c>
      <c r="W241" s="3" t="inlineStr">
        <is>
          <t>翻新POS机【真唯】/ 件出</t>
        </is>
      </c>
      <c r="X241" s="3" t="inlineStr">
        <is>
          <t>ESS-SFTS-OTMS</t>
        </is>
      </c>
      <c r="Y241" s="3" t="n"/>
      <c r="Z241" s="3" t="inlineStr"/>
      <c r="AA241" s="3" t="inlineStr">
        <is>
          <t>寄付月結</t>
        </is>
      </c>
      <c r="AB241">
        <f>IFERROR(VLOOKUP(Q241&amp;"",對照表!$A:$B,1,FALSE),"")</f>
        <v/>
      </c>
      <c r="AC241">
        <f>IFERROR(VLOOKUP(Q241&amp;"",對照表!$A:$B,2,FALSE),"")</f>
        <v/>
      </c>
    </row>
    <row r="242">
      <c r="A242" s="3" t="inlineStr">
        <is>
          <t>SF5119115815733</t>
        </is>
      </c>
      <c r="B242" s="3" t="n">
        <v>58424106123279</v>
      </c>
      <c r="C242" s="3" t="inlineStr">
        <is>
          <t>已簽收</t>
        </is>
      </c>
      <c r="D242" s="3" t="inlineStr">
        <is>
          <t>2026-07-02 17:53:38</t>
        </is>
      </c>
      <c r="E242" s="3" t="inlineStr">
        <is>
          <t>2026-07-03 12:07</t>
        </is>
      </c>
      <c r="F242" s="3" t="n">
        <v>1</v>
      </c>
      <c r="G242" s="3" t="n">
        <v>1</v>
      </c>
      <c r="H242" s="3" t="n"/>
      <c r="I242" s="3" t="inlineStr"/>
      <c r="J242" s="3" t="inlineStr">
        <is>
          <t>Keeta</t>
        </is>
      </c>
      <c r="K242" s="3" t="inlineStr">
        <is>
          <t>****9568</t>
        </is>
      </c>
      <c r="L242" s="3" t="n"/>
      <c r="M242" s="3" t="inlineStr">
        <is>
          <t>***** 物流中心5樓</t>
        </is>
      </c>
      <c r="N242" s="3" t="inlineStr">
        <is>
          <t>北区</t>
        </is>
      </c>
      <c r="O242" s="3" t="inlineStr">
        <is>
          <t>香港</t>
        </is>
      </c>
      <c r="P242" s="3" t="inlineStr">
        <is>
          <t>香港特别行政区</t>
        </is>
      </c>
      <c r="Q242" s="3" t="n">
        <v>39969363</v>
      </c>
      <c r="R242" s="3" t="inlineStr">
        <is>
          <t>包點料理(元州街)</t>
        </is>
      </c>
      <c r="S242" s="3" t="inlineStr">
        <is>
          <t>****9363</t>
        </is>
      </c>
      <c r="T242" s="3" t="inlineStr">
        <is>
          <t>****9363</t>
        </is>
      </c>
      <c r="U242" s="3" t="inlineStr">
        <is>
          <t>***** 大廈地下D舖</t>
        </is>
      </c>
      <c r="V242" s="3" t="inlineStr">
        <is>
          <t>香港</t>
        </is>
      </c>
      <c r="W242" s="3" t="inlineStr">
        <is>
          <t>翻新POS机【真唯】/ 件出</t>
        </is>
      </c>
      <c r="X242" s="3" t="inlineStr">
        <is>
          <t>ESS-SFTS-OTMS</t>
        </is>
      </c>
      <c r="Y242" s="3" t="n"/>
      <c r="Z242" s="3" t="inlineStr"/>
      <c r="AA242" s="3" t="inlineStr">
        <is>
          <t>寄付月結</t>
        </is>
      </c>
      <c r="AB242">
        <f>IFERROR(VLOOKUP(Q242&amp;"",對照表!$A:$B,1,FALSE),"")</f>
        <v/>
      </c>
      <c r="AC242">
        <f>IFERROR(VLOOKUP(Q242&amp;"",對照表!$A:$B,2,FALSE),"")</f>
        <v/>
      </c>
    </row>
    <row r="243">
      <c r="A243" s="3" t="inlineStr">
        <is>
          <t>SF5119115816395</t>
        </is>
      </c>
      <c r="B243" s="3" t="n">
        <v>58424106156164</v>
      </c>
      <c r="C243" s="3" t="inlineStr">
        <is>
          <t>已簽收</t>
        </is>
      </c>
      <c r="D243" s="3" t="inlineStr">
        <is>
          <t>2026-07-02 18:02:30</t>
        </is>
      </c>
      <c r="E243" s="3" t="inlineStr">
        <is>
          <t>2026-07-03 14:31</t>
        </is>
      </c>
      <c r="F243" s="3" t="n">
        <v>1</v>
      </c>
      <c r="G243" s="3" t="n">
        <v>1</v>
      </c>
      <c r="H243" s="3" t="n"/>
      <c r="I243" s="3" t="inlineStr"/>
      <c r="J243" s="3" t="inlineStr">
        <is>
          <t>Keeta</t>
        </is>
      </c>
      <c r="K243" s="3" t="inlineStr">
        <is>
          <t>****9568</t>
        </is>
      </c>
      <c r="L243" s="3" t="n"/>
      <c r="M243" s="3" t="inlineStr">
        <is>
          <t>***** 物流中心5樓</t>
        </is>
      </c>
      <c r="N243" s="3" t="inlineStr">
        <is>
          <t>北区</t>
        </is>
      </c>
      <c r="O243" s="3" t="inlineStr">
        <is>
          <t>香港</t>
        </is>
      </c>
      <c r="P243" s="3" t="inlineStr">
        <is>
          <t>香港特别行政区</t>
        </is>
      </c>
      <c r="Q243" s="3" t="n">
        <v>466761</v>
      </c>
      <c r="R243" s="3" t="inlineStr">
        <is>
          <t>Rossi’s Pizza and smoke meats</t>
        </is>
      </c>
      <c r="S243" s="3" t="inlineStr">
        <is>
          <t>****9750</t>
        </is>
      </c>
      <c r="T243" s="3" t="inlineStr">
        <is>
          <t>****9750</t>
        </is>
      </c>
      <c r="U243" s="3" t="inlineStr">
        <is>
          <t>***** UNG NT</t>
        </is>
      </c>
      <c r="V243" s="3" t="inlineStr">
        <is>
          <t>香港</t>
        </is>
      </c>
      <c r="W243" s="3" t="inlineStr">
        <is>
          <t>翻新POS机【真唯】/ 件出</t>
        </is>
      </c>
      <c r="X243" s="3" t="inlineStr">
        <is>
          <t>ESS-SFTS-OTMS</t>
        </is>
      </c>
      <c r="Y243" s="3" t="n"/>
      <c r="Z243" s="3" t="inlineStr"/>
      <c r="AA243" s="3" t="inlineStr">
        <is>
          <t>寄付月結</t>
        </is>
      </c>
      <c r="AB243">
        <f>IFERROR(VLOOKUP(Q243&amp;"",對照表!$A:$B,1,FALSE),"")</f>
        <v/>
      </c>
      <c r="AC243">
        <f>IFERROR(VLOOKUP(Q243&amp;"",對照表!$A:$B,2,FALSE),"")</f>
        <v/>
      </c>
    </row>
    <row r="244">
      <c r="A244" s="3" t="inlineStr">
        <is>
          <t>SF5119115817681</t>
        </is>
      </c>
      <c r="B244" s="3" t="n">
        <v>58424106156440</v>
      </c>
      <c r="C244" s="3" t="inlineStr">
        <is>
          <t>已簽收</t>
        </is>
      </c>
      <c r="D244" s="3" t="inlineStr">
        <is>
          <t>2026-07-02 18:04:34</t>
        </is>
      </c>
      <c r="E244" s="3" t="inlineStr">
        <is>
          <t>2026-07-03 12:20</t>
        </is>
      </c>
      <c r="F244" s="3" t="n">
        <v>1</v>
      </c>
      <c r="G244" s="3" t="n">
        <v>1</v>
      </c>
      <c r="H244" s="3" t="n"/>
      <c r="I244" s="3" t="inlineStr"/>
      <c r="J244" s="3" t="inlineStr">
        <is>
          <t>Keeta</t>
        </is>
      </c>
      <c r="K244" s="3" t="inlineStr">
        <is>
          <t>****9568</t>
        </is>
      </c>
      <c r="L244" s="3" t="n"/>
      <c r="M244" s="3" t="inlineStr">
        <is>
          <t>***** 物流中心5樓</t>
        </is>
      </c>
      <c r="N244" s="3" t="inlineStr">
        <is>
          <t>北区</t>
        </is>
      </c>
      <c r="O244" s="3" t="inlineStr">
        <is>
          <t>香港</t>
        </is>
      </c>
      <c r="P244" s="3" t="inlineStr">
        <is>
          <t>香港特别行政区</t>
        </is>
      </c>
      <c r="Q244" s="3" t="n">
        <v>56935895</v>
      </c>
      <c r="R244" s="3" t="inlineStr">
        <is>
          <t>泰開心泰菜館(九龍城隱世泰國美食)</t>
        </is>
      </c>
      <c r="S244" s="3" t="inlineStr">
        <is>
          <t>****5895</t>
        </is>
      </c>
      <c r="T244" s="3" t="inlineStr">
        <is>
          <t>****5895</t>
        </is>
      </c>
      <c r="U244" s="3" t="inlineStr">
        <is>
          <t>***** 號地下B號舖</t>
        </is>
      </c>
      <c r="V244" s="3" t="inlineStr">
        <is>
          <t>香港</t>
        </is>
      </c>
      <c r="W244" s="3" t="inlineStr">
        <is>
          <t>翻新POS机【真唯】/ 件出</t>
        </is>
      </c>
      <c r="X244" s="3" t="inlineStr">
        <is>
          <t>ESS-SFTS-OTMS</t>
        </is>
      </c>
      <c r="Y244" s="3" t="n"/>
      <c r="Z244" s="3" t="inlineStr"/>
      <c r="AA244" s="3" t="inlineStr">
        <is>
          <t>寄付月結</t>
        </is>
      </c>
      <c r="AB244">
        <f>IFERROR(VLOOKUP(Q244&amp;"",對照表!$A:$B,1,FALSE),"")</f>
        <v/>
      </c>
      <c r="AC244">
        <f>IFERROR(VLOOKUP(Q244&amp;"",對照表!$A:$B,2,FALSE),"")</f>
        <v/>
      </c>
    </row>
    <row r="245">
      <c r="A245" s="3" t="inlineStr">
        <is>
          <t>SF5119115816552</t>
        </is>
      </c>
      <c r="B245" s="3" t="n">
        <v>58424106156197</v>
      </c>
      <c r="C245" s="3" t="inlineStr">
        <is>
          <t>已簽收</t>
        </is>
      </c>
      <c r="D245" s="3" t="inlineStr">
        <is>
          <t>2026-07-02 17:59:31</t>
        </is>
      </c>
      <c r="E245" s="3" t="inlineStr">
        <is>
          <t>2026-07-03 15:11</t>
        </is>
      </c>
      <c r="F245" s="3" t="n">
        <v>1</v>
      </c>
      <c r="G245" s="3" t="n">
        <v>1</v>
      </c>
      <c r="H245" s="3" t="n"/>
      <c r="I245" s="3" t="inlineStr"/>
      <c r="J245" s="3" t="inlineStr">
        <is>
          <t>Keeta</t>
        </is>
      </c>
      <c r="K245" s="3" t="inlineStr">
        <is>
          <t>****9568</t>
        </is>
      </c>
      <c r="L245" s="3" t="n"/>
      <c r="M245" s="3" t="inlineStr">
        <is>
          <t>***** 物流中心5樓</t>
        </is>
      </c>
      <c r="N245" s="3" t="inlineStr">
        <is>
          <t>北区</t>
        </is>
      </c>
      <c r="O245" s="3" t="inlineStr">
        <is>
          <t>香港</t>
        </is>
      </c>
      <c r="P245" s="3" t="inlineStr">
        <is>
          <t>香港特别行政区</t>
        </is>
      </c>
      <c r="Q245" s="3" t="n">
        <v>470818</v>
      </c>
      <c r="R245" s="3" t="inlineStr">
        <is>
          <t>UURO (形點)</t>
        </is>
      </c>
      <c r="S245" s="3" t="inlineStr">
        <is>
          <t>****2330</t>
        </is>
      </c>
      <c r="T245" s="3" t="inlineStr">
        <is>
          <t>****2330</t>
        </is>
      </c>
      <c r="U245" s="3" t="inlineStr">
        <is>
          <t>***** G009號舖</t>
        </is>
      </c>
      <c r="V245" s="3" t="inlineStr">
        <is>
          <t>香港</t>
        </is>
      </c>
      <c r="W245" s="3" t="inlineStr">
        <is>
          <t>翻新POS机【真唯】/ 件出</t>
        </is>
      </c>
      <c r="X245" s="3" t="inlineStr">
        <is>
          <t>ESS-SFTS-OTMS</t>
        </is>
      </c>
      <c r="Y245" s="3" t="n"/>
      <c r="Z245" s="3" t="inlineStr"/>
      <c r="AA245" s="3" t="inlineStr">
        <is>
          <t>寄付月結</t>
        </is>
      </c>
      <c r="AB245">
        <f>IFERROR(VLOOKUP(Q245&amp;"",對照表!$A:$B,1,FALSE),"")</f>
        <v/>
      </c>
      <c r="AC245">
        <f>IFERROR(VLOOKUP(Q245&amp;"",對照表!$A:$B,2,FALSE),"")</f>
        <v/>
      </c>
    </row>
    <row r="246">
      <c r="A246" s="3" t="inlineStr">
        <is>
          <t>SF5119115817927</t>
        </is>
      </c>
      <c r="B246" s="3" t="n">
        <v>58424106188843</v>
      </c>
      <c r="C246" s="3" t="inlineStr">
        <is>
          <t>已簽收</t>
        </is>
      </c>
      <c r="D246" s="3" t="inlineStr">
        <is>
          <t>2026-07-02 18:05:25</t>
        </is>
      </c>
      <c r="E246" s="3" t="inlineStr">
        <is>
          <t>2026-07-03 10:10</t>
        </is>
      </c>
      <c r="F246" s="3" t="n">
        <v>1</v>
      </c>
      <c r="G246" s="3" t="n">
        <v>1</v>
      </c>
      <c r="H246" s="3" t="n"/>
      <c r="I246" s="3" t="inlineStr"/>
      <c r="J246" s="3" t="inlineStr">
        <is>
          <t>Keeta</t>
        </is>
      </c>
      <c r="K246" s="3" t="inlineStr">
        <is>
          <t>****9568</t>
        </is>
      </c>
      <c r="L246" s="3" t="n"/>
      <c r="M246" s="3" t="inlineStr">
        <is>
          <t>***** 物流中心5樓</t>
        </is>
      </c>
      <c r="N246" s="3" t="inlineStr">
        <is>
          <t>北区</t>
        </is>
      </c>
      <c r="O246" s="3" t="inlineStr">
        <is>
          <t>香港</t>
        </is>
      </c>
      <c r="P246" s="3" t="inlineStr">
        <is>
          <t>香港特别行政区</t>
        </is>
      </c>
      <c r="Q246" s="3" t="n">
        <v>66906042</v>
      </c>
      <c r="R246" s="3" t="inlineStr">
        <is>
          <t>龍虎炮製 LUNG FU 【即煎招牌高蛋白質雞髀肉新鮮港式沙律】</t>
        </is>
      </c>
      <c r="S246" s="3" t="inlineStr">
        <is>
          <t>****6042</t>
        </is>
      </c>
      <c r="T246" s="3" t="inlineStr">
        <is>
          <t>****6042</t>
        </is>
      </c>
      <c r="U246" s="3" t="inlineStr">
        <is>
          <t>***** 廈1樓H5室</t>
        </is>
      </c>
      <c r="V246" s="3" t="inlineStr">
        <is>
          <t>香港</t>
        </is>
      </c>
      <c r="W246" s="3" t="inlineStr">
        <is>
          <t>翻新POS机【真唯】/ 件出</t>
        </is>
      </c>
      <c r="X246" s="3" t="inlineStr">
        <is>
          <t>ESS-SFTS-OTMS</t>
        </is>
      </c>
      <c r="Y246" s="3" t="n"/>
      <c r="Z246" s="3" t="inlineStr"/>
      <c r="AA246" s="3" t="inlineStr">
        <is>
          <t>寄付月結</t>
        </is>
      </c>
      <c r="AB246">
        <f>IFERROR(VLOOKUP(Q246&amp;"",對照表!$A:$B,1,FALSE),"")</f>
        <v/>
      </c>
      <c r="AC246">
        <f>IFERROR(VLOOKUP(Q246&amp;"",對照表!$A:$B,2,FALSE),"")</f>
        <v/>
      </c>
    </row>
    <row r="247">
      <c r="A247" s="3" t="inlineStr">
        <is>
          <t>SF5119115817114</t>
        </is>
      </c>
      <c r="B247" s="3" t="n">
        <v>58424106156325</v>
      </c>
      <c r="C247" s="3" t="inlineStr">
        <is>
          <t>已簽收</t>
        </is>
      </c>
      <c r="D247" s="3" t="inlineStr">
        <is>
          <t>2026-07-02 18:01:16</t>
        </is>
      </c>
      <c r="E247" s="3" t="inlineStr">
        <is>
          <t>2026-07-03 12:54</t>
        </is>
      </c>
      <c r="F247" s="3" t="n">
        <v>1</v>
      </c>
      <c r="G247" s="3" t="n">
        <v>1</v>
      </c>
      <c r="H247" s="3" t="n"/>
      <c r="I247" s="3" t="inlineStr"/>
      <c r="J247" s="3" t="inlineStr">
        <is>
          <t>Keeta</t>
        </is>
      </c>
      <c r="K247" s="3" t="inlineStr">
        <is>
          <t>****9568</t>
        </is>
      </c>
      <c r="L247" s="3" t="n"/>
      <c r="M247" s="3" t="inlineStr">
        <is>
          <t>***** 物流中心5樓</t>
        </is>
      </c>
      <c r="N247" s="3" t="inlineStr">
        <is>
          <t>北区</t>
        </is>
      </c>
      <c r="O247" s="3" t="inlineStr">
        <is>
          <t>香港</t>
        </is>
      </c>
      <c r="P247" s="3" t="inlineStr">
        <is>
          <t>香港特别行政区</t>
        </is>
      </c>
      <c r="Q247" s="3" t="n">
        <v>479505</v>
      </c>
      <c r="R247" s="3" t="inlineStr">
        <is>
          <t>EXP (又一城)</t>
        </is>
      </c>
      <c r="S247" s="3" t="inlineStr">
        <is>
          <t>****8298</t>
        </is>
      </c>
      <c r="T247" s="3" t="inlineStr">
        <is>
          <t>****8298</t>
        </is>
      </c>
      <c r="U247" s="3" t="inlineStr">
        <is>
          <t>***** UG-23號</t>
        </is>
      </c>
      <c r="V247" s="3" t="inlineStr">
        <is>
          <t>香港</t>
        </is>
      </c>
      <c r="W247" s="3" t="inlineStr">
        <is>
          <t>翻新POS机【真唯】/ 件出</t>
        </is>
      </c>
      <c r="X247" s="3" t="inlineStr">
        <is>
          <t>ESS-SFTS-OTMS</t>
        </is>
      </c>
      <c r="Y247" s="3" t="n"/>
      <c r="Z247" s="3" t="inlineStr"/>
      <c r="AA247" s="3" t="inlineStr">
        <is>
          <t>寄付月結</t>
        </is>
      </c>
      <c r="AB247">
        <f>IFERROR(VLOOKUP(Q247&amp;"",對照表!$A:$B,1,FALSE),"")</f>
        <v/>
      </c>
      <c r="AC247">
        <f>IFERROR(VLOOKUP(Q247&amp;"",對照表!$A:$B,2,FALSE),"")</f>
        <v/>
      </c>
    </row>
    <row r="248">
      <c r="A248" s="3" t="inlineStr">
        <is>
          <t>SF5119115817478</t>
        </is>
      </c>
      <c r="B248" s="3" t="n">
        <v>58424106156399</v>
      </c>
      <c r="C248" s="3" t="inlineStr">
        <is>
          <t>已簽收</t>
        </is>
      </c>
      <c r="D248" s="3" t="inlineStr">
        <is>
          <t>2026-07-02 18:04:33</t>
        </is>
      </c>
      <c r="E248" s="3" t="inlineStr">
        <is>
          <t>2026-07-03 16:18</t>
        </is>
      </c>
      <c r="F248" s="3" t="n">
        <v>1</v>
      </c>
      <c r="G248" s="3" t="n">
        <v>1</v>
      </c>
      <c r="H248" s="3" t="n"/>
      <c r="I248" s="3" t="inlineStr"/>
      <c r="J248" s="3" t="inlineStr">
        <is>
          <t>Keeta</t>
        </is>
      </c>
      <c r="K248" s="3" t="inlineStr">
        <is>
          <t>****9568</t>
        </is>
      </c>
      <c r="L248" s="3" t="n"/>
      <c r="M248" s="3" t="inlineStr">
        <is>
          <t>***** 物流中心5樓</t>
        </is>
      </c>
      <c r="N248" s="3" t="inlineStr">
        <is>
          <t>北区</t>
        </is>
      </c>
      <c r="O248" s="3" t="inlineStr">
        <is>
          <t>香港</t>
        </is>
      </c>
      <c r="P248" s="3" t="inlineStr">
        <is>
          <t>香港特别行政区</t>
        </is>
      </c>
      <c r="Q248" s="3" t="n">
        <v>27099984</v>
      </c>
      <c r="R248" s="3" t="inlineStr">
        <is>
          <t>7-Eleven（翠屏北邨翠柳樓）1137</t>
        </is>
      </c>
      <c r="S248" s="3" t="inlineStr">
        <is>
          <t>****9984</t>
        </is>
      </c>
      <c r="T248" s="3" t="inlineStr">
        <is>
          <t>****9984</t>
        </is>
      </c>
      <c r="U248" s="3" t="inlineStr">
        <is>
          <t>***** 樓102號舖</t>
        </is>
      </c>
      <c r="V248" s="3" t="inlineStr">
        <is>
          <t>香港</t>
        </is>
      </c>
      <c r="W248" s="3" t="inlineStr">
        <is>
          <t>翻新POS机【真唯】/ 件出</t>
        </is>
      </c>
      <c r="X248" s="3" t="inlineStr">
        <is>
          <t>ESS-SFTS-OTMS</t>
        </is>
      </c>
      <c r="Y248" s="3" t="n"/>
      <c r="Z248" s="3" t="inlineStr"/>
      <c r="AA248" s="3" t="inlineStr">
        <is>
          <t>寄付月結</t>
        </is>
      </c>
      <c r="AB248">
        <f>IFERROR(VLOOKUP(Q248&amp;"",對照表!$A:$B,1,FALSE),"")</f>
        <v/>
      </c>
      <c r="AC248">
        <f>IFERROR(VLOOKUP(Q248&amp;"",對照表!$A:$B,2,FALSE),"")</f>
        <v/>
      </c>
    </row>
    <row r="249">
      <c r="A249" s="3" t="inlineStr">
        <is>
          <t>SF5119115815742</t>
        </is>
      </c>
      <c r="B249" s="3" t="n">
        <v>58424106156037</v>
      </c>
      <c r="C249" s="3" t="inlineStr">
        <is>
          <t>已簽收</t>
        </is>
      </c>
      <c r="D249" s="3" t="inlineStr">
        <is>
          <t>2026-07-02 17:53:55</t>
        </is>
      </c>
      <c r="E249" s="3" t="inlineStr">
        <is>
          <t>2026-07-03 12:32</t>
        </is>
      </c>
      <c r="F249" s="3" t="n">
        <v>1</v>
      </c>
      <c r="G249" s="3" t="n">
        <v>1</v>
      </c>
      <c r="H249" s="3" t="n"/>
      <c r="I249" s="3" t="inlineStr"/>
      <c r="J249" s="3" t="inlineStr">
        <is>
          <t>Keeta</t>
        </is>
      </c>
      <c r="K249" s="3" t="inlineStr">
        <is>
          <t>****9568</t>
        </is>
      </c>
      <c r="L249" s="3" t="n"/>
      <c r="M249" s="3" t="inlineStr">
        <is>
          <t>***** 物流中心5樓</t>
        </is>
      </c>
      <c r="N249" s="3" t="inlineStr">
        <is>
          <t>北区</t>
        </is>
      </c>
      <c r="O249" s="3" t="inlineStr">
        <is>
          <t>香港</t>
        </is>
      </c>
      <c r="P249" s="3" t="inlineStr">
        <is>
          <t>香港特别行政区</t>
        </is>
      </c>
      <c r="Q249" s="3" t="n">
        <v>488148</v>
      </c>
      <c r="R249" s="3" t="inlineStr">
        <is>
          <t>雲桂香米線專門店 (新都城中心)</t>
        </is>
      </c>
      <c r="S249" s="3" t="inlineStr">
        <is>
          <t>****1118</t>
        </is>
      </c>
      <c r="T249" s="3" t="inlineStr">
        <is>
          <t>****1118</t>
        </is>
      </c>
      <c r="U249" s="3" t="inlineStr">
        <is>
          <t>***** -106號舖</t>
        </is>
      </c>
      <c r="V249" s="3" t="inlineStr">
        <is>
          <t>香港</t>
        </is>
      </c>
      <c r="W249" s="3" t="inlineStr">
        <is>
          <t>翻新POS机【真唯】/ 件出</t>
        </is>
      </c>
      <c r="X249" s="3" t="inlineStr">
        <is>
          <t>ESS-SFTS-OTMS</t>
        </is>
      </c>
      <c r="Y249" s="3" t="n"/>
      <c r="Z249" s="3" t="inlineStr"/>
      <c r="AA249" s="3" t="inlineStr">
        <is>
          <t>寄付月結</t>
        </is>
      </c>
      <c r="AB249">
        <f>IFERROR(VLOOKUP(Q249&amp;"",對照表!$A:$B,1,FALSE),"")</f>
        <v/>
      </c>
      <c r="AC249">
        <f>IFERROR(VLOOKUP(Q249&amp;"",對照表!$A:$B,2,FALSE),"")</f>
        <v/>
      </c>
    </row>
    <row r="250">
      <c r="A250" s="3" t="inlineStr">
        <is>
          <t>SF5119115816482</t>
        </is>
      </c>
      <c r="B250" s="3" t="n">
        <v>58424106156183</v>
      </c>
      <c r="C250" s="3" t="inlineStr">
        <is>
          <t>已簽收</t>
        </is>
      </c>
      <c r="D250" s="3" t="inlineStr">
        <is>
          <t>2026-07-02 17:58:43</t>
        </is>
      </c>
      <c r="E250" s="3" t="inlineStr">
        <is>
          <t>2026-07-03 15:26</t>
        </is>
      </c>
      <c r="F250" s="3" t="n">
        <v>1</v>
      </c>
      <c r="G250" s="3" t="n">
        <v>1</v>
      </c>
      <c r="H250" s="3" t="n"/>
      <c r="I250" s="3" t="inlineStr"/>
      <c r="J250" s="3" t="inlineStr">
        <is>
          <t>Keeta</t>
        </is>
      </c>
      <c r="K250" s="3" t="inlineStr">
        <is>
          <t>****9568</t>
        </is>
      </c>
      <c r="L250" s="3" t="n"/>
      <c r="M250" s="3" t="inlineStr">
        <is>
          <t>***** 物流中心5樓</t>
        </is>
      </c>
      <c r="N250" s="3" t="inlineStr">
        <is>
          <t>北区</t>
        </is>
      </c>
      <c r="O250" s="3" t="inlineStr">
        <is>
          <t>香港</t>
        </is>
      </c>
      <c r="P250" s="3" t="inlineStr">
        <is>
          <t>香港特别行政区</t>
        </is>
      </c>
      <c r="Q250" s="3" t="n">
        <v>31945010</v>
      </c>
      <c r="R250" s="3" t="inlineStr">
        <is>
          <t>Pizza Hut 必勝客(新都城中心)</t>
        </is>
      </c>
      <c r="S250" s="3" t="inlineStr">
        <is>
          <t>****5010</t>
        </is>
      </c>
      <c r="T250" s="3" t="inlineStr">
        <is>
          <t>****5010</t>
        </is>
      </c>
      <c r="U250" s="3" t="inlineStr">
        <is>
          <t>***** 1-72號舖</t>
        </is>
      </c>
      <c r="V250" s="3" t="inlineStr">
        <is>
          <t>香港</t>
        </is>
      </c>
      <c r="W250" s="3" t="inlineStr">
        <is>
          <t>翻新POS机【真唯】/ 件出</t>
        </is>
      </c>
      <c r="X250" s="3" t="inlineStr">
        <is>
          <t>ESS-SFTS-OTMS</t>
        </is>
      </c>
      <c r="Y250" s="3" t="n"/>
      <c r="Z250" s="3" t="inlineStr"/>
      <c r="AA250" s="3" t="inlineStr">
        <is>
          <t>寄付月結</t>
        </is>
      </c>
      <c r="AB250">
        <f>IFERROR(VLOOKUP(Q250&amp;"",對照表!$A:$B,1,FALSE),"")</f>
        <v/>
      </c>
      <c r="AC250">
        <f>IFERROR(VLOOKUP(Q250&amp;"",對照表!$A:$B,2,FALSE),"")</f>
        <v/>
      </c>
    </row>
    <row r="251">
      <c r="A251" s="3" t="inlineStr">
        <is>
          <t>SF5119115816516</t>
        </is>
      </c>
      <c r="B251" s="3" t="n">
        <v>58424106156189</v>
      </c>
      <c r="C251" s="3" t="inlineStr">
        <is>
          <t>已簽收</t>
        </is>
      </c>
      <c r="D251" s="3" t="inlineStr">
        <is>
          <t>2026-07-02 17:58:19</t>
        </is>
      </c>
      <c r="E251" s="3" t="inlineStr">
        <is>
          <t>2026-07-03 15:59</t>
        </is>
      </c>
      <c r="F251" s="3" t="n">
        <v>1</v>
      </c>
      <c r="G251" s="3" t="n">
        <v>1</v>
      </c>
      <c r="H251" s="3" t="n"/>
      <c r="I251" s="3" t="inlineStr"/>
      <c r="J251" s="3" t="inlineStr">
        <is>
          <t>Keeta</t>
        </is>
      </c>
      <c r="K251" s="3" t="inlineStr">
        <is>
          <t>****9568</t>
        </is>
      </c>
      <c r="L251" s="3" t="n"/>
      <c r="M251" s="3" t="inlineStr">
        <is>
          <t>***** 物流中心5樓</t>
        </is>
      </c>
      <c r="N251" s="3" t="inlineStr">
        <is>
          <t>北区</t>
        </is>
      </c>
      <c r="O251" s="3" t="inlineStr">
        <is>
          <t>香港</t>
        </is>
      </c>
      <c r="P251" s="3" t="inlineStr">
        <is>
          <t>香港特别行政区</t>
        </is>
      </c>
      <c r="Q251" s="3" t="n">
        <v>478558</v>
      </c>
      <c r="R251" s="3" t="inlineStr">
        <is>
          <t>肥仔銘茶餐廳 Kwong Ming Restaurant</t>
        </is>
      </c>
      <c r="S251" s="3" t="inlineStr">
        <is>
          <t>****5028</t>
        </is>
      </c>
      <c r="T251" s="3" t="inlineStr">
        <is>
          <t>****5028</t>
        </is>
      </c>
      <c r="U251" s="3" t="inlineStr">
        <is>
          <t>***** 榮街9號地舖</t>
        </is>
      </c>
      <c r="V251" s="3" t="inlineStr">
        <is>
          <t>香港</t>
        </is>
      </c>
      <c r="W251" s="3" t="inlineStr">
        <is>
          <t>翻新POS机【真唯】/ 件出</t>
        </is>
      </c>
      <c r="X251" s="3" t="inlineStr">
        <is>
          <t>ESS-SFTS-OTMS</t>
        </is>
      </c>
      <c r="Y251" s="3" t="n"/>
      <c r="Z251" s="3" t="inlineStr"/>
      <c r="AA251" s="3" t="inlineStr">
        <is>
          <t>寄付月結</t>
        </is>
      </c>
      <c r="AB251">
        <f>IFERROR(VLOOKUP(Q251&amp;"",對照表!$A:$B,1,FALSE),"")</f>
        <v/>
      </c>
      <c r="AC251">
        <f>IFERROR(VLOOKUP(Q251&amp;"",對照表!$A:$B,2,FALSE),"")</f>
        <v/>
      </c>
    </row>
    <row r="252">
      <c r="A252" s="3" t="inlineStr">
        <is>
          <t>SF5119115817972</t>
        </is>
      </c>
      <c r="B252" s="3" t="n">
        <v>58424106188855</v>
      </c>
      <c r="C252" s="3" t="inlineStr">
        <is>
          <t>已簽收</t>
        </is>
      </c>
      <c r="D252" s="3" t="inlineStr">
        <is>
          <t>2026-07-02 18:07:23</t>
        </is>
      </c>
      <c r="E252" s="3" t="inlineStr">
        <is>
          <t>2026-07-03 12:19</t>
        </is>
      </c>
      <c r="F252" s="3" t="n">
        <v>1</v>
      </c>
      <c r="G252" s="3" t="n">
        <v>1</v>
      </c>
      <c r="H252" s="3" t="n"/>
      <c r="I252" s="3" t="inlineStr"/>
      <c r="J252" s="3" t="inlineStr">
        <is>
          <t>Keeta</t>
        </is>
      </c>
      <c r="K252" s="3" t="inlineStr">
        <is>
          <t>****9568</t>
        </is>
      </c>
      <c r="L252" s="3" t="n"/>
      <c r="M252" s="3" t="inlineStr">
        <is>
          <t>***** 物流中心5樓</t>
        </is>
      </c>
      <c r="N252" s="3" t="inlineStr">
        <is>
          <t>北区</t>
        </is>
      </c>
      <c r="O252" s="3" t="inlineStr">
        <is>
          <t>香港</t>
        </is>
      </c>
      <c r="P252" s="3" t="inlineStr">
        <is>
          <t>香港特别行政区</t>
        </is>
      </c>
      <c r="Q252" s="3" t="n">
        <v>67365258</v>
      </c>
      <c r="R252" s="3" t="inlineStr">
        <is>
          <t>馬姐重慶麻辣燙 (酸辣粉,麻辣燙老字號)</t>
        </is>
      </c>
      <c r="S252" s="3" t="inlineStr">
        <is>
          <t>****5258</t>
        </is>
      </c>
      <c r="T252" s="3" t="inlineStr">
        <is>
          <t>****5258</t>
        </is>
      </c>
      <c r="U252" s="3" t="inlineStr">
        <is>
          <t>***** 角通明街7號</t>
        </is>
      </c>
      <c r="V252" s="3" t="inlineStr">
        <is>
          <t>香港</t>
        </is>
      </c>
      <c r="W252" s="3" t="inlineStr">
        <is>
          <t>翻新POS机【真唯】/ 件出</t>
        </is>
      </c>
      <c r="X252" s="3" t="inlineStr">
        <is>
          <t>ESS-SFTS-OTMS</t>
        </is>
      </c>
      <c r="Y252" s="3" t="n"/>
      <c r="Z252" s="3" t="inlineStr"/>
      <c r="AA252" s="3" t="inlineStr">
        <is>
          <t>寄付月結</t>
        </is>
      </c>
      <c r="AB252">
        <f>IFERROR(VLOOKUP(Q252&amp;"",對照表!$A:$B,1,FALSE),"")</f>
        <v/>
      </c>
      <c r="AC252">
        <f>IFERROR(VLOOKUP(Q252&amp;"",對照表!$A:$B,2,FALSE),"")</f>
        <v/>
      </c>
    </row>
    <row r="253">
      <c r="A253" s="3" t="inlineStr">
        <is>
          <t>SF5119115815991</t>
        </is>
      </c>
      <c r="B253" s="3" t="n">
        <v>58424106156085</v>
      </c>
      <c r="C253" s="3" t="inlineStr">
        <is>
          <t>已簽收</t>
        </is>
      </c>
      <c r="D253" s="3" t="inlineStr">
        <is>
          <t>2026-07-02 17:54:06</t>
        </is>
      </c>
      <c r="E253" s="3" t="inlineStr">
        <is>
          <t>2026-07-03 11:18</t>
        </is>
      </c>
      <c r="F253" s="3" t="n">
        <v>1</v>
      </c>
      <c r="G253" s="3" t="n">
        <v>1</v>
      </c>
      <c r="H253" s="3" t="n"/>
      <c r="I253" s="3" t="inlineStr"/>
      <c r="J253" s="3" t="inlineStr">
        <is>
          <t>Keeta</t>
        </is>
      </c>
      <c r="K253" s="3" t="inlineStr">
        <is>
          <t>****9568</t>
        </is>
      </c>
      <c r="L253" s="3" t="n"/>
      <c r="M253" s="3" t="inlineStr">
        <is>
          <t>***** 物流中心5樓</t>
        </is>
      </c>
      <c r="N253" s="3" t="inlineStr">
        <is>
          <t>北区</t>
        </is>
      </c>
      <c r="O253" s="3" t="inlineStr">
        <is>
          <t>香港</t>
        </is>
      </c>
      <c r="P253" s="3" t="inlineStr">
        <is>
          <t>香港特别行政区</t>
        </is>
      </c>
      <c r="Q253" s="3" t="n">
        <v>721521372</v>
      </c>
      <c r="R253" s="3" t="inlineStr">
        <is>
          <t>聰嫂私房甜品 (黃埔店) (必食龍眼椰果冰)</t>
        </is>
      </c>
      <c r="S253" s="3" t="inlineStr">
        <is>
          <t>****9568</t>
        </is>
      </c>
      <c r="T253" s="3" t="inlineStr">
        <is>
          <t>****9568</t>
        </is>
      </c>
      <c r="U253" s="3" t="inlineStr">
        <is>
          <t>***** 下1 5號舖</t>
        </is>
      </c>
      <c r="V253" s="3" t="inlineStr">
        <is>
          <t>香港</t>
        </is>
      </c>
      <c r="W253" s="3" t="inlineStr">
        <is>
          <t>翻新POS机【真唯】/ 件出</t>
        </is>
      </c>
      <c r="X253" s="3" t="inlineStr">
        <is>
          <t>ESS-SFTS-OTMS</t>
        </is>
      </c>
      <c r="Y253" s="3" t="n"/>
      <c r="Z253" s="3" t="inlineStr"/>
      <c r="AA253" s="3" t="inlineStr">
        <is>
          <t>寄付月結</t>
        </is>
      </c>
      <c r="AB253">
        <f>IFERROR(VLOOKUP(Q253&amp;"",對照表!$A:$B,1,FALSE),"")</f>
        <v/>
      </c>
      <c r="AC253">
        <f>IFERROR(VLOOKUP(Q253&amp;"",對照表!$A:$B,2,FALSE),"")</f>
        <v/>
      </c>
    </row>
    <row r="254">
      <c r="A254" s="3" t="inlineStr">
        <is>
          <t>SF5119115816021</t>
        </is>
      </c>
      <c r="B254" s="3" t="n">
        <v>58424106156091</v>
      </c>
      <c r="C254" s="3" t="inlineStr">
        <is>
          <t>已簽收</t>
        </is>
      </c>
      <c r="D254" s="3" t="inlineStr">
        <is>
          <t>2026-07-02 17:53:45</t>
        </is>
      </c>
      <c r="E254" s="3" t="inlineStr">
        <is>
          <t>2026-07-03 16:36</t>
        </is>
      </c>
      <c r="F254" s="3" t="n">
        <v>1</v>
      </c>
      <c r="G254" s="3" t="n">
        <v>1</v>
      </c>
      <c r="H254" s="3" t="n"/>
      <c r="I254" s="3" t="inlineStr"/>
      <c r="J254" s="3" t="inlineStr">
        <is>
          <t>Keeta</t>
        </is>
      </c>
      <c r="K254" s="3" t="inlineStr">
        <is>
          <t>****9568</t>
        </is>
      </c>
      <c r="L254" s="3" t="n"/>
      <c r="M254" s="3" t="inlineStr">
        <is>
          <t>***** 物流中心5樓</t>
        </is>
      </c>
      <c r="N254" s="3" t="inlineStr">
        <is>
          <t>北区</t>
        </is>
      </c>
      <c r="O254" s="3" t="inlineStr">
        <is>
          <t>香港</t>
        </is>
      </c>
      <c r="P254" s="3" t="inlineStr">
        <is>
          <t>香港特别行政区</t>
        </is>
      </c>
      <c r="Q254" s="3" t="n">
        <v>28753260</v>
      </c>
      <c r="R254" s="3" t="inlineStr">
        <is>
          <t>7-Eleven（華富村）0286</t>
        </is>
      </c>
      <c r="S254" s="3" t="inlineStr">
        <is>
          <t>****3260</t>
        </is>
      </c>
      <c r="T254" s="3" t="inlineStr">
        <is>
          <t>****3260</t>
        </is>
      </c>
      <c r="U254" s="3" t="inlineStr">
        <is>
          <t>***** S24A 舖</t>
        </is>
      </c>
      <c r="V254" s="3" t="inlineStr">
        <is>
          <t>香港</t>
        </is>
      </c>
      <c r="W254" s="3" t="inlineStr">
        <is>
          <t>翻新POS机【真唯】/ 件出</t>
        </is>
      </c>
      <c r="X254" s="3" t="inlineStr">
        <is>
          <t>ESS-SFTS-OTMS</t>
        </is>
      </c>
      <c r="Y254" s="3" t="n"/>
      <c r="Z254" s="3" t="inlineStr"/>
      <c r="AA254" s="3" t="inlineStr">
        <is>
          <t>寄付月結</t>
        </is>
      </c>
      <c r="AB254">
        <f>IFERROR(VLOOKUP(Q254&amp;"",對照表!$A:$B,1,FALSE),"")</f>
        <v/>
      </c>
      <c r="AC254">
        <f>IFERROR(VLOOKUP(Q254&amp;"",對照表!$A:$B,2,FALSE),"")</f>
        <v/>
      </c>
    </row>
    <row r="255">
      <c r="A255" s="3" t="inlineStr">
        <is>
          <t>SF5119115817936</t>
        </is>
      </c>
      <c r="B255" s="3" t="n">
        <v>58424106188844</v>
      </c>
      <c r="C255" s="3" t="inlineStr">
        <is>
          <t>已簽收</t>
        </is>
      </c>
      <c r="D255" s="3" t="inlineStr">
        <is>
          <t>2026-07-02 18:08:15</t>
        </is>
      </c>
      <c r="E255" s="3" t="inlineStr">
        <is>
          <t>2026-07-03 10:59</t>
        </is>
      </c>
      <c r="F255" s="3" t="n">
        <v>1</v>
      </c>
      <c r="G255" s="3" t="n">
        <v>1</v>
      </c>
      <c r="H255" s="3" t="n"/>
      <c r="I255" s="3" t="inlineStr"/>
      <c r="J255" s="3" t="inlineStr">
        <is>
          <t>Keeta</t>
        </is>
      </c>
      <c r="K255" s="3" t="inlineStr">
        <is>
          <t>****9568</t>
        </is>
      </c>
      <c r="L255" s="3" t="n"/>
      <c r="M255" s="3" t="inlineStr">
        <is>
          <t>***** 物流中心5樓</t>
        </is>
      </c>
      <c r="N255" s="3" t="inlineStr">
        <is>
          <t>北区</t>
        </is>
      </c>
      <c r="O255" s="3" t="inlineStr">
        <is>
          <t>香港</t>
        </is>
      </c>
      <c r="P255" s="3" t="inlineStr">
        <is>
          <t>香港特别行政区</t>
        </is>
      </c>
      <c r="Q255" s="3" t="n">
        <v>60640874</v>
      </c>
      <c r="R255" s="3" t="inlineStr">
        <is>
          <t>町燒酒食（觀塘）</t>
        </is>
      </c>
      <c r="S255" s="3" t="inlineStr">
        <is>
          <t>****0874</t>
        </is>
      </c>
      <c r="T255" s="3" t="inlineStr">
        <is>
          <t>****0874</t>
        </is>
      </c>
      <c r="U255" s="3" t="inlineStr">
        <is>
          <t>***** A室A5部份</t>
        </is>
      </c>
      <c r="V255" s="3" t="inlineStr">
        <is>
          <t>香港</t>
        </is>
      </c>
      <c r="W255" s="3" t="inlineStr">
        <is>
          <t>翻新POS机【真唯】/ 件出</t>
        </is>
      </c>
      <c r="X255" s="3" t="inlineStr">
        <is>
          <t>ESS-SFTS-OTMS</t>
        </is>
      </c>
      <c r="Y255" s="3" t="n"/>
      <c r="Z255" s="3" t="inlineStr"/>
      <c r="AA255" s="3" t="inlineStr">
        <is>
          <t>寄付月結</t>
        </is>
      </c>
      <c r="AB255">
        <f>IFERROR(VLOOKUP(Q255&amp;"",對照表!$A:$B,1,FALSE),"")</f>
        <v/>
      </c>
      <c r="AC255">
        <f>IFERROR(VLOOKUP(Q255&amp;"",對照表!$A:$B,2,FALSE),"")</f>
        <v/>
      </c>
    </row>
    <row r="256">
      <c r="A256" s="3" t="inlineStr">
        <is>
          <t>SF5119115816995</t>
        </is>
      </c>
      <c r="B256" s="3" t="n">
        <v>58424106156300</v>
      </c>
      <c r="C256" s="3" t="inlineStr">
        <is>
          <t>已簽收</t>
        </is>
      </c>
      <c r="D256" s="3" t="inlineStr">
        <is>
          <t>2026-07-02 18:03:29</t>
        </is>
      </c>
      <c r="E256" s="3" t="inlineStr">
        <is>
          <t>2026-07-03 09:03</t>
        </is>
      </c>
      <c r="F256" s="3" t="n">
        <v>1</v>
      </c>
      <c r="G256" s="3" t="n">
        <v>1</v>
      </c>
      <c r="H256" s="3" t="n"/>
      <c r="I256" s="3" t="inlineStr"/>
      <c r="J256" s="3" t="inlineStr">
        <is>
          <t>Keeta</t>
        </is>
      </c>
      <c r="K256" s="3" t="inlineStr">
        <is>
          <t>****9568</t>
        </is>
      </c>
      <c r="L256" s="3" t="n"/>
      <c r="M256" s="3" t="inlineStr">
        <is>
          <t>***** 物流中心5樓</t>
        </is>
      </c>
      <c r="N256" s="3" t="inlineStr">
        <is>
          <t>北区</t>
        </is>
      </c>
      <c r="O256" s="3" t="inlineStr">
        <is>
          <t>香港</t>
        </is>
      </c>
      <c r="P256" s="3" t="inlineStr">
        <is>
          <t>香港特别行政区</t>
        </is>
      </c>
      <c r="Q256" s="3" t="n">
        <v>721447373</v>
      </c>
      <c r="R256" s="3" t="inlineStr">
        <is>
          <t>華御結 (新都會廣場)</t>
        </is>
      </c>
      <c r="S256" s="3" t="inlineStr">
        <is>
          <t>****1613</t>
        </is>
      </c>
      <c r="T256" s="3" t="inlineStr">
        <is>
          <t>****1613</t>
        </is>
      </c>
      <c r="U256" s="3" t="inlineStr">
        <is>
          <t>***** 211A號舖</t>
        </is>
      </c>
      <c r="V256" s="3" t="inlineStr">
        <is>
          <t>香港</t>
        </is>
      </c>
      <c r="W256" s="3" t="inlineStr">
        <is>
          <t>翻新POS机【真唯】/ 件出</t>
        </is>
      </c>
      <c r="X256" s="3" t="inlineStr">
        <is>
          <t>ESS-SFTS-OTMS</t>
        </is>
      </c>
      <c r="Y256" s="3" t="n"/>
      <c r="Z256" s="3" t="inlineStr"/>
      <c r="AA256" s="3" t="inlineStr">
        <is>
          <t>寄付月結</t>
        </is>
      </c>
      <c r="AB256">
        <f>IFERROR(VLOOKUP(Q256&amp;"",對照表!$A:$B,1,FALSE),"")</f>
        <v/>
      </c>
      <c r="AC256">
        <f>IFERROR(VLOOKUP(Q256&amp;"",對照表!$A:$B,2,FALSE),"")</f>
        <v/>
      </c>
    </row>
    <row r="257">
      <c r="A257" s="3" t="inlineStr">
        <is>
          <t>SF5119115815849</t>
        </is>
      </c>
      <c r="B257" s="3" t="n">
        <v>58424106156055</v>
      </c>
      <c r="C257" s="3" t="inlineStr">
        <is>
          <t>已簽收</t>
        </is>
      </c>
      <c r="D257" s="3" t="inlineStr">
        <is>
          <t>2026-07-02 17:53:39</t>
        </is>
      </c>
      <c r="E257" s="3" t="inlineStr">
        <is>
          <t>2026-07-03 13:09</t>
        </is>
      </c>
      <c r="F257" s="3" t="n">
        <v>1</v>
      </c>
      <c r="G257" s="3" t="n">
        <v>1</v>
      </c>
      <c r="H257" s="3" t="n"/>
      <c r="I257" s="3" t="inlineStr"/>
      <c r="J257" s="3" t="inlineStr">
        <is>
          <t>Keeta</t>
        </is>
      </c>
      <c r="K257" s="3" t="inlineStr">
        <is>
          <t>****9568</t>
        </is>
      </c>
      <c r="L257" s="3" t="n"/>
      <c r="M257" s="3" t="inlineStr">
        <is>
          <t>***** 物流中心5樓</t>
        </is>
      </c>
      <c r="N257" s="3" t="inlineStr">
        <is>
          <t>北区</t>
        </is>
      </c>
      <c r="O257" s="3" t="inlineStr">
        <is>
          <t>香港</t>
        </is>
      </c>
      <c r="P257" s="3" t="inlineStr">
        <is>
          <t>香港特别行政区</t>
        </is>
      </c>
      <c r="Q257" s="3" t="n">
        <v>84021139</v>
      </c>
      <c r="R257" s="3" t="inlineStr">
        <is>
          <t>三多美食 【美孚店】 (精美小菜任君選擇, 性價比之選)(美孚店)</t>
        </is>
      </c>
      <c r="S257" s="3" t="inlineStr">
        <is>
          <t>****1139</t>
        </is>
      </c>
      <c r="T257" s="3" t="inlineStr">
        <is>
          <t>****1139</t>
        </is>
      </c>
      <c r="U257" s="3" t="inlineStr">
        <is>
          <t>***** 邨地下N6店</t>
        </is>
      </c>
      <c r="V257" s="3" t="inlineStr">
        <is>
          <t>香港</t>
        </is>
      </c>
      <c r="W257" s="3" t="inlineStr">
        <is>
          <t>翻新POS机【真唯】/ 件出</t>
        </is>
      </c>
      <c r="X257" s="3" t="inlineStr">
        <is>
          <t>ESS-SFTS-OTMS</t>
        </is>
      </c>
      <c r="Y257" s="3" t="n"/>
      <c r="Z257" s="3" t="inlineStr"/>
      <c r="AA257" s="3" t="inlineStr">
        <is>
          <t>寄付月結</t>
        </is>
      </c>
      <c r="AB257">
        <f>IFERROR(VLOOKUP(Q257&amp;"",對照表!$A:$B,1,FALSE),"")</f>
        <v/>
      </c>
      <c r="AC257">
        <f>IFERROR(VLOOKUP(Q257&amp;"",對照表!$A:$B,2,FALSE),"")</f>
        <v/>
      </c>
    </row>
    <row r="258">
      <c r="A258" s="3" t="inlineStr">
        <is>
          <t>SF5119115816128</t>
        </is>
      </c>
      <c r="B258" s="3" t="n">
        <v>58424106156111</v>
      </c>
      <c r="C258" s="3" t="inlineStr">
        <is>
          <t>已簽收</t>
        </is>
      </c>
      <c r="D258" s="3" t="inlineStr">
        <is>
          <t>2026-07-02 17:54:05</t>
        </is>
      </c>
      <c r="E258" s="3" t="inlineStr">
        <is>
          <t>2026-07-03 12:22</t>
        </is>
      </c>
      <c r="F258" s="3" t="n">
        <v>1</v>
      </c>
      <c r="G258" s="3" t="n">
        <v>1</v>
      </c>
      <c r="H258" s="3" t="n"/>
      <c r="I258" s="3" t="inlineStr"/>
      <c r="J258" s="3" t="inlineStr">
        <is>
          <t>Keeta</t>
        </is>
      </c>
      <c r="K258" s="3" t="inlineStr">
        <is>
          <t>****9568</t>
        </is>
      </c>
      <c r="L258" s="3" t="n"/>
      <c r="M258" s="3" t="inlineStr">
        <is>
          <t>***** 物流中心5樓</t>
        </is>
      </c>
      <c r="N258" s="3" t="inlineStr">
        <is>
          <t>北区</t>
        </is>
      </c>
      <c r="O258" s="3" t="inlineStr">
        <is>
          <t>香港</t>
        </is>
      </c>
      <c r="P258" s="3" t="inlineStr">
        <is>
          <t>香港特别行政区</t>
        </is>
      </c>
      <c r="Q258" s="3" t="n">
        <v>65725682</v>
      </c>
      <c r="R258" s="3" t="inlineStr">
        <is>
          <t>三多美食【元朗店】(精美小菜任君選擇, 性價比之選)</t>
        </is>
      </c>
      <c r="S258" s="3" t="inlineStr">
        <is>
          <t>****5682</t>
        </is>
      </c>
      <c r="T258" s="3" t="inlineStr">
        <is>
          <t>****5682</t>
        </is>
      </c>
      <c r="U258" s="3" t="inlineStr">
        <is>
          <t>***** 號建成樓地鋪</t>
        </is>
      </c>
      <c r="V258" s="3" t="inlineStr">
        <is>
          <t>香港</t>
        </is>
      </c>
      <c r="W258" s="3" t="inlineStr">
        <is>
          <t>翻新POS机【真唯】/ 件出</t>
        </is>
      </c>
      <c r="X258" s="3" t="inlineStr">
        <is>
          <t>ESS-SFTS-OTMS</t>
        </is>
      </c>
      <c r="Y258" s="3" t="n"/>
      <c r="Z258" s="3" t="inlineStr"/>
      <c r="AA258" s="3" t="inlineStr">
        <is>
          <t>寄付月結</t>
        </is>
      </c>
      <c r="AB258">
        <f>IFERROR(VLOOKUP(Q258&amp;"",對照表!$A:$B,1,FALSE),"")</f>
        <v/>
      </c>
      <c r="AC258">
        <f>IFERROR(VLOOKUP(Q258&amp;"",對照表!$A:$B,2,FALSE),"")</f>
        <v/>
      </c>
    </row>
    <row r="259">
      <c r="A259" s="3" t="inlineStr">
        <is>
          <t>SF5119115815928</t>
        </is>
      </c>
      <c r="B259" s="3" t="n">
        <v>58424106156071</v>
      </c>
      <c r="C259" s="3" t="inlineStr">
        <is>
          <t>已簽收</t>
        </is>
      </c>
      <c r="D259" s="3" t="inlineStr">
        <is>
          <t>2026-07-02 17:54:07</t>
        </is>
      </c>
      <c r="E259" s="3" t="inlineStr">
        <is>
          <t>2026-07-03 11:46</t>
        </is>
      </c>
      <c r="F259" s="3" t="n">
        <v>1</v>
      </c>
      <c r="G259" s="3" t="n">
        <v>1</v>
      </c>
      <c r="H259" s="3" t="n"/>
      <c r="I259" s="3" t="inlineStr"/>
      <c r="J259" s="3" t="inlineStr">
        <is>
          <t>Keeta</t>
        </is>
      </c>
      <c r="K259" s="3" t="inlineStr">
        <is>
          <t>****9568</t>
        </is>
      </c>
      <c r="L259" s="3" t="n"/>
      <c r="M259" s="3" t="inlineStr">
        <is>
          <t>***** 物流中心5樓</t>
        </is>
      </c>
      <c r="N259" s="3" t="inlineStr">
        <is>
          <t>北区</t>
        </is>
      </c>
      <c r="O259" s="3" t="inlineStr">
        <is>
          <t>香港</t>
        </is>
      </c>
      <c r="P259" s="3" t="inlineStr">
        <is>
          <t>香港特别行政区</t>
        </is>
      </c>
      <c r="Q259" s="3" t="n">
        <v>581589</v>
      </c>
      <c r="R259" s="3" t="inlineStr">
        <is>
          <t>紅豆冰室（太古）</t>
        </is>
      </c>
      <c r="S259" s="3" t="inlineStr">
        <is>
          <t>****0180</t>
        </is>
      </c>
      <c r="T259" s="3" t="inlineStr">
        <is>
          <t>****0180</t>
        </is>
      </c>
      <c r="U259" s="3" t="inlineStr">
        <is>
          <t>***** -G2A號舖</t>
        </is>
      </c>
      <c r="V259" s="3" t="inlineStr">
        <is>
          <t>香港</t>
        </is>
      </c>
      <c r="W259" s="3" t="inlineStr">
        <is>
          <t>翻新POS机【真唯】/ 件出</t>
        </is>
      </c>
      <c r="X259" s="3" t="inlineStr">
        <is>
          <t>ESS-SFTS-OTMS</t>
        </is>
      </c>
      <c r="Y259" s="3" t="n"/>
      <c r="Z259" s="3" t="inlineStr"/>
      <c r="AA259" s="3" t="inlineStr">
        <is>
          <t>寄付月結</t>
        </is>
      </c>
      <c r="AB259">
        <f>IFERROR(VLOOKUP(Q259&amp;"",對照表!$A:$B,1,FALSE),"")</f>
        <v/>
      </c>
      <c r="AC259">
        <f>IFERROR(VLOOKUP(Q259&amp;"",對照表!$A:$B,2,FALSE),"")</f>
        <v/>
      </c>
    </row>
    <row r="260">
      <c r="A260" s="3" t="inlineStr">
        <is>
          <t>SF5119115816313</t>
        </is>
      </c>
      <c r="B260" s="3" t="n">
        <v>58424106156148</v>
      </c>
      <c r="C260" s="3" t="inlineStr">
        <is>
          <t>已簽收</t>
        </is>
      </c>
      <c r="D260" s="3" t="inlineStr">
        <is>
          <t>2026-07-02 17:56:35</t>
        </is>
      </c>
      <c r="E260" s="3" t="inlineStr">
        <is>
          <t>2026-07-03 11:55</t>
        </is>
      </c>
      <c r="F260" s="3" t="n">
        <v>1</v>
      </c>
      <c r="G260" s="3" t="n">
        <v>1</v>
      </c>
      <c r="H260" s="3" t="n"/>
      <c r="I260" s="3" t="inlineStr"/>
      <c r="J260" s="3" t="inlineStr">
        <is>
          <t>Keeta</t>
        </is>
      </c>
      <c r="K260" s="3" t="inlineStr">
        <is>
          <t>****9568</t>
        </is>
      </c>
      <c r="L260" s="3" t="n"/>
      <c r="M260" s="3" t="inlineStr">
        <is>
          <t>***** 物流中心5樓</t>
        </is>
      </c>
      <c r="N260" s="3" t="inlineStr">
        <is>
          <t>北区</t>
        </is>
      </c>
      <c r="O260" s="3" t="inlineStr">
        <is>
          <t>香港</t>
        </is>
      </c>
      <c r="P260" s="3" t="inlineStr">
        <is>
          <t>香港特别行政区</t>
        </is>
      </c>
      <c r="Q260" s="3" t="n">
        <v>26918328</v>
      </c>
      <c r="R260" s="3" t="inlineStr">
        <is>
          <t>羊蹄山</t>
        </is>
      </c>
      <c r="S260" s="3" t="inlineStr">
        <is>
          <t>****8328</t>
        </is>
      </c>
      <c r="T260" s="3" t="inlineStr">
        <is>
          <t>****8328</t>
        </is>
      </c>
      <c r="U260" s="3" t="inlineStr">
        <is>
          <t>***** 駱克駅26樓</t>
        </is>
      </c>
      <c r="V260" s="3" t="inlineStr">
        <is>
          <t>香港</t>
        </is>
      </c>
      <c r="W260" s="3" t="inlineStr">
        <is>
          <t>翻新POS机【真唯】/ 件出</t>
        </is>
      </c>
      <c r="X260" s="3" t="inlineStr">
        <is>
          <t>ESS-SFTS-OTMS</t>
        </is>
      </c>
      <c r="Y260" s="3" t="n"/>
      <c r="Z260" s="3" t="inlineStr"/>
      <c r="AA260" s="3" t="inlineStr">
        <is>
          <t>寄付月結</t>
        </is>
      </c>
      <c r="AB260">
        <f>IFERROR(VLOOKUP(Q260&amp;"",對照表!$A:$B,1,FALSE),"")</f>
        <v/>
      </c>
      <c r="AC260">
        <f>IFERROR(VLOOKUP(Q260&amp;"",對照表!$A:$B,2,FALSE),"")</f>
        <v/>
      </c>
    </row>
    <row r="261">
      <c r="A261" s="3" t="inlineStr">
        <is>
          <t>SF5119115816225</t>
        </is>
      </c>
      <c r="B261" s="3" t="n">
        <v>58424106156121</v>
      </c>
      <c r="C261" s="3" t="inlineStr">
        <is>
          <t>已簽收</t>
        </is>
      </c>
      <c r="D261" s="3" t="inlineStr">
        <is>
          <t>2026-07-02 17:56:34</t>
        </is>
      </c>
      <c r="E261" s="3" t="inlineStr">
        <is>
          <t>2026-07-03 12:39</t>
        </is>
      </c>
      <c r="F261" s="3" t="n">
        <v>1</v>
      </c>
      <c r="G261" s="3" t="n">
        <v>1</v>
      </c>
      <c r="H261" s="3" t="n"/>
      <c r="I261" s="3" t="inlineStr"/>
      <c r="J261" s="3" t="inlineStr">
        <is>
          <t>Keeta</t>
        </is>
      </c>
      <c r="K261" s="3" t="inlineStr">
        <is>
          <t>****9568</t>
        </is>
      </c>
      <c r="L261" s="3" t="n"/>
      <c r="M261" s="3" t="inlineStr">
        <is>
          <t>***** 物流中心5樓</t>
        </is>
      </c>
      <c r="N261" s="3" t="inlineStr">
        <is>
          <t>北区</t>
        </is>
      </c>
      <c r="O261" s="3" t="inlineStr">
        <is>
          <t>香港</t>
        </is>
      </c>
      <c r="P261" s="3" t="inlineStr">
        <is>
          <t>香港特别行政区</t>
        </is>
      </c>
      <c r="Q261" s="3" t="n">
        <v>721421337</v>
      </c>
      <c r="R261" s="3" t="inlineStr">
        <is>
          <t>泰原味（琛水埗店）</t>
        </is>
      </c>
      <c r="S261" s="3" t="inlineStr">
        <is>
          <t>****2141</t>
        </is>
      </c>
      <c r="T261" s="3" t="inlineStr">
        <is>
          <t>****2141</t>
        </is>
      </c>
      <c r="U261" s="3" t="inlineStr">
        <is>
          <t>***** 7-18號舖</t>
        </is>
      </c>
      <c r="V261" s="3" t="inlineStr">
        <is>
          <t>香港</t>
        </is>
      </c>
      <c r="W261" s="3" t="inlineStr">
        <is>
          <t>翻新POS机【真唯】/ 件出</t>
        </is>
      </c>
      <c r="X261" s="3" t="inlineStr">
        <is>
          <t>ESS-SFTS-OTMS</t>
        </is>
      </c>
      <c r="Y261" s="3" t="n"/>
      <c r="Z261" s="3" t="inlineStr"/>
      <c r="AA261" s="3" t="inlineStr">
        <is>
          <t>寄付月結</t>
        </is>
      </c>
      <c r="AB261">
        <f>IFERROR(VLOOKUP(Q261&amp;"",對照表!$A:$B,1,FALSE),"")</f>
        <v/>
      </c>
      <c r="AC261">
        <f>IFERROR(VLOOKUP(Q261&amp;"",對照表!$A:$B,2,FALSE),"")</f>
        <v/>
      </c>
    </row>
    <row r="262">
      <c r="A262" s="3" t="inlineStr">
        <is>
          <t>SF5119115816428</t>
        </is>
      </c>
      <c r="B262" s="3" t="n">
        <v>58424106156171</v>
      </c>
      <c r="C262" s="3" t="inlineStr">
        <is>
          <t>已簽收</t>
        </is>
      </c>
      <c r="D262" s="3" t="inlineStr">
        <is>
          <t>2026-07-02 17:57:25</t>
        </is>
      </c>
      <c r="E262" s="3" t="inlineStr">
        <is>
          <t>2026-07-03 11:56</t>
        </is>
      </c>
      <c r="F262" s="3" t="n">
        <v>1</v>
      </c>
      <c r="G262" s="3" t="n">
        <v>1</v>
      </c>
      <c r="H262" s="3" t="n"/>
      <c r="I262" s="3" t="inlineStr"/>
      <c r="J262" s="3" t="inlineStr">
        <is>
          <t>Keeta</t>
        </is>
      </c>
      <c r="K262" s="3" t="inlineStr">
        <is>
          <t>****9568</t>
        </is>
      </c>
      <c r="L262" s="3" t="n"/>
      <c r="M262" s="3" t="inlineStr">
        <is>
          <t>***** 物流中心5樓</t>
        </is>
      </c>
      <c r="N262" s="3" t="inlineStr">
        <is>
          <t>北区</t>
        </is>
      </c>
      <c r="O262" s="3" t="inlineStr">
        <is>
          <t>香港</t>
        </is>
      </c>
      <c r="P262" s="3" t="inlineStr">
        <is>
          <t>香港特别行政区</t>
        </is>
      </c>
      <c r="Q262" s="3" t="n">
        <v>63535973</v>
      </c>
      <c r="R262" s="3" t="inlineStr">
        <is>
          <t>鼎鮮</t>
        </is>
      </c>
      <c r="S262" s="3" t="inlineStr">
        <is>
          <t>****5973</t>
        </is>
      </c>
      <c r="T262" s="3" t="inlineStr">
        <is>
          <t>****5973</t>
        </is>
      </c>
      <c r="U262" s="3" t="inlineStr">
        <is>
          <t>***** 樓4室H單位</t>
        </is>
      </c>
      <c r="V262" s="3" t="inlineStr">
        <is>
          <t>香港</t>
        </is>
      </c>
      <c r="W262" s="3" t="inlineStr">
        <is>
          <t>翻新POS机【真唯】/ 件出</t>
        </is>
      </c>
      <c r="X262" s="3" t="inlineStr">
        <is>
          <t>ESS-SFTS-OTMS</t>
        </is>
      </c>
      <c r="Y262" s="3" t="n"/>
      <c r="Z262" s="3" t="inlineStr"/>
      <c r="AA262" s="3" t="inlineStr">
        <is>
          <t>寄付月結</t>
        </is>
      </c>
      <c r="AB262">
        <f>IFERROR(VLOOKUP(Q262&amp;"",對照表!$A:$B,1,FALSE),"")</f>
        <v/>
      </c>
      <c r="AC262">
        <f>IFERROR(VLOOKUP(Q262&amp;"",對照表!$A:$B,2,FALSE),"")</f>
        <v/>
      </c>
    </row>
    <row r="263">
      <c r="A263" s="3" t="inlineStr">
        <is>
          <t>SF5119115816207</t>
        </is>
      </c>
      <c r="B263" s="3" t="n">
        <v>58424106156129</v>
      </c>
      <c r="C263" s="3" t="inlineStr">
        <is>
          <t>已簽收</t>
        </is>
      </c>
      <c r="D263" s="3" t="inlineStr">
        <is>
          <t>2026-07-02 17:56:36</t>
        </is>
      </c>
      <c r="E263" s="3" t="inlineStr">
        <is>
          <t>2026-07-03 13:45</t>
        </is>
      </c>
      <c r="F263" s="3" t="n">
        <v>1</v>
      </c>
      <c r="G263" s="3" t="n">
        <v>1</v>
      </c>
      <c r="H263" s="3" t="n"/>
      <c r="I263" s="3" t="inlineStr"/>
      <c r="J263" s="3" t="inlineStr">
        <is>
          <t>Keeta</t>
        </is>
      </c>
      <c r="K263" s="3" t="inlineStr">
        <is>
          <t>****9568</t>
        </is>
      </c>
      <c r="L263" s="3" t="n"/>
      <c r="M263" s="3" t="inlineStr">
        <is>
          <t>***** 物流中心5樓</t>
        </is>
      </c>
      <c r="N263" s="3" t="inlineStr">
        <is>
          <t>北区</t>
        </is>
      </c>
      <c r="O263" s="3" t="inlineStr">
        <is>
          <t>香港</t>
        </is>
      </c>
      <c r="P263" s="3" t="inlineStr">
        <is>
          <t>香港特别行政区</t>
        </is>
      </c>
      <c r="Q263" s="3" t="n">
        <v>97200919</v>
      </c>
      <c r="R263" s="3" t="inlineStr">
        <is>
          <t>樂園魚蛋專家 (藍田店)歷史品牌純手工香港製造</t>
        </is>
      </c>
      <c r="S263" s="3" t="inlineStr">
        <is>
          <t>****0919</t>
        </is>
      </c>
      <c r="T263" s="3" t="inlineStr">
        <is>
          <t>****0919</t>
        </is>
      </c>
      <c r="U263" s="3" t="inlineStr">
        <is>
          <t>***** &amp;M65號舖</t>
        </is>
      </c>
      <c r="V263" s="3" t="inlineStr">
        <is>
          <t>香港</t>
        </is>
      </c>
      <c r="W263" s="3" t="inlineStr">
        <is>
          <t>翻新POS机【真唯】/ 件出</t>
        </is>
      </c>
      <c r="X263" s="3" t="inlineStr">
        <is>
          <t>ESS-SFTS-OTMS</t>
        </is>
      </c>
      <c r="Y263" s="3" t="n"/>
      <c r="Z263" s="3" t="inlineStr"/>
      <c r="AA263" s="3" t="inlineStr">
        <is>
          <t>寄付月結</t>
        </is>
      </c>
      <c r="AB263">
        <f>IFERROR(VLOOKUP(Q263&amp;"",對照表!$A:$B,1,FALSE),"")</f>
        <v/>
      </c>
      <c r="AC263">
        <f>IFERROR(VLOOKUP(Q263&amp;"",對照表!$A:$B,2,FALSE),"")</f>
        <v/>
      </c>
    </row>
    <row r="264">
      <c r="A264" s="3" t="inlineStr">
        <is>
          <t>SF5117719548743</t>
        </is>
      </c>
      <c r="B264" s="3" t="inlineStr">
        <is>
          <t>Keeta-2026-0703-0008</t>
        </is>
      </c>
      <c r="C264" s="3" t="inlineStr">
        <is>
          <t>已簽收</t>
        </is>
      </c>
      <c r="D264" s="3" t="inlineStr">
        <is>
          <t>2026-07-03 11:32:46</t>
        </is>
      </c>
      <c r="E264" s="3" t="inlineStr">
        <is>
          <t>2026-07-04 11:35</t>
        </is>
      </c>
      <c r="F264" s="3" t="n">
        <v>2.8</v>
      </c>
      <c r="G264" s="3" t="n">
        <v>1</v>
      </c>
      <c r="H264" s="3" t="n"/>
      <c r="I264" s="3" t="n"/>
      <c r="J264" s="3" t="inlineStr">
        <is>
          <t>keeta</t>
        </is>
      </c>
      <c r="K264" s="3" t="inlineStr">
        <is>
          <t>****57224599</t>
        </is>
      </c>
      <c r="L264" s="3" t="inlineStr">
        <is>
          <t>****57224599</t>
        </is>
      </c>
      <c r="M264" s="3" t="inlineStr">
        <is>
          <t>***** 心2808室</t>
        </is>
      </c>
      <c r="N264" s="3" t="inlineStr">
        <is>
          <t>荔枝角</t>
        </is>
      </c>
      <c r="O264" s="3" t="inlineStr">
        <is>
          <t>深水埗区</t>
        </is>
      </c>
      <c r="P264" s="3" t="inlineStr">
        <is>
          <t>香港</t>
        </is>
      </c>
      <c r="Q264" s="3" t="n">
        <v>721522415</v>
      </c>
      <c r="R264" s="3" t="inlineStr">
        <is>
          <t>十里豬扒酸辣米線（葵興店）</t>
        </is>
      </c>
      <c r="S264" s="3" t="inlineStr">
        <is>
          <t>****95534170</t>
        </is>
      </c>
      <c r="T264" s="3" t="inlineStr">
        <is>
          <t>****95534170</t>
        </is>
      </c>
      <c r="U264" s="3" t="inlineStr">
        <is>
          <t>***** 地下28號鋪</t>
        </is>
      </c>
      <c r="V264" s="3" t="inlineStr">
        <is>
          <t>香港</t>
        </is>
      </c>
      <c r="W264" s="3" t="inlineStr">
        <is>
          <t>POS機+新店禮包</t>
        </is>
      </c>
      <c r="X264" s="3" t="inlineStr">
        <is>
          <t>BSP</t>
        </is>
      </c>
      <c r="Y264" s="3" t="inlineStr">
        <is>
          <t>寄快遞</t>
        </is>
      </c>
      <c r="Z264" s="3" t="n"/>
      <c r="AA264" s="3" t="inlineStr">
        <is>
          <t>第三方付</t>
        </is>
      </c>
      <c r="AB264">
        <f>IFERROR(VLOOKUP(Q264&amp;"",對照表!$A:$B,1,FALSE),"")</f>
        <v/>
      </c>
      <c r="AC264">
        <f>IFERROR(VLOOKUP(Q264&amp;"",對照表!$A:$B,2,FALSE),"")</f>
        <v/>
      </c>
    </row>
    <row r="265">
      <c r="A265" s="3" t="inlineStr">
        <is>
          <t>SF5117719548725</t>
        </is>
      </c>
      <c r="B265" s="3" t="inlineStr">
        <is>
          <t>Keeta-2026-0703-0001</t>
        </is>
      </c>
      <c r="C265" s="3" t="inlineStr">
        <is>
          <t>已簽收</t>
        </is>
      </c>
      <c r="D265" s="3" t="inlineStr">
        <is>
          <t>2026-07-03 11:33:15</t>
        </is>
      </c>
      <c r="E265" s="3" t="inlineStr">
        <is>
          <t>2026-07-03 17:51</t>
        </is>
      </c>
      <c r="F265" s="3" t="n">
        <v>2.8</v>
      </c>
      <c r="G265" s="3" t="n">
        <v>1</v>
      </c>
      <c r="H265" s="3" t="n"/>
      <c r="I265" s="3" t="n"/>
      <c r="J265" s="3" t="inlineStr">
        <is>
          <t>keeta</t>
        </is>
      </c>
      <c r="K265" s="3" t="inlineStr">
        <is>
          <t>****57224599</t>
        </is>
      </c>
      <c r="L265" s="3" t="inlineStr">
        <is>
          <t>****57224599</t>
        </is>
      </c>
      <c r="M265" s="3" t="inlineStr">
        <is>
          <t>***** 心2808室</t>
        </is>
      </c>
      <c r="N265" s="3" t="inlineStr">
        <is>
          <t>荔枝角</t>
        </is>
      </c>
      <c r="O265" s="3" t="inlineStr">
        <is>
          <t>深水埗区</t>
        </is>
      </c>
      <c r="P265" s="3" t="inlineStr">
        <is>
          <t>香港</t>
        </is>
      </c>
      <c r="Q265" s="3" t="n">
        <v>721535392</v>
      </c>
      <c r="R265" s="3" t="inlineStr">
        <is>
          <t>同樂鮮味</t>
        </is>
      </c>
      <c r="S265" s="3" t="inlineStr">
        <is>
          <t>****97913316</t>
        </is>
      </c>
      <c r="T265" s="3" t="inlineStr">
        <is>
          <t>****97913316</t>
        </is>
      </c>
      <c r="U265" s="3" t="inlineStr">
        <is>
          <t>***** 街金華樓J鋪</t>
        </is>
      </c>
      <c r="V265" s="3" t="inlineStr">
        <is>
          <t>香港</t>
        </is>
      </c>
      <c r="W265" s="3" t="inlineStr">
        <is>
          <t>POS機+新店禮包</t>
        </is>
      </c>
      <c r="X265" s="3" t="inlineStr">
        <is>
          <t>BSP</t>
        </is>
      </c>
      <c r="Y265" s="3" t="inlineStr">
        <is>
          <t>寄快遞</t>
        </is>
      </c>
      <c r="Z265" s="3" t="n"/>
      <c r="AA265" s="3" t="inlineStr">
        <is>
          <t>第三方付</t>
        </is>
      </c>
      <c r="AB265">
        <f>IFERROR(VLOOKUP(Q265&amp;"",對照表!$A:$B,1,FALSE),"")</f>
        <v/>
      </c>
      <c r="AC265">
        <f>IFERROR(VLOOKUP(Q265&amp;"",對照表!$A:$B,2,FALSE),"")</f>
        <v/>
      </c>
    </row>
    <row r="266">
      <c r="A266" s="3" t="inlineStr">
        <is>
          <t>SF5117719548707</t>
        </is>
      </c>
      <c r="B266" s="3" t="inlineStr">
        <is>
          <t>Keeta-2026-0703-0011</t>
        </is>
      </c>
      <c r="C266" s="3" t="inlineStr">
        <is>
          <t>已簽收</t>
        </is>
      </c>
      <c r="D266" s="3" t="inlineStr">
        <is>
          <t>2026-07-03 11:32:18</t>
        </is>
      </c>
      <c r="E266" s="3" t="inlineStr">
        <is>
          <t>2026-07-03 18:07</t>
        </is>
      </c>
      <c r="F266" s="3" t="n">
        <v>2.8</v>
      </c>
      <c r="G266" s="3" t="n">
        <v>1</v>
      </c>
      <c r="H266" s="3" t="n"/>
      <c r="I266" s="3" t="n"/>
      <c r="J266" s="3" t="inlineStr">
        <is>
          <t>keeta</t>
        </is>
      </c>
      <c r="K266" s="3" t="inlineStr">
        <is>
          <t>****57224599</t>
        </is>
      </c>
      <c r="L266" s="3" t="inlineStr">
        <is>
          <t>****57224599</t>
        </is>
      </c>
      <c r="M266" s="3" t="inlineStr">
        <is>
          <t>***** 心2808室</t>
        </is>
      </c>
      <c r="N266" s="3" t="inlineStr">
        <is>
          <t>荔枝角</t>
        </is>
      </c>
      <c r="O266" s="3" t="inlineStr">
        <is>
          <t>深水埗区</t>
        </is>
      </c>
      <c r="P266" s="3" t="inlineStr">
        <is>
          <t>香港</t>
        </is>
      </c>
      <c r="Q266" s="3" t="n">
        <v>721514395</v>
      </c>
      <c r="R266" s="3" t="inlineStr">
        <is>
          <t>大丼食堂</t>
        </is>
      </c>
      <c r="S266" s="3" t="inlineStr">
        <is>
          <t>****68861001</t>
        </is>
      </c>
      <c r="T266" s="3" t="inlineStr">
        <is>
          <t>****68861001</t>
        </is>
      </c>
      <c r="U266" s="3" t="inlineStr">
        <is>
          <t>***** 6A G/F</t>
        </is>
      </c>
      <c r="V266" s="3" t="inlineStr">
        <is>
          <t>香港</t>
        </is>
      </c>
      <c r="W266" s="3" t="inlineStr">
        <is>
          <t>POS機+新店禮包</t>
        </is>
      </c>
      <c r="X266" s="3" t="inlineStr">
        <is>
          <t>BSP</t>
        </is>
      </c>
      <c r="Y266" s="3" t="inlineStr">
        <is>
          <t>寄快遞</t>
        </is>
      </c>
      <c r="Z266" s="3" t="n"/>
      <c r="AA266" s="3" t="inlineStr">
        <is>
          <t>第三方付</t>
        </is>
      </c>
      <c r="AB266">
        <f>IFERROR(VLOOKUP(Q266&amp;"",對照表!$A:$B,1,FALSE),"")</f>
        <v/>
      </c>
      <c r="AC266">
        <f>IFERROR(VLOOKUP(Q266&amp;"",對照表!$A:$B,2,FALSE),"")</f>
        <v/>
      </c>
    </row>
    <row r="267">
      <c r="A267" s="3" t="inlineStr">
        <is>
          <t>SF5117719548692</t>
        </is>
      </c>
      <c r="B267" s="3" t="inlineStr">
        <is>
          <t>Keeta-2026-0703-0009</t>
        </is>
      </c>
      <c r="C267" s="3" t="inlineStr">
        <is>
          <t>已簽收</t>
        </is>
      </c>
      <c r="D267" s="3" t="inlineStr">
        <is>
          <t>2026-07-03 11:32:55</t>
        </is>
      </c>
      <c r="E267" s="3" t="inlineStr">
        <is>
          <t>2026-07-03 17:20</t>
        </is>
      </c>
      <c r="F267" s="3" t="n">
        <v>2.8</v>
      </c>
      <c r="G267" s="3" t="n">
        <v>1</v>
      </c>
      <c r="H267" s="3" t="n"/>
      <c r="I267" s="3" t="n"/>
      <c r="J267" s="3" t="inlineStr">
        <is>
          <t>keeta</t>
        </is>
      </c>
      <c r="K267" s="3" t="inlineStr">
        <is>
          <t>****57224599</t>
        </is>
      </c>
      <c r="L267" s="3" t="inlineStr">
        <is>
          <t>****57224599</t>
        </is>
      </c>
      <c r="M267" s="3" t="inlineStr">
        <is>
          <t>***** 心2808室</t>
        </is>
      </c>
      <c r="N267" s="3" t="inlineStr">
        <is>
          <t>荔枝角</t>
        </is>
      </c>
      <c r="O267" s="3" t="inlineStr">
        <is>
          <t>深水埗区</t>
        </is>
      </c>
      <c r="P267" s="3" t="inlineStr">
        <is>
          <t>香港</t>
        </is>
      </c>
      <c r="Q267" s="3" t="n">
        <v>721518384</v>
      </c>
      <c r="R267" s="3" t="inlineStr">
        <is>
          <t>華記粉麵雲餃店</t>
        </is>
      </c>
      <c r="S267" s="3" t="inlineStr">
        <is>
          <t>****62270999</t>
        </is>
      </c>
      <c r="T267" s="3" t="inlineStr">
        <is>
          <t>****62270999</t>
        </is>
      </c>
      <c r="U267" s="3" t="inlineStr">
        <is>
          <t>***** 街22號地下</t>
        </is>
      </c>
      <c r="V267" s="3" t="inlineStr">
        <is>
          <t>香港</t>
        </is>
      </c>
      <c r="W267" s="3" t="inlineStr">
        <is>
          <t>POS機+新店禮包</t>
        </is>
      </c>
      <c r="X267" s="3" t="inlineStr">
        <is>
          <t>BSP</t>
        </is>
      </c>
      <c r="Y267" s="3" t="inlineStr">
        <is>
          <t>寄快遞</t>
        </is>
      </c>
      <c r="Z267" s="3" t="n"/>
      <c r="AA267" s="3" t="inlineStr">
        <is>
          <t>第三方付</t>
        </is>
      </c>
      <c r="AB267">
        <f>IFERROR(VLOOKUP(Q267&amp;"",對照表!$A:$B,1,FALSE),"")</f>
        <v/>
      </c>
      <c r="AC267">
        <f>IFERROR(VLOOKUP(Q267&amp;"",對照表!$A:$B,2,FALSE),"")</f>
        <v/>
      </c>
    </row>
    <row r="268">
      <c r="A268" s="3" t="inlineStr">
        <is>
          <t>SF5117719548770</t>
        </is>
      </c>
      <c r="B268" s="3" t="inlineStr">
        <is>
          <t>Keeta-2026-0703-0003</t>
        </is>
      </c>
      <c r="C268" s="3" t="inlineStr">
        <is>
          <t>已簽收</t>
        </is>
      </c>
      <c r="D268" s="3" t="inlineStr">
        <is>
          <t>2026-07-03 11:33:48</t>
        </is>
      </c>
      <c r="E268" s="3" t="inlineStr">
        <is>
          <t>2026-07-03 17:40</t>
        </is>
      </c>
      <c r="F268" s="3" t="n">
        <v>2.8</v>
      </c>
      <c r="G268" s="3" t="n">
        <v>1</v>
      </c>
      <c r="H268" s="3" t="n"/>
      <c r="I268" s="3" t="n"/>
      <c r="J268" s="3" t="inlineStr">
        <is>
          <t>keeta</t>
        </is>
      </c>
      <c r="K268" s="3" t="inlineStr">
        <is>
          <t>****57224599</t>
        </is>
      </c>
      <c r="L268" s="3" t="inlineStr">
        <is>
          <t>****57224599</t>
        </is>
      </c>
      <c r="M268" s="3" t="inlineStr">
        <is>
          <t>***** 心2808室</t>
        </is>
      </c>
      <c r="N268" s="3" t="inlineStr">
        <is>
          <t>荔枝角</t>
        </is>
      </c>
      <c r="O268" s="3" t="inlineStr">
        <is>
          <t>深水埗区</t>
        </is>
      </c>
      <c r="P268" s="3" t="inlineStr">
        <is>
          <t>香港</t>
        </is>
      </c>
      <c r="Q268" s="3" t="n">
        <v>721537399</v>
      </c>
      <c r="R268" s="3" t="inlineStr">
        <is>
          <t>粒粒雪糕 (MOKO)</t>
        </is>
      </c>
      <c r="S268" s="3" t="inlineStr">
        <is>
          <t>****66287842</t>
        </is>
      </c>
      <c r="T268" s="3" t="inlineStr">
        <is>
          <t>****66287842</t>
        </is>
      </c>
      <c r="U268" s="3" t="inlineStr">
        <is>
          <t>***** 樓357B舖</t>
        </is>
      </c>
      <c r="V268" s="3" t="inlineStr">
        <is>
          <t>香港</t>
        </is>
      </c>
      <c r="W268" s="3" t="inlineStr">
        <is>
          <t>POS機+新店禮包</t>
        </is>
      </c>
      <c r="X268" s="3" t="inlineStr">
        <is>
          <t>BSP</t>
        </is>
      </c>
      <c r="Y268" s="3" t="inlineStr">
        <is>
          <t>寄快遞</t>
        </is>
      </c>
      <c r="Z268" s="3" t="n"/>
      <c r="AA268" s="3" t="inlineStr">
        <is>
          <t>第三方付</t>
        </is>
      </c>
      <c r="AB268">
        <f>IFERROR(VLOOKUP(Q268&amp;"",對照表!$A:$B,1,FALSE),"")</f>
        <v/>
      </c>
      <c r="AC268">
        <f>IFERROR(VLOOKUP(Q268&amp;"",對照表!$A:$B,2,FALSE),"")</f>
        <v/>
      </c>
    </row>
    <row r="269">
      <c r="A269" s="3" t="inlineStr">
        <is>
          <t>SF5117719548938</t>
        </is>
      </c>
      <c r="B269" s="3" t="inlineStr">
        <is>
          <t>Keeta-2026-0703-0002</t>
        </is>
      </c>
      <c r="C269" s="3" t="inlineStr">
        <is>
          <t>已簽收</t>
        </is>
      </c>
      <c r="D269" s="3" t="inlineStr">
        <is>
          <t>2026-07-03 11:33:25</t>
        </is>
      </c>
      <c r="E269" s="3" t="inlineStr">
        <is>
          <t>2026-07-04 12:10</t>
        </is>
      </c>
      <c r="F269" s="3" t="n">
        <v>2.8</v>
      </c>
      <c r="G269" s="3" t="n">
        <v>1</v>
      </c>
      <c r="H269" s="3" t="n"/>
      <c r="I269" s="3" t="n"/>
      <c r="J269" s="3" t="inlineStr">
        <is>
          <t>keeta</t>
        </is>
      </c>
      <c r="K269" s="3" t="inlineStr">
        <is>
          <t>****57224599</t>
        </is>
      </c>
      <c r="L269" s="3" t="inlineStr">
        <is>
          <t>****57224599</t>
        </is>
      </c>
      <c r="M269" s="3" t="inlineStr">
        <is>
          <t>***** 心2808室</t>
        </is>
      </c>
      <c r="N269" s="3" t="inlineStr">
        <is>
          <t>荔枝角</t>
        </is>
      </c>
      <c r="O269" s="3" t="inlineStr">
        <is>
          <t>深水埗区</t>
        </is>
      </c>
      <c r="P269" s="3" t="inlineStr">
        <is>
          <t>香港</t>
        </is>
      </c>
      <c r="Q269" s="3" t="n">
        <v>721542400</v>
      </c>
      <c r="R269" s="3" t="inlineStr">
        <is>
          <t>金浦食堂 (觀塘店)</t>
        </is>
      </c>
      <c r="S269" s="3" t="inlineStr">
        <is>
          <t>****3102</t>
        </is>
      </c>
      <c r="T269" s="3" t="inlineStr">
        <is>
          <t>****3102</t>
        </is>
      </c>
      <c r="U269" s="3" t="inlineStr">
        <is>
          <t>***** 下G22號舖</t>
        </is>
      </c>
      <c r="V269" s="3" t="inlineStr">
        <is>
          <t>香港</t>
        </is>
      </c>
      <c r="W269" s="3" t="inlineStr">
        <is>
          <t>POS機+新店禮包</t>
        </is>
      </c>
      <c r="X269" s="3" t="inlineStr">
        <is>
          <t>BSP</t>
        </is>
      </c>
      <c r="Y269" s="3" t="inlineStr">
        <is>
          <t>寄快遞</t>
        </is>
      </c>
      <c r="Z269" s="3" t="n"/>
      <c r="AA269" s="3" t="inlineStr">
        <is>
          <t>第三方付</t>
        </is>
      </c>
      <c r="AB269">
        <f>IFERROR(VLOOKUP(Q269&amp;"",對照表!$A:$B,1,FALSE),"")</f>
        <v/>
      </c>
      <c r="AC269">
        <f>IFERROR(VLOOKUP(Q269&amp;"",對照表!$A:$B,2,FALSE),"")</f>
        <v/>
      </c>
    </row>
    <row r="270">
      <c r="A270" s="3" t="inlineStr">
        <is>
          <t>SF5117719550307</t>
        </is>
      </c>
      <c r="B270" s="3" t="inlineStr">
        <is>
          <t>Keeta-2026-0703-0006</t>
        </is>
      </c>
      <c r="C270" s="3" t="inlineStr">
        <is>
          <t>已簽收</t>
        </is>
      </c>
      <c r="D270" s="3" t="inlineStr">
        <is>
          <t>2026-07-03 11:32:27</t>
        </is>
      </c>
      <c r="E270" s="3" t="inlineStr">
        <is>
          <t>2026-07-03 12:53</t>
        </is>
      </c>
      <c r="F270" s="3" t="n">
        <v>2.8</v>
      </c>
      <c r="G270" s="3" t="n">
        <v>1</v>
      </c>
      <c r="H270" s="3" t="n"/>
      <c r="I270" s="3" t="n"/>
      <c r="J270" s="3" t="inlineStr">
        <is>
          <t>keeta</t>
        </is>
      </c>
      <c r="K270" s="3" t="inlineStr">
        <is>
          <t>****57224599</t>
        </is>
      </c>
      <c r="L270" s="3" t="inlineStr">
        <is>
          <t>****57224599</t>
        </is>
      </c>
      <c r="M270" s="3" t="inlineStr">
        <is>
          <t>***** 心2808室</t>
        </is>
      </c>
      <c r="N270" s="3" t="inlineStr">
        <is>
          <t>荔枝角</t>
        </is>
      </c>
      <c r="O270" s="3" t="inlineStr">
        <is>
          <t>深水埗区</t>
        </is>
      </c>
      <c r="P270" s="3" t="inlineStr">
        <is>
          <t>香港</t>
        </is>
      </c>
      <c r="Q270" s="3" t="n">
        <v>721520394</v>
      </c>
      <c r="R270" s="3" t="inlineStr">
        <is>
          <t>Balanced Bites</t>
        </is>
      </c>
      <c r="S270" s="3" t="inlineStr">
        <is>
          <t>****95351635</t>
        </is>
      </c>
      <c r="T270" s="3" t="inlineStr">
        <is>
          <t>****95351635</t>
        </is>
      </c>
      <c r="U270" s="3" t="inlineStr">
        <is>
          <t>***** 室C28部份</t>
        </is>
      </c>
      <c r="V270" s="3" t="inlineStr">
        <is>
          <t>香港</t>
        </is>
      </c>
      <c r="W270" s="3" t="inlineStr">
        <is>
          <t>POS機+新店禮包</t>
        </is>
      </c>
      <c r="X270" s="3" t="inlineStr">
        <is>
          <t>BSP</t>
        </is>
      </c>
      <c r="Y270" s="3" t="inlineStr">
        <is>
          <t>寄快遞</t>
        </is>
      </c>
      <c r="Z270" s="3" t="n"/>
      <c r="AA270" s="3" t="inlineStr">
        <is>
          <t>第三方付</t>
        </is>
      </c>
      <c r="AB270">
        <f>IFERROR(VLOOKUP(Q270&amp;"",對照表!$A:$B,1,FALSE),"")</f>
        <v/>
      </c>
      <c r="AC270">
        <f>IFERROR(VLOOKUP(Q270&amp;"",對照表!$A:$B,2,FALSE),"")</f>
        <v/>
      </c>
    </row>
    <row r="271">
      <c r="A271" s="3" t="inlineStr">
        <is>
          <t>SF5117719550634</t>
        </is>
      </c>
      <c r="B271" s="3" t="inlineStr">
        <is>
          <t>Keeta-2026-0703-0010</t>
        </is>
      </c>
      <c r="C271" s="3" t="inlineStr">
        <is>
          <t>已簽收</t>
        </is>
      </c>
      <c r="D271" s="3" t="inlineStr">
        <is>
          <t>2026-07-03 11:33:05</t>
        </is>
      </c>
      <c r="E271" s="3" t="inlineStr">
        <is>
          <t>2026-07-03 18:14</t>
        </is>
      </c>
      <c r="F271" s="3" t="n">
        <v>2.8</v>
      </c>
      <c r="G271" s="3" t="n">
        <v>1</v>
      </c>
      <c r="H271" s="3" t="n"/>
      <c r="I271" s="3" t="n"/>
      <c r="J271" s="3" t="inlineStr">
        <is>
          <t>keeta</t>
        </is>
      </c>
      <c r="K271" s="3" t="inlineStr">
        <is>
          <t>****57224599</t>
        </is>
      </c>
      <c r="L271" s="3" t="inlineStr">
        <is>
          <t>****57224599</t>
        </is>
      </c>
      <c r="M271" s="3" t="inlineStr">
        <is>
          <t>***** 心2808室</t>
        </is>
      </c>
      <c r="N271" s="3" t="inlineStr">
        <is>
          <t>荔枝角</t>
        </is>
      </c>
      <c r="O271" s="3" t="inlineStr">
        <is>
          <t>深水埗区</t>
        </is>
      </c>
      <c r="P271" s="3" t="inlineStr">
        <is>
          <t>香港</t>
        </is>
      </c>
      <c r="Q271" s="3" t="n">
        <v>721518386</v>
      </c>
      <c r="R271" s="3" t="inlineStr">
        <is>
          <t>幸福煎餃子【中環】</t>
        </is>
      </c>
      <c r="S271" s="3" t="inlineStr">
        <is>
          <t>****51136614</t>
        </is>
      </c>
      <c r="T271" s="3" t="inlineStr">
        <is>
          <t>****51136614</t>
        </is>
      </c>
      <c r="U271" s="3" t="inlineStr">
        <is>
          <t>***** 層地下5A舖</t>
        </is>
      </c>
      <c r="V271" s="3" t="inlineStr">
        <is>
          <t>香港</t>
        </is>
      </c>
      <c r="W271" s="3" t="inlineStr">
        <is>
          <t>POS機+新店禮包</t>
        </is>
      </c>
      <c r="X271" s="3" t="inlineStr">
        <is>
          <t>BSP</t>
        </is>
      </c>
      <c r="Y271" s="3" t="inlineStr">
        <is>
          <t>寄快遞</t>
        </is>
      </c>
      <c r="Z271" s="3" t="n"/>
      <c r="AA271" s="3" t="inlineStr">
        <is>
          <t>第三方付</t>
        </is>
      </c>
      <c r="AB271">
        <f>IFERROR(VLOOKUP(Q271&amp;"",對照表!$A:$B,1,FALSE),"")</f>
        <v/>
      </c>
      <c r="AC271">
        <f>IFERROR(VLOOKUP(Q271&amp;"",對照表!$A:$B,2,FALSE),"")</f>
        <v/>
      </c>
    </row>
    <row r="272">
      <c r="A272" s="3" t="inlineStr">
        <is>
          <t>SF5117719552148</t>
        </is>
      </c>
      <c r="B272" s="3" t="inlineStr">
        <is>
          <t>Keeta-2026-0703-0005</t>
        </is>
      </c>
      <c r="C272" s="3" t="inlineStr">
        <is>
          <t>已簽收</t>
        </is>
      </c>
      <c r="D272" s="3" t="inlineStr">
        <is>
          <t>2026-07-03 11:34:07</t>
        </is>
      </c>
      <c r="E272" s="3" t="inlineStr">
        <is>
          <t>2026-07-03 16:37</t>
        </is>
      </c>
      <c r="F272" s="3" t="n">
        <v>2.8</v>
      </c>
      <c r="G272" s="3" t="n">
        <v>1</v>
      </c>
      <c r="H272" s="3" t="n"/>
      <c r="I272" s="3" t="n"/>
      <c r="J272" s="3" t="inlineStr">
        <is>
          <t>keeta</t>
        </is>
      </c>
      <c r="K272" s="3" t="inlineStr">
        <is>
          <t>****57224599</t>
        </is>
      </c>
      <c r="L272" s="3" t="inlineStr">
        <is>
          <t>****57224599</t>
        </is>
      </c>
      <c r="M272" s="3" t="inlineStr">
        <is>
          <t>***** 心2808室</t>
        </is>
      </c>
      <c r="N272" s="3" t="inlineStr">
        <is>
          <t>荔枝角</t>
        </is>
      </c>
      <c r="O272" s="3" t="inlineStr">
        <is>
          <t>深水埗区</t>
        </is>
      </c>
      <c r="P272" s="3" t="inlineStr">
        <is>
          <t>香港</t>
        </is>
      </c>
      <c r="Q272" s="3" t="n">
        <v>721515350</v>
      </c>
      <c r="R272" s="3" t="inlineStr">
        <is>
          <t>文興酒家</t>
        </is>
      </c>
      <c r="S272" s="3" t="inlineStr">
        <is>
          <t>****61534353</t>
        </is>
      </c>
      <c r="T272" s="3" t="inlineStr">
        <is>
          <t>****61534353</t>
        </is>
      </c>
      <c r="U272" s="3" t="inlineStr">
        <is>
          <t>***** HAI HK</t>
        </is>
      </c>
      <c r="V272" s="3" t="inlineStr">
        <is>
          <t>香港</t>
        </is>
      </c>
      <c r="W272" s="3" t="inlineStr">
        <is>
          <t>POS機+新店禮包</t>
        </is>
      </c>
      <c r="X272" s="3" t="inlineStr">
        <is>
          <t>BSP</t>
        </is>
      </c>
      <c r="Y272" s="3" t="inlineStr">
        <is>
          <t>寄快遞</t>
        </is>
      </c>
      <c r="Z272" s="3" t="n"/>
      <c r="AA272" s="3" t="inlineStr">
        <is>
          <t>第三方付</t>
        </is>
      </c>
      <c r="AB272">
        <f>IFERROR(VLOOKUP(Q272&amp;"",對照表!$A:$B,1,FALSE),"")</f>
        <v/>
      </c>
      <c r="AC272">
        <f>IFERROR(VLOOKUP(Q272&amp;"",對照表!$A:$B,2,FALSE),"")</f>
        <v/>
      </c>
    </row>
    <row r="273">
      <c r="A273" s="3" t="inlineStr">
        <is>
          <t>SF5117719551675</t>
        </is>
      </c>
      <c r="B273" s="3" t="inlineStr">
        <is>
          <t>Keeta-2026-0703-0007</t>
        </is>
      </c>
      <c r="C273" s="3" t="inlineStr">
        <is>
          <t>已簽收</t>
        </is>
      </c>
      <c r="D273" s="3" t="inlineStr">
        <is>
          <t>2026-07-03 11:32:37</t>
        </is>
      </c>
      <c r="E273" s="3" t="inlineStr">
        <is>
          <t>2026-07-03 17:22</t>
        </is>
      </c>
      <c r="F273" s="3" t="n">
        <v>2.8</v>
      </c>
      <c r="G273" s="3" t="n">
        <v>1</v>
      </c>
      <c r="H273" s="3" t="n"/>
      <c r="I273" s="3" t="n"/>
      <c r="J273" s="3" t="inlineStr">
        <is>
          <t>keeta</t>
        </is>
      </c>
      <c r="K273" s="3" t="inlineStr">
        <is>
          <t>****57224599</t>
        </is>
      </c>
      <c r="L273" s="3" t="inlineStr">
        <is>
          <t>****57224599</t>
        </is>
      </c>
      <c r="M273" s="3" t="inlineStr">
        <is>
          <t>***** 心2808室</t>
        </is>
      </c>
      <c r="N273" s="3" t="inlineStr">
        <is>
          <t>荔枝角</t>
        </is>
      </c>
      <c r="O273" s="3" t="inlineStr">
        <is>
          <t>深水埗区</t>
        </is>
      </c>
      <c r="P273" s="3" t="inlineStr">
        <is>
          <t>香港</t>
        </is>
      </c>
      <c r="Q273" s="3" t="n">
        <v>721542395</v>
      </c>
      <c r="R273" s="3" t="inlineStr">
        <is>
          <t>二三之間（中環店）</t>
        </is>
      </c>
      <c r="S273" s="3" t="inlineStr">
        <is>
          <t>****93882609</t>
        </is>
      </c>
      <c r="T273" s="3" t="inlineStr">
        <is>
          <t>****93882609</t>
        </is>
      </c>
      <c r="U273" s="3" t="inlineStr">
        <is>
          <t>***** EET HK</t>
        </is>
      </c>
      <c r="V273" s="3" t="inlineStr">
        <is>
          <t>香港</t>
        </is>
      </c>
      <c r="W273" s="3" t="inlineStr">
        <is>
          <t>POS機+新店禮包</t>
        </is>
      </c>
      <c r="X273" s="3" t="inlineStr">
        <is>
          <t>BSP</t>
        </is>
      </c>
      <c r="Y273" s="3" t="inlineStr">
        <is>
          <t>寄快遞</t>
        </is>
      </c>
      <c r="Z273" s="3" t="n"/>
      <c r="AA273" s="3" t="inlineStr">
        <is>
          <t>第三方付</t>
        </is>
      </c>
      <c r="AB273">
        <f>IFERROR(VLOOKUP(Q273&amp;"",對照表!$A:$B,1,FALSE),"")</f>
        <v/>
      </c>
      <c r="AC273">
        <f>IFERROR(VLOOKUP(Q273&amp;"",對照表!$A:$B,2,FALSE),"")</f>
        <v/>
      </c>
    </row>
    <row r="274">
      <c r="A274" s="3" t="inlineStr">
        <is>
          <t>SF5117719557893</t>
        </is>
      </c>
      <c r="B274" s="3" t="inlineStr">
        <is>
          <t>Keeta-2026-0703-0004</t>
        </is>
      </c>
      <c r="C274" s="3" t="inlineStr">
        <is>
          <t>已簽收</t>
        </is>
      </c>
      <c r="D274" s="3" t="inlineStr">
        <is>
          <t>2026-07-03 11:33:57</t>
        </is>
      </c>
      <c r="E274" s="3" t="inlineStr">
        <is>
          <t>2026-07-03 17:14</t>
        </is>
      </c>
      <c r="F274" s="3" t="n">
        <v>2.8</v>
      </c>
      <c r="G274" s="3" t="n">
        <v>1</v>
      </c>
      <c r="H274" s="3" t="n"/>
      <c r="I274" s="3" t="n"/>
      <c r="J274" s="3" t="inlineStr">
        <is>
          <t>keeta</t>
        </is>
      </c>
      <c r="K274" s="3" t="inlineStr">
        <is>
          <t>****57224599</t>
        </is>
      </c>
      <c r="L274" s="3" t="inlineStr">
        <is>
          <t>****57224599</t>
        </is>
      </c>
      <c r="M274" s="3" t="inlineStr">
        <is>
          <t>***** 心2808室</t>
        </is>
      </c>
      <c r="N274" s="3" t="inlineStr">
        <is>
          <t>荔枝角</t>
        </is>
      </c>
      <c r="O274" s="3" t="inlineStr">
        <is>
          <t>深水埗区</t>
        </is>
      </c>
      <c r="P274" s="3" t="inlineStr">
        <is>
          <t>香港</t>
        </is>
      </c>
      <c r="Q274" s="3" t="n">
        <v>721523388</v>
      </c>
      <c r="R274" s="3" t="inlineStr">
        <is>
          <t>CLS COFFEE</t>
        </is>
      </c>
      <c r="S274" s="3" t="inlineStr">
        <is>
          <t>****66426414</t>
        </is>
      </c>
      <c r="T274" s="3" t="inlineStr">
        <is>
          <t>****66426414</t>
        </is>
      </c>
      <c r="U274" s="3" t="inlineStr">
        <is>
          <t>***** HA WAN</t>
        </is>
      </c>
      <c r="V274" s="3" t="inlineStr">
        <is>
          <t>香港</t>
        </is>
      </c>
      <c r="W274" s="3" t="inlineStr">
        <is>
          <t>POS機+新店禮包</t>
        </is>
      </c>
      <c r="X274" s="3" t="inlineStr">
        <is>
          <t>BSP</t>
        </is>
      </c>
      <c r="Y274" s="3" t="inlineStr">
        <is>
          <t>寄快遞</t>
        </is>
      </c>
      <c r="Z274" s="3" t="n"/>
      <c r="AA274" s="3" t="inlineStr">
        <is>
          <t>第三方付</t>
        </is>
      </c>
      <c r="AB274">
        <f>IFERROR(VLOOKUP(Q274&amp;"",對照表!$A:$B,1,FALSE),"")</f>
        <v/>
      </c>
      <c r="AC274">
        <f>IFERROR(VLOOKUP(Q274&amp;"",對照表!$A:$B,2,FALSE),"")</f>
        <v/>
      </c>
    </row>
    <row r="275">
      <c r="A275" s="3" t="inlineStr">
        <is>
          <t>SF5116616188090</t>
        </is>
      </c>
      <c r="B275" s="3" t="n">
        <v>58424825741330</v>
      </c>
      <c r="C275" s="3" t="inlineStr">
        <is>
          <t>已簽收</t>
        </is>
      </c>
      <c r="D275" s="3" t="inlineStr">
        <is>
          <t>2026-07-03 15:11:24</t>
        </is>
      </c>
      <c r="E275" s="3" t="inlineStr">
        <is>
          <t>2026-07-04 13:07</t>
        </is>
      </c>
      <c r="F275" s="3" t="n">
        <v>20.06</v>
      </c>
      <c r="G275" s="3" t="n">
        <v>2</v>
      </c>
      <c r="H275" s="3" t="n"/>
      <c r="I275" s="3" t="inlineStr"/>
      <c r="J275" s="3" t="inlineStr">
        <is>
          <t>Keeta</t>
        </is>
      </c>
      <c r="K275" s="3" t="inlineStr">
        <is>
          <t>****9568</t>
        </is>
      </c>
      <c r="L275" s="3" t="n"/>
      <c r="M275" s="3" t="inlineStr">
        <is>
          <t>***** 物流中心5樓</t>
        </is>
      </c>
      <c r="N275" s="3" t="inlineStr">
        <is>
          <t>北区</t>
        </is>
      </c>
      <c r="O275" s="3" t="inlineStr">
        <is>
          <t>香港</t>
        </is>
      </c>
      <c r="P275" s="3" t="inlineStr">
        <is>
          <t>香港特别行政区</t>
        </is>
      </c>
      <c r="Q275" s="3" t="n">
        <v>721522387</v>
      </c>
      <c r="R275" s="3" t="inlineStr">
        <is>
          <t>左鄰右里小食招牌手抓餅撈麵炸物腸粉</t>
        </is>
      </c>
      <c r="S275" s="3" t="inlineStr">
        <is>
          <t>****54021143</t>
        </is>
      </c>
      <c r="T275" s="3" t="inlineStr">
        <is>
          <t>****54021143</t>
        </is>
      </c>
      <c r="U275" s="3" t="inlineStr">
        <is>
          <t>***** 地下8B地鋪</t>
        </is>
      </c>
      <c r="V275" s="3" t="inlineStr">
        <is>
          <t>香港</t>
        </is>
      </c>
      <c r="W275" s="3" t="inlineStr">
        <is>
          <t>塑料袋【大】/ 扎出, 纸袋【通版】/ 箱出, 塑料袋【小】/ 扎出</t>
        </is>
      </c>
      <c r="X275" s="3" t="inlineStr">
        <is>
          <t>ESS-SFTS-OTMS</t>
        </is>
      </c>
      <c r="Y275" s="3" t="n"/>
      <c r="Z275" s="3" t="inlineStr"/>
      <c r="AA275" s="3" t="inlineStr">
        <is>
          <t>寄付月結</t>
        </is>
      </c>
      <c r="AB275">
        <f>IFERROR(VLOOKUP(Q275&amp;"",對照表!$A:$B,1,FALSE),"")</f>
        <v/>
      </c>
      <c r="AC275">
        <f>IFERROR(VLOOKUP(Q275&amp;"",對照表!$A:$B,2,FALSE),"")</f>
        <v/>
      </c>
    </row>
    <row r="276">
      <c r="A276" s="3" t="inlineStr">
        <is>
          <t>SF5116616187757</t>
        </is>
      </c>
      <c r="B276" s="3" t="n">
        <v>58424825708581</v>
      </c>
      <c r="C276" s="3" t="inlineStr">
        <is>
          <t>已簽收</t>
        </is>
      </c>
      <c r="D276" s="3" t="inlineStr">
        <is>
          <t>2026-07-03 10:28:46</t>
        </is>
      </c>
      <c r="E276" s="3" t="inlineStr">
        <is>
          <t>2026-07-04 10:57</t>
        </is>
      </c>
      <c r="F276" s="3" t="n">
        <v>0.67</v>
      </c>
      <c r="G276" s="3" t="n">
        <v>1</v>
      </c>
      <c r="H276" s="3" t="n"/>
      <c r="I276" s="3" t="inlineStr"/>
      <c r="J276" s="3" t="inlineStr">
        <is>
          <t>Keeta</t>
        </is>
      </c>
      <c r="K276" s="3" t="inlineStr">
        <is>
          <t>****9568</t>
        </is>
      </c>
      <c r="L276" s="3" t="n"/>
      <c r="M276" s="3" t="inlineStr">
        <is>
          <t>***** 物流中心5樓</t>
        </is>
      </c>
      <c r="N276" s="3" t="inlineStr">
        <is>
          <t>北区</t>
        </is>
      </c>
      <c r="O276" s="3" t="inlineStr">
        <is>
          <t>香港</t>
        </is>
      </c>
      <c r="P276" s="3" t="inlineStr">
        <is>
          <t>香港特别行政区</t>
        </is>
      </c>
      <c r="Q276" s="3" t="n">
        <v>484574</v>
      </c>
      <c r="R276" s="3" t="inlineStr">
        <is>
          <t>厚興瑜記手撕雞(隆亨邨街市)</t>
        </is>
      </c>
      <c r="S276" s="3" t="inlineStr">
        <is>
          <t>****93348319</t>
        </is>
      </c>
      <c r="T276" s="3" t="inlineStr">
        <is>
          <t>****93348319</t>
        </is>
      </c>
      <c r="U276" s="3" t="inlineStr">
        <is>
          <t>***** 街市75號舖</t>
        </is>
      </c>
      <c r="V276" s="3" t="inlineStr">
        <is>
          <t>香港</t>
        </is>
      </c>
      <c r="W276" s="3" t="inlineStr">
        <is>
          <t>塑料袋【小】/ 扎出</t>
        </is>
      </c>
      <c r="X276" s="3" t="inlineStr">
        <is>
          <t>ESS-SFTS-OTMS</t>
        </is>
      </c>
      <c r="Y276" s="3" t="n"/>
      <c r="Z276" s="3" t="inlineStr"/>
      <c r="AA276" s="3" t="inlineStr">
        <is>
          <t>寄付月結</t>
        </is>
      </c>
      <c r="AB276">
        <f>IFERROR(VLOOKUP(Q276&amp;"",對照表!$A:$B,1,FALSE),"")</f>
        <v/>
      </c>
      <c r="AC276">
        <f>IFERROR(VLOOKUP(Q276&amp;"",對照表!$A:$B,2,FALSE),"")</f>
        <v/>
      </c>
    </row>
    <row r="277">
      <c r="A277" s="3" t="inlineStr">
        <is>
          <t>SF5116616187775</t>
        </is>
      </c>
      <c r="B277" s="3" t="n">
        <v>58424825708584</v>
      </c>
      <c r="C277" s="3" t="inlineStr">
        <is>
          <t>已簽收</t>
        </is>
      </c>
      <c r="D277" s="3" t="inlineStr">
        <is>
          <t>2026-07-03 10:23:53</t>
        </is>
      </c>
      <c r="E277" s="3" t="inlineStr">
        <is>
          <t>2026-07-04 15:24</t>
        </is>
      </c>
      <c r="F277" s="3" t="n">
        <v>1</v>
      </c>
      <c r="G277" s="3" t="n">
        <v>1</v>
      </c>
      <c r="H277" s="3" t="n"/>
      <c r="I277" s="3" t="inlineStr"/>
      <c r="J277" s="3" t="inlineStr">
        <is>
          <t>Keeta</t>
        </is>
      </c>
      <c r="K277" s="3" t="inlineStr">
        <is>
          <t>****9568</t>
        </is>
      </c>
      <c r="L277" s="3" t="n"/>
      <c r="M277" s="3" t="inlineStr">
        <is>
          <t>***** 物流中心5樓</t>
        </is>
      </c>
      <c r="N277" s="3" t="inlineStr">
        <is>
          <t>北区</t>
        </is>
      </c>
      <c r="O277" s="3" t="inlineStr">
        <is>
          <t>香港</t>
        </is>
      </c>
      <c r="P277" s="3" t="inlineStr">
        <is>
          <t>香港特别行政区</t>
        </is>
      </c>
      <c r="Q277" s="3" t="n">
        <v>484840</v>
      </c>
      <c r="R277" s="3" t="inlineStr">
        <is>
          <t>聚興樓(瀝源邨)粵式秘製手撕雞</t>
        </is>
      </c>
      <c r="S277" s="3" t="inlineStr">
        <is>
          <t>****24948998</t>
        </is>
      </c>
      <c r="T277" s="3" t="inlineStr">
        <is>
          <t>****24948998</t>
        </is>
      </c>
      <c r="U277" s="3" t="inlineStr">
        <is>
          <t>***** 下ST2號舖</t>
        </is>
      </c>
      <c r="V277" s="3" t="inlineStr">
        <is>
          <t>香港</t>
        </is>
      </c>
      <c r="W277" s="3" t="inlineStr">
        <is>
          <t>塑料袋【大】/ 扎出</t>
        </is>
      </c>
      <c r="X277" s="3" t="inlineStr">
        <is>
          <t>ESS-SFTS-OTMS</t>
        </is>
      </c>
      <c r="Y277" s="3" t="n"/>
      <c r="Z277" s="3" t="inlineStr"/>
      <c r="AA277" s="3" t="inlineStr">
        <is>
          <t>寄付月結</t>
        </is>
      </c>
      <c r="AB277">
        <f>IFERROR(VLOOKUP(Q277&amp;"",對照表!$A:$B,1,FALSE),"")</f>
        <v/>
      </c>
      <c r="AC277">
        <f>IFERROR(VLOOKUP(Q277&amp;"",對照表!$A:$B,2,FALSE),"")</f>
        <v/>
      </c>
    </row>
    <row r="278">
      <c r="A278" s="3" t="inlineStr">
        <is>
          <t>SF5116616187702</t>
        </is>
      </c>
      <c r="B278" s="3" t="n">
        <v>58424825708570</v>
      </c>
      <c r="C278" s="3" t="inlineStr">
        <is>
          <t>已簽收</t>
        </is>
      </c>
      <c r="D278" s="3" t="inlineStr">
        <is>
          <t>2026-07-03 10:47:39</t>
        </is>
      </c>
      <c r="E278" s="3" t="inlineStr">
        <is>
          <t>2026-07-04 13:46</t>
        </is>
      </c>
      <c r="F278" s="3" t="n">
        <v>3.67</v>
      </c>
      <c r="G278" s="3" t="n">
        <v>1</v>
      </c>
      <c r="H278" s="3" t="n"/>
      <c r="I278" s="3" t="inlineStr"/>
      <c r="J278" s="3" t="inlineStr">
        <is>
          <t>Keeta</t>
        </is>
      </c>
      <c r="K278" s="3" t="inlineStr">
        <is>
          <t>****9568</t>
        </is>
      </c>
      <c r="L278" s="3" t="n"/>
      <c r="M278" s="3" t="inlineStr">
        <is>
          <t>***** 物流中心5樓</t>
        </is>
      </c>
      <c r="N278" s="3" t="inlineStr">
        <is>
          <t>北区</t>
        </is>
      </c>
      <c r="O278" s="3" t="inlineStr">
        <is>
          <t>香港</t>
        </is>
      </c>
      <c r="P278" s="3" t="inlineStr">
        <is>
          <t>香港特别行政区</t>
        </is>
      </c>
      <c r="Q278" s="3" t="n">
        <v>479969</v>
      </c>
      <c r="R278" s="3" t="inlineStr">
        <is>
          <t>泰珠海南雞專門店優惠高達85折</t>
        </is>
      </c>
      <c r="S278" s="3" t="inlineStr">
        <is>
          <t>****69093971</t>
        </is>
      </c>
      <c r="T278" s="3" t="inlineStr">
        <is>
          <t>****69093971</t>
        </is>
      </c>
      <c r="U278" s="3" t="inlineStr">
        <is>
          <t>***** 明大廈2號舖</t>
        </is>
      </c>
      <c r="V278" s="3" t="inlineStr">
        <is>
          <t>香港</t>
        </is>
      </c>
      <c r="W278" s="3" t="inlineStr">
        <is>
          <t>塑料袋【大】/ 扎出</t>
        </is>
      </c>
      <c r="X278" s="3" t="inlineStr">
        <is>
          <t>ESS-SFTS-OTMS</t>
        </is>
      </c>
      <c r="Y278" s="3" t="n"/>
      <c r="Z278" s="3" t="inlineStr"/>
      <c r="AA278" s="3" t="inlineStr">
        <is>
          <t>寄付月結</t>
        </is>
      </c>
      <c r="AB278">
        <f>IFERROR(VLOOKUP(Q278&amp;"",對照表!$A:$B,1,FALSE),"")</f>
        <v/>
      </c>
      <c r="AC278">
        <f>IFERROR(VLOOKUP(Q278&amp;"",對照表!$A:$B,2,FALSE),"")</f>
        <v/>
      </c>
    </row>
    <row r="279">
      <c r="A279" s="3" t="inlineStr">
        <is>
          <t>SF5116616187720</t>
        </is>
      </c>
      <c r="B279" s="3" t="n">
        <v>58424825708575</v>
      </c>
      <c r="C279" s="3" t="inlineStr">
        <is>
          <t>已簽收</t>
        </is>
      </c>
      <c r="D279" s="3" t="inlineStr">
        <is>
          <t>2026-07-03 13:44:52</t>
        </is>
      </c>
      <c r="E279" s="3" t="inlineStr">
        <is>
          <t>2026-07-04 12:32</t>
        </is>
      </c>
      <c r="F279" s="3" t="n">
        <v>23.2</v>
      </c>
      <c r="G279" s="3" t="n">
        <v>2</v>
      </c>
      <c r="H279" s="3" t="n"/>
      <c r="I279" s="3" t="inlineStr"/>
      <c r="J279" s="3" t="inlineStr">
        <is>
          <t>Keeta</t>
        </is>
      </c>
      <c r="K279" s="3" t="inlineStr">
        <is>
          <t>****9568</t>
        </is>
      </c>
      <c r="L279" s="3" t="n"/>
      <c r="M279" s="3" t="inlineStr">
        <is>
          <t>***** 物流中心5樓</t>
        </is>
      </c>
      <c r="N279" s="3" t="inlineStr">
        <is>
          <t>北区</t>
        </is>
      </c>
      <c r="O279" s="3" t="inlineStr">
        <is>
          <t>香港</t>
        </is>
      </c>
      <c r="P279" s="3" t="inlineStr">
        <is>
          <t>香港特别行政区</t>
        </is>
      </c>
      <c r="Q279" s="3" t="n">
        <v>604897</v>
      </c>
      <c r="R279" s="3" t="inlineStr">
        <is>
          <t>ZiggysbyTheDiner</t>
        </is>
      </c>
      <c r="S279" s="3" t="inlineStr">
        <is>
          <t>****35857455</t>
        </is>
      </c>
      <c r="T279" s="3" t="inlineStr">
        <is>
          <t>****35857455</t>
        </is>
      </c>
      <c r="U279" s="3" t="inlineStr">
        <is>
          <t>***** 街28號地下</t>
        </is>
      </c>
      <c r="V279" s="3" t="inlineStr">
        <is>
          <t>香港</t>
        </is>
      </c>
      <c r="W279" s="3" t="inlineStr">
        <is>
          <t>无纺布【规格四大号】/ 箱出</t>
        </is>
      </c>
      <c r="X279" s="3" t="inlineStr">
        <is>
          <t>ESS-SFTS-OTMS</t>
        </is>
      </c>
      <c r="Y279" s="3" t="n"/>
      <c r="Z279" s="3" t="inlineStr"/>
      <c r="AA279" s="3" t="inlineStr">
        <is>
          <t>寄付月結</t>
        </is>
      </c>
      <c r="AB279">
        <f>IFERROR(VLOOKUP(Q279&amp;"",對照表!$A:$B,1,FALSE),"")</f>
        <v/>
      </c>
      <c r="AC279">
        <f>IFERROR(VLOOKUP(Q279&amp;"",對照表!$A:$B,2,FALSE),"")</f>
        <v/>
      </c>
    </row>
    <row r="280">
      <c r="A280" s="3" t="inlineStr">
        <is>
          <t>SF5116616187827</t>
        </is>
      </c>
      <c r="B280" s="3" t="n">
        <v>58424825708594</v>
      </c>
      <c r="C280" s="3" t="inlineStr">
        <is>
          <t>已簽收</t>
        </is>
      </c>
      <c r="D280" s="3" t="inlineStr">
        <is>
          <t>2026-07-03 11:10:30</t>
        </is>
      </c>
      <c r="E280" s="3" t="inlineStr">
        <is>
          <t>2026-07-04 11:25</t>
        </is>
      </c>
      <c r="F280" s="3" t="n">
        <v>45</v>
      </c>
      <c r="G280" s="3" t="n">
        <v>3</v>
      </c>
      <c r="H280" s="3" t="n"/>
      <c r="I280" s="3" t="inlineStr"/>
      <c r="J280" s="3" t="inlineStr">
        <is>
          <t>Keeta</t>
        </is>
      </c>
      <c r="K280" s="3" t="inlineStr">
        <is>
          <t>****9568</t>
        </is>
      </c>
      <c r="L280" s="3" t="n"/>
      <c r="M280" s="3" t="inlineStr">
        <is>
          <t>***** 物流中心5樓</t>
        </is>
      </c>
      <c r="N280" s="3" t="inlineStr">
        <is>
          <t>北区</t>
        </is>
      </c>
      <c r="O280" s="3" t="inlineStr">
        <is>
          <t>香港</t>
        </is>
      </c>
      <c r="P280" s="3" t="inlineStr">
        <is>
          <t>香港特别行政区</t>
        </is>
      </c>
      <c r="Q280" s="3" t="n">
        <v>458876</v>
      </c>
      <c r="R280" s="3" t="inlineStr">
        <is>
          <t>十二味(香港仔)</t>
        </is>
      </c>
      <c r="S280" s="3" t="inlineStr">
        <is>
          <t>****62760901</t>
        </is>
      </c>
      <c r="T280" s="3" t="inlineStr">
        <is>
          <t>****62760901</t>
        </is>
      </c>
      <c r="U280" s="3" t="inlineStr">
        <is>
          <t>***** 期地下7號舖</t>
        </is>
      </c>
      <c r="V280" s="3" t="inlineStr">
        <is>
          <t>香港</t>
        </is>
      </c>
      <c r="W280" s="3" t="inlineStr">
        <is>
          <t>纸袋【通版】/ 箱出</t>
        </is>
      </c>
      <c r="X280" s="3" t="inlineStr">
        <is>
          <t>ESS-SFTS-OTMS</t>
        </is>
      </c>
      <c r="Y280" s="3" t="n"/>
      <c r="Z280" s="3" t="inlineStr"/>
      <c r="AA280" s="3" t="inlineStr">
        <is>
          <t>寄付月結</t>
        </is>
      </c>
      <c r="AB280">
        <f>IFERROR(VLOOKUP(Q280&amp;"",對照表!$A:$B,1,FALSE),"")</f>
        <v/>
      </c>
      <c r="AC280">
        <f>IFERROR(VLOOKUP(Q280&amp;"",對照表!$A:$B,2,FALSE),"")</f>
        <v/>
      </c>
    </row>
    <row r="281">
      <c r="A281" s="3" t="inlineStr">
        <is>
          <t>SF5116616187979</t>
        </is>
      </c>
      <c r="B281" s="3" t="n">
        <v>58424825708626</v>
      </c>
      <c r="C281" s="3" t="inlineStr">
        <is>
          <t>已簽收</t>
        </is>
      </c>
      <c r="D281" s="3" t="inlineStr">
        <is>
          <t>2026-07-03 13:48:58</t>
        </is>
      </c>
      <c r="E281" s="3" t="inlineStr">
        <is>
          <t>2026-07-04 09:36</t>
        </is>
      </c>
      <c r="F281" s="3" t="n">
        <v>34.8</v>
      </c>
      <c r="G281" s="3" t="n">
        <v>3</v>
      </c>
      <c r="H281" s="3" t="n"/>
      <c r="I281" s="3" t="inlineStr"/>
      <c r="J281" s="3" t="inlineStr">
        <is>
          <t>Keeta</t>
        </is>
      </c>
      <c r="K281" s="3" t="inlineStr">
        <is>
          <t>****9568</t>
        </is>
      </c>
      <c r="L281" s="3" t="n"/>
      <c r="M281" s="3" t="inlineStr">
        <is>
          <t>***** 物流中心5樓</t>
        </is>
      </c>
      <c r="N281" s="3" t="inlineStr">
        <is>
          <t>北区</t>
        </is>
      </c>
      <c r="O281" s="3" t="inlineStr">
        <is>
          <t>香港</t>
        </is>
      </c>
      <c r="P281" s="3" t="inlineStr">
        <is>
          <t>香港特别行政区</t>
        </is>
      </c>
      <c r="Q281" s="3" t="n">
        <v>721517357</v>
      </c>
      <c r="R281" s="3" t="inlineStr">
        <is>
          <t>大同粉麵廠</t>
        </is>
      </c>
      <c r="S281" s="3" t="inlineStr">
        <is>
          <t>****65096026</t>
        </is>
      </c>
      <c r="T281" s="3" t="inlineStr">
        <is>
          <t>****65096026</t>
        </is>
      </c>
      <c r="U281" s="3" t="inlineStr">
        <is>
          <t>***** 街57號地下</t>
        </is>
      </c>
      <c r="V281" s="3" t="inlineStr">
        <is>
          <t>香港</t>
        </is>
      </c>
      <c r="W281" s="3" t="inlineStr">
        <is>
          <t>无纺布【规格四大号】/ 箱出</t>
        </is>
      </c>
      <c r="X281" s="3" t="inlineStr">
        <is>
          <t>ESS-SFTS-OTMS</t>
        </is>
      </c>
      <c r="Y281" s="3" t="n"/>
      <c r="Z281" s="3" t="inlineStr"/>
      <c r="AA281" s="3" t="inlineStr">
        <is>
          <t>寄付月結</t>
        </is>
      </c>
      <c r="AB281">
        <f>IFERROR(VLOOKUP(Q281&amp;"",對照表!$A:$B,1,FALSE),"")</f>
        <v/>
      </c>
      <c r="AC281">
        <f>IFERROR(VLOOKUP(Q281&amp;"",對照表!$A:$B,2,FALSE),"")</f>
        <v/>
      </c>
    </row>
    <row r="282">
      <c r="A282" s="3" t="inlineStr">
        <is>
          <t>SF5116616188072</t>
        </is>
      </c>
      <c r="B282" s="3" t="n">
        <v>58424825741327</v>
      </c>
      <c r="C282" s="3" t="inlineStr">
        <is>
          <t>已簽收</t>
        </is>
      </c>
      <c r="D282" s="3" t="inlineStr">
        <is>
          <t>2026-07-03 10:22:53</t>
        </is>
      </c>
      <c r="E282" s="3" t="inlineStr">
        <is>
          <t>2026-07-06 11:31</t>
        </is>
      </c>
      <c r="F282" s="3" t="n">
        <v>2.3</v>
      </c>
      <c r="G282" s="3" t="n">
        <v>1</v>
      </c>
      <c r="H282" s="3" t="n"/>
      <c r="I282" s="3" t="inlineStr"/>
      <c r="J282" s="3" t="inlineStr">
        <is>
          <t>Keeta</t>
        </is>
      </c>
      <c r="K282" s="3" t="inlineStr">
        <is>
          <t>****9568</t>
        </is>
      </c>
      <c r="L282" s="3" t="n"/>
      <c r="M282" s="3" t="inlineStr">
        <is>
          <t>***** 物流中心5樓</t>
        </is>
      </c>
      <c r="N282" s="3" t="inlineStr">
        <is>
          <t>北区</t>
        </is>
      </c>
      <c r="O282" s="3" t="inlineStr">
        <is>
          <t>香港</t>
        </is>
      </c>
      <c r="P282" s="3" t="inlineStr">
        <is>
          <t>香港特别行政区</t>
        </is>
      </c>
      <c r="Q282" s="3" t="n">
        <v>600433</v>
      </c>
      <c r="R282" s="3" t="inlineStr">
        <is>
          <t>葵線軒招牌雲南小窩米線熱辣辣暖笠笠</t>
        </is>
      </c>
      <c r="S282" s="3" t="inlineStr">
        <is>
          <t>****23336138</t>
        </is>
      </c>
      <c r="T282" s="3" t="inlineStr">
        <is>
          <t>****23336138</t>
        </is>
      </c>
      <c r="U282" s="3" t="inlineStr">
        <is>
          <t>***** 地下1A號舖</t>
        </is>
      </c>
      <c r="V282" s="3" t="inlineStr">
        <is>
          <t>香港</t>
        </is>
      </c>
      <c r="W282" s="3" t="inlineStr">
        <is>
          <t>塑料袋【大】/ 扎出</t>
        </is>
      </c>
      <c r="X282" s="3" t="inlineStr">
        <is>
          <t>ESS-SFTS-OTMS</t>
        </is>
      </c>
      <c r="Y282" s="3" t="n"/>
      <c r="Z282" s="3" t="inlineStr"/>
      <c r="AA282" s="3" t="inlineStr">
        <is>
          <t>寄付月結</t>
        </is>
      </c>
      <c r="AB282">
        <f>IFERROR(VLOOKUP(Q282&amp;"",對照表!$A:$B,1,FALSE),"")</f>
        <v/>
      </c>
      <c r="AC282">
        <f>IFERROR(VLOOKUP(Q282&amp;"",對照表!$A:$B,2,FALSE),"")</f>
        <v/>
      </c>
    </row>
    <row r="283">
      <c r="A283" s="3" t="inlineStr">
        <is>
          <t>SF5116616187809</t>
        </is>
      </c>
      <c r="B283" s="3" t="n">
        <v>58424825708591</v>
      </c>
      <c r="C283" s="3" t="inlineStr">
        <is>
          <t>已簽收</t>
        </is>
      </c>
      <c r="D283" s="3" t="inlineStr">
        <is>
          <t>2026-07-03 13:48:59</t>
        </is>
      </c>
      <c r="E283" s="3" t="inlineStr">
        <is>
          <t>2026-07-04 11:04</t>
        </is>
      </c>
      <c r="F283" s="3" t="n">
        <v>34.8</v>
      </c>
      <c r="G283" s="3" t="n">
        <v>3</v>
      </c>
      <c r="H283" s="3" t="n"/>
      <c r="I283" s="3" t="inlineStr"/>
      <c r="J283" s="3" t="inlineStr">
        <is>
          <t>Keeta</t>
        </is>
      </c>
      <c r="K283" s="3" t="inlineStr">
        <is>
          <t>****9568</t>
        </is>
      </c>
      <c r="L283" s="3" t="n"/>
      <c r="M283" s="3" t="inlineStr">
        <is>
          <t>***** 物流中心5樓</t>
        </is>
      </c>
      <c r="N283" s="3" t="inlineStr">
        <is>
          <t>北区</t>
        </is>
      </c>
      <c r="O283" s="3" t="inlineStr">
        <is>
          <t>香港</t>
        </is>
      </c>
      <c r="P283" s="3" t="inlineStr">
        <is>
          <t>香港特别行政区</t>
        </is>
      </c>
      <c r="Q283" s="3" t="n">
        <v>468377</v>
      </c>
      <c r="R283" s="3" t="inlineStr">
        <is>
          <t>SoupDay湯譜(中環店)全新餐牌上線啦</t>
        </is>
      </c>
      <c r="S283" s="3" t="inlineStr">
        <is>
          <t>****63864688</t>
        </is>
      </c>
      <c r="T283" s="3" t="inlineStr">
        <is>
          <t>****63864688</t>
        </is>
      </c>
      <c r="U283" s="3" t="inlineStr">
        <is>
          <t>***** 大廈地下A鋪</t>
        </is>
      </c>
      <c r="V283" s="3" t="inlineStr">
        <is>
          <t>香港</t>
        </is>
      </c>
      <c r="W283" s="3" t="inlineStr">
        <is>
          <t>无纺布【规格四大号】/ 箱出</t>
        </is>
      </c>
      <c r="X283" s="3" t="inlineStr">
        <is>
          <t>ESS-SFTS-OTMS</t>
        </is>
      </c>
      <c r="Y283" s="3" t="n"/>
      <c r="Z283" s="3" t="inlineStr"/>
      <c r="AA283" s="3" t="inlineStr">
        <is>
          <t>寄付月結</t>
        </is>
      </c>
      <c r="AB283">
        <f>IFERROR(VLOOKUP(Q283&amp;"",對照表!$A:$B,1,FALSE),"")</f>
        <v/>
      </c>
      <c r="AC283">
        <f>IFERROR(VLOOKUP(Q283&amp;"",對照表!$A:$B,2,FALSE),"")</f>
        <v/>
      </c>
    </row>
    <row r="284">
      <c r="A284" s="3" t="inlineStr">
        <is>
          <t>SF5116616188045</t>
        </is>
      </c>
      <c r="B284" s="3" t="n">
        <v>58424825741318</v>
      </c>
      <c r="C284" s="3" t="inlineStr">
        <is>
          <t>已簽收</t>
        </is>
      </c>
      <c r="D284" s="3" t="inlineStr">
        <is>
          <t>2026-07-03 13:48:57</t>
        </is>
      </c>
      <c r="E284" s="3" t="inlineStr">
        <is>
          <t>2026-07-04 11:50</t>
        </is>
      </c>
      <c r="F284" s="3" t="n">
        <v>34.8</v>
      </c>
      <c r="G284" s="3" t="n">
        <v>3</v>
      </c>
      <c r="H284" s="3" t="n"/>
      <c r="I284" s="3" t="inlineStr"/>
      <c r="J284" s="3" t="inlineStr">
        <is>
          <t>Keeta</t>
        </is>
      </c>
      <c r="K284" s="3" t="inlineStr">
        <is>
          <t>****9568</t>
        </is>
      </c>
      <c r="L284" s="3" t="n"/>
      <c r="M284" s="3" t="inlineStr">
        <is>
          <t>***** 物流中心5樓</t>
        </is>
      </c>
      <c r="N284" s="3" t="inlineStr">
        <is>
          <t>北区</t>
        </is>
      </c>
      <c r="O284" s="3" t="inlineStr">
        <is>
          <t>香港</t>
        </is>
      </c>
      <c r="P284" s="3" t="inlineStr">
        <is>
          <t>香港特别行政区</t>
        </is>
      </c>
      <c r="Q284" s="3" t="n">
        <v>757299</v>
      </c>
      <c r="R284" s="3" t="inlineStr">
        <is>
          <t>LeJardinSoho法國隱世酒館慢燉油封鴨腿白酒青口意粉</t>
        </is>
      </c>
      <c r="S284" s="3" t="inlineStr">
        <is>
          <t>****61306039</t>
        </is>
      </c>
      <c r="T284" s="3" t="inlineStr">
        <is>
          <t>****61306039</t>
        </is>
      </c>
      <c r="U284" s="3" t="inlineStr">
        <is>
          <t>***** 號地下E號舖</t>
        </is>
      </c>
      <c r="V284" s="3" t="inlineStr">
        <is>
          <t>香港</t>
        </is>
      </c>
      <c r="W284" s="3" t="inlineStr">
        <is>
          <t>无纺布【规格四大号】/ 箱出</t>
        </is>
      </c>
      <c r="X284" s="3" t="inlineStr">
        <is>
          <t>ESS-SFTS-OTMS</t>
        </is>
      </c>
      <c r="Y284" s="3" t="n"/>
      <c r="Z284" s="3" t="inlineStr"/>
      <c r="AA284" s="3" t="inlineStr">
        <is>
          <t>寄付月結</t>
        </is>
      </c>
      <c r="AB284">
        <f>IFERROR(VLOOKUP(Q284&amp;"",對照表!$A:$B,1,FALSE),"")</f>
        <v/>
      </c>
      <c r="AC284">
        <f>IFERROR(VLOOKUP(Q284&amp;"",對照表!$A:$B,2,FALSE),"")</f>
        <v/>
      </c>
    </row>
    <row r="285">
      <c r="A285" s="3" t="inlineStr">
        <is>
          <t>SF5116616187863</t>
        </is>
      </c>
      <c r="B285" s="3" t="n">
        <v>58424825708602</v>
      </c>
      <c r="C285" s="3" t="inlineStr">
        <is>
          <t>已簽收</t>
        </is>
      </c>
      <c r="D285" s="3" t="inlineStr">
        <is>
          <t>2026-07-03 11:45:44</t>
        </is>
      </c>
      <c r="E285" s="3" t="inlineStr">
        <is>
          <t>2026-07-04 12:04</t>
        </is>
      </c>
      <c r="F285" s="3" t="n">
        <v>11.9</v>
      </c>
      <c r="G285" s="3" t="n">
        <v>1</v>
      </c>
      <c r="H285" s="3" t="n"/>
      <c r="I285" s="3" t="inlineStr"/>
      <c r="J285" s="3" t="inlineStr">
        <is>
          <t>Keeta</t>
        </is>
      </c>
      <c r="K285" s="3" t="inlineStr">
        <is>
          <t>****9568</t>
        </is>
      </c>
      <c r="L285" s="3" t="n"/>
      <c r="M285" s="3" t="inlineStr">
        <is>
          <t>***** 物流中心5樓</t>
        </is>
      </c>
      <c r="N285" s="3" t="inlineStr">
        <is>
          <t>北区</t>
        </is>
      </c>
      <c r="O285" s="3" t="inlineStr">
        <is>
          <t>香港</t>
        </is>
      </c>
      <c r="P285" s="3" t="inlineStr">
        <is>
          <t>香港特别行政区</t>
        </is>
      </c>
      <c r="Q285" s="3" t="n">
        <v>721497295</v>
      </c>
      <c r="R285" s="3" t="inlineStr">
        <is>
          <t>NBURGER（觀塘三布目）</t>
        </is>
      </c>
      <c r="S285" s="3" t="inlineStr">
        <is>
          <t>****23282538</t>
        </is>
      </c>
      <c r="T285" s="3" t="inlineStr">
        <is>
          <t>****23282538</t>
        </is>
      </c>
      <c r="U285" s="3" t="inlineStr">
        <is>
          <t>***** 樓915號舖</t>
        </is>
      </c>
      <c r="V285" s="3" t="inlineStr">
        <is>
          <t>香港</t>
        </is>
      </c>
      <c r="W285" s="3" t="inlineStr">
        <is>
          <t>无纺布【Preminum黑】/ 箱出</t>
        </is>
      </c>
      <c r="X285" s="3" t="inlineStr">
        <is>
          <t>ESS-SFTS-OTMS</t>
        </is>
      </c>
      <c r="Y285" s="3" t="n"/>
      <c r="Z285" s="3" t="inlineStr"/>
      <c r="AA285" s="3" t="inlineStr">
        <is>
          <t>寄付月結</t>
        </is>
      </c>
      <c r="AB285">
        <f>IFERROR(VLOOKUP(Q285&amp;"",對照表!$A:$B,1,FALSE),"")</f>
        <v/>
      </c>
      <c r="AC285">
        <f>IFERROR(VLOOKUP(Q285&amp;"",對照表!$A:$B,2,FALSE),"")</f>
        <v/>
      </c>
    </row>
    <row r="286">
      <c r="A286" s="3" t="inlineStr">
        <is>
          <t>SF5116616187784</t>
        </is>
      </c>
      <c r="B286" s="3" t="n">
        <v>58424825708587</v>
      </c>
      <c r="C286" s="3" t="inlineStr">
        <is>
          <t>已簽收</t>
        </is>
      </c>
      <c r="D286" s="3" t="inlineStr">
        <is>
          <t>2026-07-03 13:52:05</t>
        </is>
      </c>
      <c r="E286" s="3" t="inlineStr">
        <is>
          <t>2026-07-04 13:10</t>
        </is>
      </c>
      <c r="F286" s="3" t="n">
        <v>15</v>
      </c>
      <c r="G286" s="3" t="n">
        <v>1</v>
      </c>
      <c r="H286" s="3" t="n"/>
      <c r="I286" s="3" t="inlineStr"/>
      <c r="J286" s="3" t="inlineStr">
        <is>
          <t>Keeta</t>
        </is>
      </c>
      <c r="K286" s="3" t="inlineStr">
        <is>
          <t>****9568</t>
        </is>
      </c>
      <c r="L286" s="3" t="n"/>
      <c r="M286" s="3" t="inlineStr">
        <is>
          <t>***** 物流中心5樓</t>
        </is>
      </c>
      <c r="N286" s="3" t="inlineStr">
        <is>
          <t>北区</t>
        </is>
      </c>
      <c r="O286" s="3" t="inlineStr">
        <is>
          <t>香港</t>
        </is>
      </c>
      <c r="P286" s="3" t="inlineStr">
        <is>
          <t>香港特别行政区</t>
        </is>
      </c>
      <c r="Q286" s="3" t="n">
        <v>448760</v>
      </c>
      <c r="R286" s="3" t="inlineStr">
        <is>
          <t>新康泰美食馬鞍山人氣三餸飯自取領券有9折快d來試下</t>
        </is>
      </c>
      <c r="S286" s="3" t="inlineStr">
        <is>
          <t>****97859009</t>
        </is>
      </c>
      <c r="T286" s="3" t="inlineStr">
        <is>
          <t>****97859009</t>
        </is>
      </c>
      <c r="U286" s="3" t="inlineStr">
        <is>
          <t>***** 市S70號舖</t>
        </is>
      </c>
      <c r="V286" s="3" t="inlineStr">
        <is>
          <t>香港</t>
        </is>
      </c>
      <c r="W286" s="3" t="inlineStr">
        <is>
          <t>纸袋【通版】/ 箱出</t>
        </is>
      </c>
      <c r="X286" s="3" t="inlineStr">
        <is>
          <t>ESS-SFTS-OTMS</t>
        </is>
      </c>
      <c r="Y286" s="3" t="n"/>
      <c r="Z286" s="3" t="inlineStr"/>
      <c r="AA286" s="3" t="inlineStr">
        <is>
          <t>寄付月結</t>
        </is>
      </c>
      <c r="AB286">
        <f>IFERROR(VLOOKUP(Q286&amp;"",對照表!$A:$B,1,FALSE),"")</f>
        <v/>
      </c>
      <c r="AC286">
        <f>IFERROR(VLOOKUP(Q286&amp;"",對照表!$A:$B,2,FALSE),"")</f>
        <v/>
      </c>
    </row>
    <row r="287">
      <c r="A287" s="3" t="inlineStr">
        <is>
          <t>SF5116616188063</t>
        </is>
      </c>
      <c r="B287" s="3" t="n">
        <v>58424825741325</v>
      </c>
      <c r="C287" s="3" t="inlineStr">
        <is>
          <t>已簽收</t>
        </is>
      </c>
      <c r="D287" s="3" t="inlineStr">
        <is>
          <t>2026-07-03 10:24:04</t>
        </is>
      </c>
      <c r="E287" s="3" t="inlineStr">
        <is>
          <t>2026-07-04 14:33</t>
        </is>
      </c>
      <c r="F287" s="3" t="n">
        <v>1</v>
      </c>
      <c r="G287" s="3" t="n">
        <v>1</v>
      </c>
      <c r="H287" s="3" t="n"/>
      <c r="I287" s="3" t="inlineStr"/>
      <c r="J287" s="3" t="inlineStr">
        <is>
          <t>Keeta</t>
        </is>
      </c>
      <c r="K287" s="3" t="inlineStr">
        <is>
          <t>****9568</t>
        </is>
      </c>
      <c r="L287" s="3" t="n"/>
      <c r="M287" s="3" t="inlineStr">
        <is>
          <t>***** 物流中心5樓</t>
        </is>
      </c>
      <c r="N287" s="3" t="inlineStr">
        <is>
          <t>北区</t>
        </is>
      </c>
      <c r="O287" s="3" t="inlineStr">
        <is>
          <t>香港</t>
        </is>
      </c>
      <c r="P287" s="3" t="inlineStr">
        <is>
          <t>香港特别行政区</t>
        </is>
      </c>
      <c r="Q287" s="3" t="n">
        <v>484843</v>
      </c>
      <c r="R287" s="3" t="inlineStr">
        <is>
          <t>聚興樓(葵興)粵式秘製手撕雞</t>
        </is>
      </c>
      <c r="S287" s="3" t="inlineStr">
        <is>
          <t>****39969901</t>
        </is>
      </c>
      <c r="T287" s="3" t="inlineStr">
        <is>
          <t>****39969901</t>
        </is>
      </c>
      <c r="U287" s="3" t="inlineStr">
        <is>
          <t>***** 樓121號舖</t>
        </is>
      </c>
      <c r="V287" s="3" t="inlineStr">
        <is>
          <t>香港</t>
        </is>
      </c>
      <c r="W287" s="3" t="inlineStr">
        <is>
          <t>塑料袋【大】/ 扎出</t>
        </is>
      </c>
      <c r="X287" s="3" t="inlineStr">
        <is>
          <t>ESS-SFTS-OTMS</t>
        </is>
      </c>
      <c r="Y287" s="3" t="n"/>
      <c r="Z287" s="3" t="inlineStr"/>
      <c r="AA287" s="3" t="inlineStr">
        <is>
          <t>寄付月結</t>
        </is>
      </c>
      <c r="AB287">
        <f>IFERROR(VLOOKUP(Q287&amp;"",對照表!$A:$B,1,FALSE),"")</f>
        <v/>
      </c>
      <c r="AC287">
        <f>IFERROR(VLOOKUP(Q287&amp;"",對照表!$A:$B,2,FALSE),"")</f>
        <v/>
      </c>
    </row>
    <row r="288">
      <c r="A288" s="3" t="inlineStr">
        <is>
          <t>SF5116616187924</t>
        </is>
      </c>
      <c r="B288" s="3" t="n">
        <v>58424825708617</v>
      </c>
      <c r="C288" s="3" t="inlineStr">
        <is>
          <t>已簽收</t>
        </is>
      </c>
      <c r="D288" s="3" t="inlineStr">
        <is>
          <t>2026-07-03 15:32:18</t>
        </is>
      </c>
      <c r="E288" s="3" t="inlineStr">
        <is>
          <t>2026-07-04 13:19</t>
        </is>
      </c>
      <c r="F288" s="3" t="n">
        <v>21.7</v>
      </c>
      <c r="G288" s="3" t="n">
        <v>2</v>
      </c>
      <c r="H288" s="3" t="n"/>
      <c r="I288" s="3" t="inlineStr"/>
      <c r="J288" s="3" t="inlineStr">
        <is>
          <t>Keeta</t>
        </is>
      </c>
      <c r="K288" s="3" t="inlineStr">
        <is>
          <t>****9568</t>
        </is>
      </c>
      <c r="L288" s="3" t="n"/>
      <c r="M288" s="3" t="inlineStr">
        <is>
          <t>***** 物流中心5樓</t>
        </is>
      </c>
      <c r="N288" s="3" t="inlineStr">
        <is>
          <t>北区</t>
        </is>
      </c>
      <c r="O288" s="3" t="inlineStr">
        <is>
          <t>香港</t>
        </is>
      </c>
      <c r="P288" s="3" t="inlineStr">
        <is>
          <t>香港特别行政区</t>
        </is>
      </c>
      <c r="Q288" s="3" t="n">
        <v>613660</v>
      </c>
      <c r="R288" s="3" t="inlineStr">
        <is>
          <t>SunlightHouse(高CP值西班牙菜多國菜)</t>
        </is>
      </c>
      <c r="S288" s="3" t="inlineStr">
        <is>
          <t>****93023906</t>
        </is>
      </c>
      <c r="T288" s="3" t="inlineStr">
        <is>
          <t>****93023906</t>
        </is>
      </c>
      <c r="U288" s="3" t="inlineStr">
        <is>
          <t>***** 106號地下</t>
        </is>
      </c>
      <c r="V288" s="3" t="inlineStr">
        <is>
          <t>香港</t>
        </is>
      </c>
      <c r="W288" s="3" t="inlineStr">
        <is>
          <t>无纺布【规格三中号】/ 箱出, 无纺布【规格四大号】/ 箱出</t>
        </is>
      </c>
      <c r="X288" s="3" t="inlineStr">
        <is>
          <t>ESS-SFTS-OTMS</t>
        </is>
      </c>
      <c r="Y288" s="3" t="n"/>
      <c r="Z288" s="3" t="inlineStr"/>
      <c r="AA288" s="3" t="inlineStr">
        <is>
          <t>寄付月結</t>
        </is>
      </c>
      <c r="AB288">
        <f>IFERROR(VLOOKUP(Q288&amp;"",對照表!$A:$B,1,FALSE),"")</f>
        <v/>
      </c>
      <c r="AC288">
        <f>IFERROR(VLOOKUP(Q288&amp;"",對照表!$A:$B,2,FALSE),"")</f>
        <v/>
      </c>
    </row>
    <row r="289">
      <c r="A289" s="3" t="inlineStr">
        <is>
          <t>SF5116616188106</t>
        </is>
      </c>
      <c r="B289" s="3" t="n">
        <v>58424825741332</v>
      </c>
      <c r="C289" s="3" t="inlineStr">
        <is>
          <t>已簽收</t>
        </is>
      </c>
      <c r="D289" s="3" t="inlineStr">
        <is>
          <t>2026-07-03 14:39:55</t>
        </is>
      </c>
      <c r="E289" s="3" t="inlineStr">
        <is>
          <t>2026-07-04 11:59</t>
        </is>
      </c>
      <c r="F289" s="3" t="n">
        <v>22.57</v>
      </c>
      <c r="G289" s="3" t="n">
        <v>3</v>
      </c>
      <c r="H289" s="3" t="n"/>
      <c r="I289" s="3" t="inlineStr"/>
      <c r="J289" s="3" t="inlineStr">
        <is>
          <t>Keeta</t>
        </is>
      </c>
      <c r="K289" s="3" t="inlineStr">
        <is>
          <t>****9568</t>
        </is>
      </c>
      <c r="L289" s="3" t="n"/>
      <c r="M289" s="3" t="inlineStr">
        <is>
          <t>***** 物流中心5樓</t>
        </is>
      </c>
      <c r="N289" s="3" t="inlineStr">
        <is>
          <t>北区</t>
        </is>
      </c>
      <c r="O289" s="3" t="inlineStr">
        <is>
          <t>香港</t>
        </is>
      </c>
      <c r="P289" s="3" t="inlineStr">
        <is>
          <t>香港特别行政区</t>
        </is>
      </c>
      <c r="Q289" s="3" t="n">
        <v>721537292</v>
      </c>
      <c r="R289" s="3" t="inlineStr">
        <is>
          <t>瑪威海南雞健康美味招牌無骨海南雞</t>
        </is>
      </c>
      <c r="S289" s="3" t="inlineStr">
        <is>
          <t>****62683139</t>
        </is>
      </c>
      <c r="T289" s="3" t="inlineStr">
        <is>
          <t>****62683139</t>
        </is>
      </c>
      <c r="U289" s="3" t="inlineStr">
        <is>
          <t>***** 地下02號舖</t>
        </is>
      </c>
      <c r="V289" s="3" t="inlineStr">
        <is>
          <t>香港</t>
        </is>
      </c>
      <c r="W289" s="3" t="inlineStr">
        <is>
          <t>塑料袋【小】/ 扎出, 塑料袋【大】/ 扎出, 无纺布【规格四大号】/ 箱出, 无纺布【规格三中号】/ 箱出</t>
        </is>
      </c>
      <c r="X289" s="3" t="inlineStr">
        <is>
          <t>ESS-SFTS-OTMS</t>
        </is>
      </c>
      <c r="Y289" s="3" t="n"/>
      <c r="Z289" s="3" t="inlineStr"/>
      <c r="AA289" s="3" t="inlineStr">
        <is>
          <t>寄付月結</t>
        </is>
      </c>
      <c r="AB289">
        <f>IFERROR(VLOOKUP(Q289&amp;"",對照表!$A:$B,1,FALSE),"")</f>
        <v/>
      </c>
      <c r="AC289">
        <f>IFERROR(VLOOKUP(Q289&amp;"",對照表!$A:$B,2,FALSE),"")</f>
        <v/>
      </c>
    </row>
    <row r="290">
      <c r="A290" s="3" t="inlineStr">
        <is>
          <t>SF5116616188142</t>
        </is>
      </c>
      <c r="B290" s="3" t="n">
        <v>58424825741340</v>
      </c>
      <c r="C290" s="3" t="inlineStr">
        <is>
          <t>派送中</t>
        </is>
      </c>
      <c r="D290" s="3" t="inlineStr">
        <is>
          <t>2026-07-03 11:10:29</t>
        </is>
      </c>
      <c r="E290" s="3" t="n"/>
      <c r="F290" s="3" t="n">
        <v>45</v>
      </c>
      <c r="G290" s="3" t="n">
        <v>3</v>
      </c>
      <c r="H290" s="3" t="n"/>
      <c r="I290" s="3" t="inlineStr"/>
      <c r="J290" s="3" t="inlineStr">
        <is>
          <t>Keeta</t>
        </is>
      </c>
      <c r="K290" s="3" t="inlineStr">
        <is>
          <t>****9568</t>
        </is>
      </c>
      <c r="L290" s="3" t="n"/>
      <c r="M290" s="3" t="inlineStr">
        <is>
          <t>***** 物流中心5樓</t>
        </is>
      </c>
      <c r="N290" s="3" t="inlineStr">
        <is>
          <t>北区</t>
        </is>
      </c>
      <c r="O290" s="3" t="inlineStr">
        <is>
          <t>香港</t>
        </is>
      </c>
      <c r="P290" s="3" t="inlineStr">
        <is>
          <t>香港特别行政区</t>
        </is>
      </c>
      <c r="Q290" s="3" t="n">
        <v>481910</v>
      </c>
      <c r="R290" s="3" t="inlineStr">
        <is>
          <t>十二味(旺角)</t>
        </is>
      </c>
      <c r="S290" s="3" t="inlineStr">
        <is>
          <t>****57401605</t>
        </is>
      </c>
      <c r="T290" s="3" t="inlineStr">
        <is>
          <t>****57401605</t>
        </is>
      </c>
      <c r="U290" s="3" t="inlineStr">
        <is>
          <t>***** das 2樓</t>
        </is>
      </c>
      <c r="V290" s="3" t="inlineStr">
        <is>
          <t>香港</t>
        </is>
      </c>
      <c r="W290" s="3" t="inlineStr">
        <is>
          <t>纸袋【通版】/ 箱出</t>
        </is>
      </c>
      <c r="X290" s="3" t="inlineStr">
        <is>
          <t>ESS-SFTS-OTMS</t>
        </is>
      </c>
      <c r="Y290" s="3" t="n"/>
      <c r="Z290" s="3" t="inlineStr"/>
      <c r="AA290" s="3" t="inlineStr">
        <is>
          <t>寄付月結</t>
        </is>
      </c>
      <c r="AB290">
        <f>IFERROR(VLOOKUP(Q290&amp;"",對照表!$A:$B,1,FALSE),"")</f>
        <v/>
      </c>
      <c r="AC290">
        <f>IFERROR(VLOOKUP(Q290&amp;"",對照表!$A:$B,2,FALSE),"")</f>
        <v/>
      </c>
    </row>
    <row r="291">
      <c r="A291" s="3" t="inlineStr">
        <is>
          <t>SF5116616188081</t>
        </is>
      </c>
      <c r="B291" s="3" t="n">
        <v>58424825741328</v>
      </c>
      <c r="C291" s="3" t="inlineStr">
        <is>
          <t>已簽收</t>
        </is>
      </c>
      <c r="D291" s="3" t="inlineStr">
        <is>
          <t>2026-07-03 14:23:21</t>
        </is>
      </c>
      <c r="E291" s="3" t="inlineStr">
        <is>
          <t>2026-07-04 12:03</t>
        </is>
      </c>
      <c r="F291" s="3" t="n">
        <v>5.7</v>
      </c>
      <c r="G291" s="3" t="n">
        <v>1</v>
      </c>
      <c r="H291" s="3" t="n"/>
      <c r="I291" s="3" t="inlineStr"/>
      <c r="J291" s="3" t="inlineStr">
        <is>
          <t>Keeta</t>
        </is>
      </c>
      <c r="K291" s="3" t="inlineStr">
        <is>
          <t>****9568</t>
        </is>
      </c>
      <c r="L291" s="3" t="n"/>
      <c r="M291" s="3" t="inlineStr">
        <is>
          <t>***** 物流中心5樓</t>
        </is>
      </c>
      <c r="N291" s="3" t="inlineStr">
        <is>
          <t>北区</t>
        </is>
      </c>
      <c r="O291" s="3" t="inlineStr">
        <is>
          <t>香港</t>
        </is>
      </c>
      <c r="P291" s="3" t="inlineStr">
        <is>
          <t>香港特别行政区</t>
        </is>
      </c>
      <c r="Q291" s="3" t="n">
        <v>721421310</v>
      </c>
      <c r="R291" s="3" t="inlineStr">
        <is>
          <t>壹品燒鵝鑊氣兩餸飯銷量燒鵝飯招牌生炒骨（送飯首選）</t>
        </is>
      </c>
      <c r="S291" s="3" t="inlineStr">
        <is>
          <t>****95333668</t>
        </is>
      </c>
      <c r="T291" s="3" t="inlineStr">
        <is>
          <t>****95333668</t>
        </is>
      </c>
      <c r="U291" s="3" t="inlineStr">
        <is>
          <t>*****  地下D號鋪</t>
        </is>
      </c>
      <c r="V291" s="3" t="inlineStr">
        <is>
          <t>香港</t>
        </is>
      </c>
      <c r="W291" s="3" t="inlineStr">
        <is>
          <t>塑料袋【大】/ 扎出</t>
        </is>
      </c>
      <c r="X291" s="3" t="inlineStr">
        <is>
          <t>ESS-SFTS-OTMS</t>
        </is>
      </c>
      <c r="Y291" s="3" t="n"/>
      <c r="Z291" s="3" t="inlineStr"/>
      <c r="AA291" s="3" t="inlineStr">
        <is>
          <t>寄付月結</t>
        </is>
      </c>
      <c r="AB291">
        <f>IFERROR(VLOOKUP(Q291&amp;"",對照表!$A:$B,1,FALSE),"")</f>
        <v/>
      </c>
      <c r="AC291">
        <f>IFERROR(VLOOKUP(Q291&amp;"",對照表!$A:$B,2,FALSE),"")</f>
        <v/>
      </c>
    </row>
    <row r="292">
      <c r="A292" s="3" t="inlineStr">
        <is>
          <t>SF5116616188027</t>
        </is>
      </c>
      <c r="B292" s="3" t="n">
        <v>58424825741316</v>
      </c>
      <c r="C292" s="3" t="inlineStr">
        <is>
          <t>已簽收</t>
        </is>
      </c>
      <c r="D292" s="3" t="inlineStr">
        <is>
          <t>2026-07-03 11:51:41</t>
        </is>
      </c>
      <c r="E292" s="3" t="inlineStr">
        <is>
          <t>2026-07-04 09:52</t>
        </is>
      </c>
      <c r="F292" s="3" t="n">
        <v>20.2</v>
      </c>
      <c r="G292" s="3" t="n">
        <v>2</v>
      </c>
      <c r="H292" s="3" t="n"/>
      <c r="I292" s="3" t="inlineStr"/>
      <c r="J292" s="3" t="inlineStr">
        <is>
          <t>Keeta</t>
        </is>
      </c>
      <c r="K292" s="3" t="inlineStr">
        <is>
          <t>****9568</t>
        </is>
      </c>
      <c r="L292" s="3" t="n"/>
      <c r="M292" s="3" t="inlineStr">
        <is>
          <t>***** 物流中心5樓</t>
        </is>
      </c>
      <c r="N292" s="3" t="inlineStr">
        <is>
          <t>北区</t>
        </is>
      </c>
      <c r="O292" s="3" t="inlineStr">
        <is>
          <t>香港</t>
        </is>
      </c>
      <c r="P292" s="3" t="inlineStr">
        <is>
          <t>香港特别行政区</t>
        </is>
      </c>
      <c r="Q292" s="3" t="n">
        <v>721535330</v>
      </c>
      <c r="R292" s="3" t="inlineStr">
        <is>
          <t>窯雞王（長沙灣店）</t>
        </is>
      </c>
      <c r="S292" s="3" t="inlineStr">
        <is>
          <t>****55248134</t>
        </is>
      </c>
      <c r="T292" s="3" t="inlineStr">
        <is>
          <t>****55248134</t>
        </is>
      </c>
      <c r="U292" s="3" t="inlineStr">
        <is>
          <t>***** 地下10C舖</t>
        </is>
      </c>
      <c r="V292" s="3" t="inlineStr">
        <is>
          <t>香港</t>
        </is>
      </c>
      <c r="W292" s="3" t="inlineStr">
        <is>
          <t>无纺布【规格三中号】/ 箱出</t>
        </is>
      </c>
      <c r="X292" s="3" t="inlineStr">
        <is>
          <t>ESS-SFTS-OTMS</t>
        </is>
      </c>
      <c r="Y292" s="3" t="n"/>
      <c r="Z292" s="3" t="inlineStr"/>
      <c r="AA292" s="3" t="inlineStr">
        <is>
          <t>寄付月結</t>
        </is>
      </c>
      <c r="AB292">
        <f>IFERROR(VLOOKUP(Q292&amp;"",對照表!$A:$B,1,FALSE),"")</f>
        <v/>
      </c>
      <c r="AC292">
        <f>IFERROR(VLOOKUP(Q292&amp;"",對照表!$A:$B,2,FALSE),"")</f>
        <v/>
      </c>
    </row>
    <row r="293">
      <c r="A293" s="3" t="inlineStr">
        <is>
          <t>SF5116516599816</t>
        </is>
      </c>
      <c r="B293" s="3" t="n">
        <v>58424825708554</v>
      </c>
      <c r="C293" s="3" t="inlineStr">
        <is>
          <t>已簽收</t>
        </is>
      </c>
      <c r="D293" s="3" t="inlineStr">
        <is>
          <t>2026-07-03 10:48:01</t>
        </is>
      </c>
      <c r="E293" s="3" t="inlineStr">
        <is>
          <t>2026-07-04 15:25</t>
        </is>
      </c>
      <c r="F293" s="3" t="n">
        <v>3.67</v>
      </c>
      <c r="G293" s="3" t="n">
        <v>1</v>
      </c>
      <c r="H293" s="3" t="n"/>
      <c r="I293" s="3" t="inlineStr"/>
      <c r="J293" s="3" t="inlineStr">
        <is>
          <t>Keeta</t>
        </is>
      </c>
      <c r="K293" s="3" t="inlineStr">
        <is>
          <t>****9568</t>
        </is>
      </c>
      <c r="L293" s="3" t="n"/>
      <c r="M293" s="3" t="inlineStr">
        <is>
          <t>***** 物流中心5樓</t>
        </is>
      </c>
      <c r="N293" s="3" t="inlineStr">
        <is>
          <t>北区</t>
        </is>
      </c>
      <c r="O293" s="3" t="inlineStr">
        <is>
          <t>香港</t>
        </is>
      </c>
      <c r="P293" s="3" t="inlineStr">
        <is>
          <t>香港特别行政区</t>
        </is>
      </c>
      <c r="Q293" s="3" t="n">
        <v>721434359</v>
      </c>
      <c r="R293" s="3" t="inlineStr">
        <is>
          <t>玥庄by越姑娘（杜小姐）越式料理（正宗越南料理）</t>
        </is>
      </c>
      <c r="S293" s="3" t="inlineStr">
        <is>
          <t>****62536657</t>
        </is>
      </c>
      <c r="T293" s="3" t="inlineStr">
        <is>
          <t>****62536657</t>
        </is>
      </c>
      <c r="U293" s="3" t="inlineStr">
        <is>
          <t>***** 地下17號舖</t>
        </is>
      </c>
      <c r="V293" s="3" t="inlineStr">
        <is>
          <t>香港</t>
        </is>
      </c>
      <c r="W293" s="3" t="inlineStr">
        <is>
          <t>塑料袋【大】/ 扎出</t>
        </is>
      </c>
      <c r="X293" s="3" t="inlineStr">
        <is>
          <t>ESS-SFTS-OTMS</t>
        </is>
      </c>
      <c r="Y293" s="3" t="n"/>
      <c r="Z293" s="3" t="inlineStr"/>
      <c r="AA293" s="3" t="inlineStr">
        <is>
          <t>寄付月結</t>
        </is>
      </c>
      <c r="AB293">
        <f>IFERROR(VLOOKUP(Q293&amp;"",對照表!$A:$B,1,FALSE),"")</f>
        <v/>
      </c>
      <c r="AC293">
        <f>IFERROR(VLOOKUP(Q293&amp;"",對照表!$A:$B,2,FALSE),"")</f>
        <v/>
      </c>
    </row>
    <row r="294">
      <c r="A294" s="3" t="inlineStr">
        <is>
          <t>SF5116616188036</t>
        </is>
      </c>
      <c r="B294" s="3" t="n">
        <v>58424825741321</v>
      </c>
      <c r="C294" s="3" t="inlineStr">
        <is>
          <t>已簽收</t>
        </is>
      </c>
      <c r="D294" s="3" t="inlineStr">
        <is>
          <t>2026-07-03 10:28:47</t>
        </is>
      </c>
      <c r="E294" s="3" t="inlineStr">
        <is>
          <t>2026-07-04 10:41</t>
        </is>
      </c>
      <c r="F294" s="3" t="n">
        <v>0.67</v>
      </c>
      <c r="G294" s="3" t="n">
        <v>1</v>
      </c>
      <c r="H294" s="3" t="n"/>
      <c r="I294" s="3" t="inlineStr"/>
      <c r="J294" s="3" t="inlineStr">
        <is>
          <t>Keeta</t>
        </is>
      </c>
      <c r="K294" s="3" t="inlineStr">
        <is>
          <t>****9568</t>
        </is>
      </c>
      <c r="L294" s="3" t="n"/>
      <c r="M294" s="3" t="inlineStr">
        <is>
          <t>***** 物流中心5樓</t>
        </is>
      </c>
      <c r="N294" s="3" t="inlineStr">
        <is>
          <t>北区</t>
        </is>
      </c>
      <c r="O294" s="3" t="inlineStr">
        <is>
          <t>香港</t>
        </is>
      </c>
      <c r="P294" s="3" t="inlineStr">
        <is>
          <t>香港特别行政区</t>
        </is>
      </c>
      <c r="Q294" s="3" t="n">
        <v>481345</v>
      </c>
      <c r="R294" s="3" t="inlineStr">
        <is>
          <t>一品雲南米線華明商場</t>
        </is>
      </c>
      <c r="S294" s="3" t="inlineStr">
        <is>
          <t>****26169464</t>
        </is>
      </c>
      <c r="T294" s="3" t="inlineStr">
        <is>
          <t>****26169464</t>
        </is>
      </c>
      <c r="U294" s="3" t="inlineStr">
        <is>
          <t>***** 下G09號舖</t>
        </is>
      </c>
      <c r="V294" s="3" t="inlineStr">
        <is>
          <t>香港</t>
        </is>
      </c>
      <c r="W294" s="3" t="inlineStr">
        <is>
          <t>塑料袋【小】/ 扎出</t>
        </is>
      </c>
      <c r="X294" s="3" t="inlineStr">
        <is>
          <t>ESS-SFTS-OTMS</t>
        </is>
      </c>
      <c r="Y294" s="3" t="n"/>
      <c r="Z294" s="3" t="inlineStr"/>
      <c r="AA294" s="3" t="inlineStr">
        <is>
          <t>寄付月結</t>
        </is>
      </c>
      <c r="AB294">
        <f>IFERROR(VLOOKUP(Q294&amp;"",對照表!$A:$B,1,FALSE),"")</f>
        <v/>
      </c>
      <c r="AC294">
        <f>IFERROR(VLOOKUP(Q294&amp;"",對照表!$A:$B,2,FALSE),"")</f>
        <v/>
      </c>
    </row>
    <row r="295">
      <c r="A295" s="3" t="inlineStr">
        <is>
          <t>SF5116616187679</t>
        </is>
      </c>
      <c r="B295" s="3" t="n">
        <v>58424825708565</v>
      </c>
      <c r="C295" s="3" t="inlineStr">
        <is>
          <t>已簽收</t>
        </is>
      </c>
      <c r="D295" s="3" t="inlineStr">
        <is>
          <t>2026-07-03 15:32:17</t>
        </is>
      </c>
      <c r="E295" s="3" t="inlineStr">
        <is>
          <t>2026-07-04 13:22</t>
        </is>
      </c>
      <c r="F295" s="3" t="n">
        <v>21.7</v>
      </c>
      <c r="G295" s="3" t="n">
        <v>2</v>
      </c>
      <c r="H295" s="3" t="n"/>
      <c r="I295" s="3" t="inlineStr"/>
      <c r="J295" s="3" t="inlineStr">
        <is>
          <t>Keeta</t>
        </is>
      </c>
      <c r="K295" s="3" t="inlineStr">
        <is>
          <t>****9568</t>
        </is>
      </c>
      <c r="L295" s="3" t="n"/>
      <c r="M295" s="3" t="inlineStr">
        <is>
          <t>***** 物流中心5樓</t>
        </is>
      </c>
      <c r="N295" s="3" t="inlineStr">
        <is>
          <t>北区</t>
        </is>
      </c>
      <c r="O295" s="3" t="inlineStr">
        <is>
          <t>香港</t>
        </is>
      </c>
      <c r="P295" s="3" t="inlineStr">
        <is>
          <t>香港特别行政区</t>
        </is>
      </c>
      <c r="Q295" s="3" t="n">
        <v>600539</v>
      </c>
      <c r="R295" s="3" t="inlineStr">
        <is>
          <t>古琴雅苑師承年老店北京填鴨傳統淮揚菜尖沙咀</t>
        </is>
      </c>
      <c r="S295" s="3" t="inlineStr">
        <is>
          <t>****61010829</t>
        </is>
      </c>
      <c r="T295" s="3" t="inlineStr">
        <is>
          <t>****61010829</t>
        </is>
      </c>
      <c r="U295" s="3" t="inlineStr">
        <is>
          <t>***** 團中心15樓</t>
        </is>
      </c>
      <c r="V295" s="3" t="inlineStr">
        <is>
          <t>香港</t>
        </is>
      </c>
      <c r="W295" s="3" t="inlineStr">
        <is>
          <t>无纺布【规格四大号】/ 箱出, 无纺布【规格三中号】/ 箱出</t>
        </is>
      </c>
      <c r="X295" s="3" t="inlineStr">
        <is>
          <t>ESS-SFTS-OTMS</t>
        </is>
      </c>
      <c r="Y295" s="3" t="n"/>
      <c r="Z295" s="3" t="inlineStr"/>
      <c r="AA295" s="3" t="inlineStr">
        <is>
          <t>寄付月結</t>
        </is>
      </c>
      <c r="AB295">
        <f>IFERROR(VLOOKUP(Q295&amp;"",對照表!$A:$B,1,FALSE),"")</f>
        <v/>
      </c>
      <c r="AC295">
        <f>IFERROR(VLOOKUP(Q295&amp;"",對照表!$A:$B,2,FALSE),"")</f>
        <v/>
      </c>
    </row>
    <row r="296">
      <c r="A296" s="3" t="inlineStr">
        <is>
          <t>SF5116616187854</t>
        </is>
      </c>
      <c r="B296" s="3" t="n">
        <v>58424825708600</v>
      </c>
      <c r="C296" s="3" t="inlineStr">
        <is>
          <t>已簽收</t>
        </is>
      </c>
      <c r="D296" s="3" t="inlineStr">
        <is>
          <t>2026-07-03 13:52:06</t>
        </is>
      </c>
      <c r="E296" s="3" t="inlineStr">
        <is>
          <t>2026-07-04 09:36</t>
        </is>
      </c>
      <c r="F296" s="3" t="n">
        <v>15</v>
      </c>
      <c r="G296" s="3" t="n">
        <v>1</v>
      </c>
      <c r="H296" s="3" t="n"/>
      <c r="I296" s="3" t="inlineStr"/>
      <c r="J296" s="3" t="inlineStr">
        <is>
          <t>Keeta</t>
        </is>
      </c>
      <c r="K296" s="3" t="inlineStr">
        <is>
          <t>****9568</t>
        </is>
      </c>
      <c r="L296" s="3" t="n"/>
      <c r="M296" s="3" t="inlineStr">
        <is>
          <t>***** 物流中心5樓</t>
        </is>
      </c>
      <c r="N296" s="3" t="inlineStr">
        <is>
          <t>北区</t>
        </is>
      </c>
      <c r="O296" s="3" t="inlineStr">
        <is>
          <t>香港</t>
        </is>
      </c>
      <c r="P296" s="3" t="inlineStr">
        <is>
          <t>香港特别行政区</t>
        </is>
      </c>
      <c r="Q296" s="3" t="n">
        <v>603724</v>
      </c>
      <c r="R296" s="3" t="inlineStr">
        <is>
          <t>魔法焗薯（薯仔控必試）</t>
        </is>
      </c>
      <c r="S296" s="3" t="inlineStr">
        <is>
          <t>****98378503</t>
        </is>
      </c>
      <c r="T296" s="3" t="inlineStr">
        <is>
          <t>****98378503</t>
        </is>
      </c>
      <c r="U296" s="3" t="inlineStr">
        <is>
          <t>***** UENWAN</t>
        </is>
      </c>
      <c r="V296" s="3" t="inlineStr">
        <is>
          <t>香港</t>
        </is>
      </c>
      <c r="W296" s="3" t="inlineStr">
        <is>
          <t>纸袋【通版】/ 箱出</t>
        </is>
      </c>
      <c r="X296" s="3" t="inlineStr">
        <is>
          <t>ESS-SFTS-OTMS</t>
        </is>
      </c>
      <c r="Y296" s="3" t="n"/>
      <c r="Z296" s="3" t="inlineStr"/>
      <c r="AA296" s="3" t="inlineStr">
        <is>
          <t>寄付月結</t>
        </is>
      </c>
      <c r="AB296">
        <f>IFERROR(VLOOKUP(Q296&amp;"",對照表!$A:$B,1,FALSE),"")</f>
        <v/>
      </c>
      <c r="AC296">
        <f>IFERROR(VLOOKUP(Q296&amp;"",對照表!$A:$B,2,FALSE),"")</f>
        <v/>
      </c>
    </row>
    <row r="297">
      <c r="A297" s="3" t="inlineStr">
        <is>
          <t>SF5116616187872</t>
        </is>
      </c>
      <c r="B297" s="3" t="n">
        <v>58424825708605</v>
      </c>
      <c r="C297" s="3" t="inlineStr">
        <is>
          <t>已簽收</t>
        </is>
      </c>
      <c r="D297" s="3" t="inlineStr">
        <is>
          <t>2026-07-03 15:33:04</t>
        </is>
      </c>
      <c r="E297" s="3" t="inlineStr">
        <is>
          <t>2026-07-04 11:30</t>
        </is>
      </c>
      <c r="F297" s="3" t="n">
        <v>33.3</v>
      </c>
      <c r="G297" s="3" t="n">
        <v>3</v>
      </c>
      <c r="H297" s="3" t="n"/>
      <c r="I297" s="3" t="inlineStr"/>
      <c r="J297" s="3" t="inlineStr">
        <is>
          <t>Keeta</t>
        </is>
      </c>
      <c r="K297" s="3" t="inlineStr">
        <is>
          <t>****9568</t>
        </is>
      </c>
      <c r="L297" s="3" t="n"/>
      <c r="M297" s="3" t="inlineStr">
        <is>
          <t>***** 物流中心5樓</t>
        </is>
      </c>
      <c r="N297" s="3" t="inlineStr">
        <is>
          <t>北区</t>
        </is>
      </c>
      <c r="O297" s="3" t="inlineStr">
        <is>
          <t>香港</t>
        </is>
      </c>
      <c r="P297" s="3" t="inlineStr">
        <is>
          <t>香港特别行政区</t>
        </is>
      </c>
      <c r="Q297" s="3" t="n">
        <v>721424348</v>
      </c>
      <c r="R297" s="3" t="inlineStr">
        <is>
          <t>紅日蛋包飯全港人氣蛋包飯之最(黃竹坑)</t>
        </is>
      </c>
      <c r="S297" s="3" t="inlineStr">
        <is>
          <t>****98218902</t>
        </is>
      </c>
      <c r="T297" s="3" t="inlineStr">
        <is>
          <t>****98218902</t>
        </is>
      </c>
      <c r="U297" s="3" t="inlineStr">
        <is>
          <t>***** 室C11部份</t>
        </is>
      </c>
      <c r="V297" s="3" t="inlineStr">
        <is>
          <t>香港</t>
        </is>
      </c>
      <c r="W297" s="3" t="inlineStr">
        <is>
          <t>无纺布【规格三中号】/ 箱出, 无纺布【规格四大号】/ 箱出</t>
        </is>
      </c>
      <c r="X297" s="3" t="inlineStr">
        <is>
          <t>ESS-SFTS-OTMS</t>
        </is>
      </c>
      <c r="Y297" s="3" t="n"/>
      <c r="Z297" s="3" t="inlineStr"/>
      <c r="AA297" s="3" t="inlineStr">
        <is>
          <t>寄付月結</t>
        </is>
      </c>
      <c r="AB297">
        <f>IFERROR(VLOOKUP(Q297&amp;"",對照表!$A:$B,1,FALSE),"")</f>
        <v/>
      </c>
      <c r="AC297">
        <f>IFERROR(VLOOKUP(Q297&amp;"",對照表!$A:$B,2,FALSE),"")</f>
        <v/>
      </c>
    </row>
    <row r="298">
      <c r="A298" s="3" t="inlineStr">
        <is>
          <t>SF5116616187836</t>
        </is>
      </c>
      <c r="B298" s="3" t="n">
        <v>58424825708596</v>
      </c>
      <c r="C298" s="3" t="inlineStr">
        <is>
          <t>已簽收</t>
        </is>
      </c>
      <c r="D298" s="3" t="inlineStr">
        <is>
          <t>2026-07-03 14:23:19</t>
        </is>
      </c>
      <c r="E298" s="3" t="inlineStr">
        <is>
          <t>2026-07-04 09:01</t>
        </is>
      </c>
      <c r="F298" s="3" t="n">
        <v>5.7</v>
      </c>
      <c r="G298" s="3" t="n">
        <v>1</v>
      </c>
      <c r="H298" s="3" t="n"/>
      <c r="I298" s="3" t="inlineStr"/>
      <c r="J298" s="3" t="inlineStr">
        <is>
          <t>Keeta</t>
        </is>
      </c>
      <c r="K298" s="3" t="inlineStr">
        <is>
          <t>****9568</t>
        </is>
      </c>
      <c r="L298" s="3" t="n"/>
      <c r="M298" s="3" t="inlineStr">
        <is>
          <t>***** 物流中心5樓</t>
        </is>
      </c>
      <c r="N298" s="3" t="inlineStr">
        <is>
          <t>北区</t>
        </is>
      </c>
      <c r="O298" s="3" t="inlineStr">
        <is>
          <t>香港</t>
        </is>
      </c>
      <c r="P298" s="3" t="inlineStr">
        <is>
          <t>香港特别行政区</t>
        </is>
      </c>
      <c r="Q298" s="3" t="n">
        <v>721524312</v>
      </c>
      <c r="R298" s="3" t="inlineStr">
        <is>
          <t>壹品燒鵝鑊氣兩餸飯銷量燒鵝飯招牌生炒骨（送飯首選）</t>
        </is>
      </c>
      <c r="S298" s="3" t="inlineStr">
        <is>
          <t>****95333668</t>
        </is>
      </c>
      <c r="T298" s="3" t="inlineStr">
        <is>
          <t>****95333668</t>
        </is>
      </c>
      <c r="U298" s="3" t="inlineStr">
        <is>
          <t>***** 樓地下E號舖</t>
        </is>
      </c>
      <c r="V298" s="3" t="inlineStr">
        <is>
          <t>香港</t>
        </is>
      </c>
      <c r="W298" s="3" t="inlineStr">
        <is>
          <t>塑料袋【大】/ 扎出</t>
        </is>
      </c>
      <c r="X298" s="3" t="inlineStr">
        <is>
          <t>ESS-SFTS-OTMS</t>
        </is>
      </c>
      <c r="Y298" s="3" t="n"/>
      <c r="Z298" s="3" t="inlineStr"/>
      <c r="AA298" s="3" t="inlineStr">
        <is>
          <t>寄付月結</t>
        </is>
      </c>
      <c r="AB298">
        <f>IFERROR(VLOOKUP(Q298&amp;"",對照表!$A:$B,1,FALSE),"")</f>
        <v/>
      </c>
      <c r="AC298">
        <f>IFERROR(VLOOKUP(Q298&amp;"",對照表!$A:$B,2,FALSE),"")</f>
        <v/>
      </c>
    </row>
    <row r="299">
      <c r="A299" s="3" t="inlineStr">
        <is>
          <t>SF5116616188018</t>
        </is>
      </c>
      <c r="B299" s="3" t="n">
        <v>58424825741315</v>
      </c>
      <c r="C299" s="3" t="inlineStr">
        <is>
          <t>已簽收</t>
        </is>
      </c>
      <c r="D299" s="3" t="inlineStr">
        <is>
          <t>2026-07-03 10:24:00</t>
        </is>
      </c>
      <c r="E299" s="3" t="inlineStr">
        <is>
          <t>2026-07-04 14:59</t>
        </is>
      </c>
      <c r="F299" s="3" t="n">
        <v>1</v>
      </c>
      <c r="G299" s="3" t="n">
        <v>1</v>
      </c>
      <c r="H299" s="3" t="n"/>
      <c r="I299" s="3" t="inlineStr"/>
      <c r="J299" s="3" t="inlineStr">
        <is>
          <t>Keeta</t>
        </is>
      </c>
      <c r="K299" s="3" t="inlineStr">
        <is>
          <t>****9568</t>
        </is>
      </c>
      <c r="L299" s="3" t="n"/>
      <c r="M299" s="3" t="inlineStr">
        <is>
          <t>***** 物流中心5樓</t>
        </is>
      </c>
      <c r="N299" s="3" t="inlineStr">
        <is>
          <t>北区</t>
        </is>
      </c>
      <c r="O299" s="3" t="inlineStr">
        <is>
          <t>香港</t>
        </is>
      </c>
      <c r="P299" s="3" t="inlineStr">
        <is>
          <t>香港特别行政区</t>
        </is>
      </c>
      <c r="Q299" s="3" t="n">
        <v>461846</v>
      </c>
      <c r="R299" s="3" t="inlineStr">
        <is>
          <t>聚興樓(花都廣場)台式秘製手撕雞</t>
        </is>
      </c>
      <c r="S299" s="3" t="inlineStr">
        <is>
          <t>****24116998</t>
        </is>
      </c>
      <c r="T299" s="3" t="inlineStr">
        <is>
          <t>****24116998</t>
        </is>
      </c>
      <c r="U299" s="3" t="inlineStr">
        <is>
          <t>***** 場地下8號舖</t>
        </is>
      </c>
      <c r="V299" s="3" t="inlineStr">
        <is>
          <t>香港</t>
        </is>
      </c>
      <c r="W299" s="3" t="inlineStr">
        <is>
          <t>塑料袋【大】/ 扎出</t>
        </is>
      </c>
      <c r="X299" s="3" t="inlineStr">
        <is>
          <t>ESS-SFTS-OTMS</t>
        </is>
      </c>
      <c r="Y299" s="3" t="n"/>
      <c r="Z299" s="3" t="inlineStr"/>
      <c r="AA299" s="3" t="inlineStr">
        <is>
          <t>寄付月結</t>
        </is>
      </c>
      <c r="AB299">
        <f>IFERROR(VLOOKUP(Q299&amp;"",對照表!$A:$B,1,FALSE),"")</f>
        <v/>
      </c>
      <c r="AC299">
        <f>IFERROR(VLOOKUP(Q299&amp;"",對照表!$A:$B,2,FALSE),"")</f>
        <v/>
      </c>
    </row>
    <row r="300">
      <c r="A300" s="3" t="inlineStr">
        <is>
          <t>SF5116616187651</t>
        </is>
      </c>
      <c r="B300" s="3" t="n">
        <v>58424825708561</v>
      </c>
      <c r="C300" s="3" t="inlineStr">
        <is>
          <t>已簽收</t>
        </is>
      </c>
      <c r="D300" s="3" t="inlineStr">
        <is>
          <t>2026-07-03 10:23:57</t>
        </is>
      </c>
      <c r="E300" s="3" t="inlineStr">
        <is>
          <t>2026-07-04 11:19</t>
        </is>
      </c>
      <c r="F300" s="3" t="n">
        <v>1</v>
      </c>
      <c r="G300" s="3" t="n">
        <v>1</v>
      </c>
      <c r="H300" s="3" t="n"/>
      <c r="I300" s="3" t="inlineStr"/>
      <c r="J300" s="3" t="inlineStr">
        <is>
          <t>Keeta</t>
        </is>
      </c>
      <c r="K300" s="3" t="inlineStr">
        <is>
          <t>****9568</t>
        </is>
      </c>
      <c r="L300" s="3" t="n"/>
      <c r="M300" s="3" t="inlineStr">
        <is>
          <t>***** 物流中心5樓</t>
        </is>
      </c>
      <c r="N300" s="3" t="inlineStr">
        <is>
          <t>北区</t>
        </is>
      </c>
      <c r="O300" s="3" t="inlineStr">
        <is>
          <t>香港</t>
        </is>
      </c>
      <c r="P300" s="3" t="inlineStr">
        <is>
          <t>香港特别行政区</t>
        </is>
      </c>
      <c r="Q300" s="3" t="n">
        <v>478054</v>
      </c>
      <c r="R300" s="3" t="inlineStr">
        <is>
          <t>聚興樓(寶達商場)粵式秘製手撕雞</t>
        </is>
      </c>
      <c r="S300" s="3" t="inlineStr">
        <is>
          <t>****22471998</t>
        </is>
      </c>
      <c r="T300" s="3" t="inlineStr">
        <is>
          <t>****22471998</t>
        </is>
      </c>
      <c r="U300" s="3" t="inlineStr">
        <is>
          <t>***** 地下10號舖</t>
        </is>
      </c>
      <c r="V300" s="3" t="inlineStr">
        <is>
          <t>香港</t>
        </is>
      </c>
      <c r="W300" s="3" t="inlineStr">
        <is>
          <t>塑料袋【大】/ 扎出</t>
        </is>
      </c>
      <c r="X300" s="3" t="inlineStr">
        <is>
          <t>ESS-SFTS-OTMS</t>
        </is>
      </c>
      <c r="Y300" s="3" t="n"/>
      <c r="Z300" s="3" t="inlineStr"/>
      <c r="AA300" s="3" t="inlineStr">
        <is>
          <t>寄付月結</t>
        </is>
      </c>
      <c r="AB300">
        <f>IFERROR(VLOOKUP(Q300&amp;"",對照表!$A:$B,1,FALSE),"")</f>
        <v/>
      </c>
      <c r="AC300">
        <f>IFERROR(VLOOKUP(Q300&amp;"",對照表!$A:$B,2,FALSE),"")</f>
        <v/>
      </c>
    </row>
    <row r="301">
      <c r="A301" s="3" t="inlineStr">
        <is>
          <t>SF5116616188160</t>
        </is>
      </c>
      <c r="B301" s="3" t="n">
        <v>58424825741344</v>
      </c>
      <c r="C301" s="3" t="inlineStr">
        <is>
          <t>已簽收</t>
        </is>
      </c>
      <c r="D301" s="3" t="inlineStr">
        <is>
          <t>2026-07-03 10:31:11</t>
        </is>
      </c>
      <c r="E301" s="3" t="inlineStr">
        <is>
          <t>2026-07-04 10:40</t>
        </is>
      </c>
      <c r="F301" s="3" t="n">
        <v>11.6</v>
      </c>
      <c r="G301" s="3" t="n">
        <v>1</v>
      </c>
      <c r="H301" s="3" t="n"/>
      <c r="I301" s="3" t="inlineStr"/>
      <c r="J301" s="3" t="inlineStr">
        <is>
          <t>Keeta</t>
        </is>
      </c>
      <c r="K301" s="3" t="inlineStr">
        <is>
          <t>****9568</t>
        </is>
      </c>
      <c r="L301" s="3" t="n"/>
      <c r="M301" s="3" t="inlineStr">
        <is>
          <t>***** 物流中心5樓</t>
        </is>
      </c>
      <c r="N301" s="3" t="inlineStr">
        <is>
          <t>北区</t>
        </is>
      </c>
      <c r="O301" s="3" t="inlineStr">
        <is>
          <t>香港</t>
        </is>
      </c>
      <c r="P301" s="3" t="inlineStr">
        <is>
          <t>香港特别行政区</t>
        </is>
      </c>
      <c r="Q301" s="3" t="n">
        <v>583098</v>
      </c>
      <c r="R301" s="3" t="inlineStr">
        <is>
          <t>龍川雲南米線（元朗）</t>
        </is>
      </c>
      <c r="S301" s="3" t="inlineStr">
        <is>
          <t>****51382818</t>
        </is>
      </c>
      <c r="T301" s="3" t="inlineStr">
        <is>
          <t>****51382818</t>
        </is>
      </c>
      <c r="U301" s="3" t="inlineStr">
        <is>
          <t>***** 地下14號鋪</t>
        </is>
      </c>
      <c r="V301" s="3" t="inlineStr">
        <is>
          <t>香港</t>
        </is>
      </c>
      <c r="W301" s="3" t="inlineStr">
        <is>
          <t>无纺布【规格四大号】/ 箱出</t>
        </is>
      </c>
      <c r="X301" s="3" t="inlineStr">
        <is>
          <t>ESS-SFTS-OTMS</t>
        </is>
      </c>
      <c r="Y301" s="3" t="n"/>
      <c r="Z301" s="3" t="inlineStr"/>
      <c r="AA301" s="3" t="inlineStr">
        <is>
          <t>寄付月結</t>
        </is>
      </c>
      <c r="AB301">
        <f>IFERROR(VLOOKUP(Q301&amp;"",對照表!$A:$B,1,FALSE),"")</f>
        <v/>
      </c>
      <c r="AC301">
        <f>IFERROR(VLOOKUP(Q301&amp;"",對照表!$A:$B,2,FALSE),"")</f>
        <v/>
      </c>
    </row>
    <row r="302">
      <c r="A302" s="3" t="inlineStr">
        <is>
          <t>SF5116616187951</t>
        </is>
      </c>
      <c r="B302" s="3" t="n">
        <v>58424825708623</v>
      </c>
      <c r="C302" s="3" t="inlineStr">
        <is>
          <t>已簽收</t>
        </is>
      </c>
      <c r="D302" s="3" t="inlineStr">
        <is>
          <t>2026-07-03 11:51:38</t>
        </is>
      </c>
      <c r="E302" s="3" t="inlineStr">
        <is>
          <t>2026-07-04 10:59</t>
        </is>
      </c>
      <c r="F302" s="3" t="n">
        <v>20.2</v>
      </c>
      <c r="G302" s="3" t="n">
        <v>2</v>
      </c>
      <c r="H302" s="3" t="n"/>
      <c r="I302" s="3" t="inlineStr"/>
      <c r="J302" s="3" t="inlineStr">
        <is>
          <t>Keeta</t>
        </is>
      </c>
      <c r="K302" s="3" t="inlineStr">
        <is>
          <t>****9568</t>
        </is>
      </c>
      <c r="L302" s="3" t="n"/>
      <c r="M302" s="3" t="inlineStr">
        <is>
          <t>***** 物流中心5樓</t>
        </is>
      </c>
      <c r="N302" s="3" t="inlineStr">
        <is>
          <t>北区</t>
        </is>
      </c>
      <c r="O302" s="3" t="inlineStr">
        <is>
          <t>香港</t>
        </is>
      </c>
      <c r="P302" s="3" t="inlineStr">
        <is>
          <t>香港特别行政区</t>
        </is>
      </c>
      <c r="Q302" s="3" t="n">
        <v>721487294</v>
      </c>
      <c r="R302" s="3" t="inlineStr">
        <is>
          <t>窯雞王（荃灣店）</t>
        </is>
      </c>
      <c r="S302" s="3" t="inlineStr">
        <is>
          <t>****64927347</t>
        </is>
      </c>
      <c r="T302" s="3" t="inlineStr">
        <is>
          <t>****64927347</t>
        </is>
      </c>
      <c r="U302" s="3" t="inlineStr">
        <is>
          <t>***** 35号A1铺</t>
        </is>
      </c>
      <c r="V302" s="3" t="inlineStr">
        <is>
          <t>香港</t>
        </is>
      </c>
      <c r="W302" s="3" t="inlineStr">
        <is>
          <t>无纺布【规格三中号】/ 箱出</t>
        </is>
      </c>
      <c r="X302" s="3" t="inlineStr">
        <is>
          <t>ESS-SFTS-OTMS</t>
        </is>
      </c>
      <c r="Y302" s="3" t="n"/>
      <c r="Z302" s="3" t="inlineStr"/>
      <c r="AA302" s="3" t="inlineStr">
        <is>
          <t>寄付月結</t>
        </is>
      </c>
      <c r="AB302">
        <f>IFERROR(VLOOKUP(Q302&amp;"",對照表!$A:$B,1,FALSE),"")</f>
        <v/>
      </c>
      <c r="AC302">
        <f>IFERROR(VLOOKUP(Q302&amp;"",對照表!$A:$B,2,FALSE),"")</f>
        <v/>
      </c>
    </row>
    <row r="303">
      <c r="A303" s="3" t="inlineStr">
        <is>
          <t>SF5116616187739</t>
        </is>
      </c>
      <c r="B303" s="3" t="n">
        <v>58424825708577</v>
      </c>
      <c r="C303" s="3" t="inlineStr">
        <is>
          <t>已簽收</t>
        </is>
      </c>
      <c r="D303" s="3" t="inlineStr">
        <is>
          <t>2026-07-03 13:44:52</t>
        </is>
      </c>
      <c r="E303" s="3" t="inlineStr">
        <is>
          <t>2026-07-06 17:16</t>
        </is>
      </c>
      <c r="F303" s="3" t="n">
        <v>23.2</v>
      </c>
      <c r="G303" s="3" t="n">
        <v>2</v>
      </c>
      <c r="H303" s="3" t="n"/>
      <c r="I303" s="3" t="inlineStr"/>
      <c r="J303" s="3" t="inlineStr">
        <is>
          <t>Keeta</t>
        </is>
      </c>
      <c r="K303" s="3" t="inlineStr">
        <is>
          <t>****9568</t>
        </is>
      </c>
      <c r="L303" s="3" t="n"/>
      <c r="M303" s="3" t="inlineStr">
        <is>
          <t>***** 物流中心5樓</t>
        </is>
      </c>
      <c r="N303" s="3" t="inlineStr">
        <is>
          <t>北区</t>
        </is>
      </c>
      <c r="O303" s="3" t="inlineStr">
        <is>
          <t>香港</t>
        </is>
      </c>
      <c r="P303" s="3" t="inlineStr">
        <is>
          <t>香港特别行政区</t>
        </is>
      </c>
      <c r="Q303" s="3" t="n">
        <v>468087</v>
      </c>
      <c r="R303" s="3" t="inlineStr">
        <is>
          <t>OookieCookie(LeeGarden)黃金周香港必買手信</t>
        </is>
      </c>
      <c r="S303" s="3" t="inlineStr">
        <is>
          <t>****4557</t>
        </is>
      </c>
      <c r="T303" s="3" t="inlineStr">
        <is>
          <t>****4557</t>
        </is>
      </c>
      <c r="U303" s="3" t="inlineStr">
        <is>
          <t>***** 下G04号铺</t>
        </is>
      </c>
      <c r="V303" s="3" t="inlineStr">
        <is>
          <t>香港</t>
        </is>
      </c>
      <c r="W303" s="3" t="inlineStr">
        <is>
          <t>无纺布【规格四大号】/ 箱出</t>
        </is>
      </c>
      <c r="X303" s="3" t="inlineStr">
        <is>
          <t>ESS-SFTS-OTMS</t>
        </is>
      </c>
      <c r="Y303" s="3" t="n"/>
      <c r="Z303" s="3" t="inlineStr"/>
      <c r="AA303" s="3" t="inlineStr">
        <is>
          <t>寄付月結</t>
        </is>
      </c>
      <c r="AB303">
        <f>IFERROR(VLOOKUP(Q303&amp;"",對照表!$A:$B,1,FALSE),"")</f>
        <v/>
      </c>
      <c r="AC303">
        <f>IFERROR(VLOOKUP(Q303&amp;"",對照表!$A:$B,2,FALSE),"")</f>
        <v/>
      </c>
    </row>
    <row r="304">
      <c r="A304" s="3" t="inlineStr">
        <is>
          <t>SF5116616187890</t>
        </is>
      </c>
      <c r="B304" s="3" t="n">
        <v>58424825708608</v>
      </c>
      <c r="C304" s="3" t="inlineStr">
        <is>
          <t>已簽收</t>
        </is>
      </c>
      <c r="D304" s="3" t="inlineStr">
        <is>
          <t>2026-07-03 15:25:39</t>
        </is>
      </c>
      <c r="E304" s="3" t="inlineStr">
        <is>
          <t>2026-07-04 09:44</t>
        </is>
      </c>
      <c r="F304" s="3" t="n">
        <v>10.52</v>
      </c>
      <c r="G304" s="3" t="n">
        <v>1</v>
      </c>
      <c r="H304" s="3" t="n"/>
      <c r="I304" s="3" t="inlineStr"/>
      <c r="J304" s="3" t="inlineStr">
        <is>
          <t>Keeta</t>
        </is>
      </c>
      <c r="K304" s="3" t="inlineStr">
        <is>
          <t>****9568</t>
        </is>
      </c>
      <c r="L304" s="3" t="n"/>
      <c r="M304" s="3" t="inlineStr">
        <is>
          <t>***** 物流中心5樓</t>
        </is>
      </c>
      <c r="N304" s="3" t="inlineStr">
        <is>
          <t>北区</t>
        </is>
      </c>
      <c r="O304" s="3" t="inlineStr">
        <is>
          <t>香港</t>
        </is>
      </c>
      <c r="P304" s="3" t="inlineStr">
        <is>
          <t>香港特别行政区</t>
        </is>
      </c>
      <c r="Q304" s="3" t="n">
        <v>458818</v>
      </c>
      <c r="R304" s="3" t="inlineStr">
        <is>
          <t>泰式食滋味小廚</t>
        </is>
      </c>
      <c r="S304" s="3" t="inlineStr">
        <is>
          <t>****67430359</t>
        </is>
      </c>
      <c r="T304" s="3" t="inlineStr">
        <is>
          <t>****67430359</t>
        </is>
      </c>
      <c r="U304" s="3" t="inlineStr">
        <is>
          <t>***** 3樓50A室</t>
        </is>
      </c>
      <c r="V304" s="3" t="inlineStr">
        <is>
          <t>香港</t>
        </is>
      </c>
      <c r="W304" s="3" t="inlineStr">
        <is>
          <t>塑料袋【大】/ 扎出</t>
        </is>
      </c>
      <c r="X304" s="3" t="inlineStr">
        <is>
          <t>ESS-SFTS-OTMS</t>
        </is>
      </c>
      <c r="Y304" s="3" t="n"/>
      <c r="Z304" s="3" t="inlineStr"/>
      <c r="AA304" s="3" t="inlineStr">
        <is>
          <t>寄付月結</t>
        </is>
      </c>
      <c r="AB304">
        <f>IFERROR(VLOOKUP(Q304&amp;"",對照表!$A:$B,1,FALSE),"")</f>
        <v/>
      </c>
      <c r="AC304">
        <f>IFERROR(VLOOKUP(Q304&amp;"",對照表!$A:$B,2,FALSE),"")</f>
        <v/>
      </c>
    </row>
    <row r="305">
      <c r="A305" s="3" t="inlineStr">
        <is>
          <t>SF5116616187660</t>
        </is>
      </c>
      <c r="B305" s="3" t="n">
        <v>58424825708563</v>
      </c>
      <c r="C305" s="3" t="inlineStr">
        <is>
          <t>已簽收</t>
        </is>
      </c>
      <c r="D305" s="3" t="inlineStr">
        <is>
          <t>2026-07-03 16:44:36</t>
        </is>
      </c>
      <c r="E305" s="3" t="inlineStr">
        <is>
          <t>2026-07-06 10:50</t>
        </is>
      </c>
      <c r="F305" s="3" t="n">
        <v>47.28</v>
      </c>
      <c r="G305" s="3" t="n">
        <v>4</v>
      </c>
      <c r="H305" s="3" t="n"/>
      <c r="I305" s="3" t="inlineStr"/>
      <c r="J305" s="3" t="inlineStr">
        <is>
          <t>Keeta</t>
        </is>
      </c>
      <c r="K305" s="3" t="inlineStr">
        <is>
          <t>****9568</t>
        </is>
      </c>
      <c r="L305" s="3" t="n"/>
      <c r="M305" s="3" t="inlineStr">
        <is>
          <t>***** 物流中心5樓</t>
        </is>
      </c>
      <c r="N305" s="3" t="inlineStr">
        <is>
          <t>北区</t>
        </is>
      </c>
      <c r="O305" s="3" t="inlineStr">
        <is>
          <t>香港</t>
        </is>
      </c>
      <c r="P305" s="3" t="inlineStr">
        <is>
          <t>香港特别行政区</t>
        </is>
      </c>
      <c r="Q305" s="3" t="n">
        <v>580794</v>
      </c>
      <c r="R305" s="3" t="inlineStr">
        <is>
          <t>WeBiteSpaceOL健康餐（九龍店）</t>
        </is>
      </c>
      <c r="S305" s="3" t="inlineStr">
        <is>
          <t>****25283671</t>
        </is>
      </c>
      <c r="T305" s="3" t="inlineStr">
        <is>
          <t>****25283671</t>
        </is>
      </c>
      <c r="U305" s="3" t="inlineStr">
        <is>
          <t>***** 龍站66號舖</t>
        </is>
      </c>
      <c r="V305" s="3" t="inlineStr">
        <is>
          <t>香港</t>
        </is>
      </c>
      <c r="W305" s="3" t="inlineStr">
        <is>
          <t>无纺布【Preminum黑】/ 箱出</t>
        </is>
      </c>
      <c r="X305" s="3" t="inlineStr">
        <is>
          <t>ESS-SFTS-OTMS</t>
        </is>
      </c>
      <c r="Y305" s="3" t="n"/>
      <c r="Z305" s="3" t="inlineStr"/>
      <c r="AA305" s="3" t="inlineStr">
        <is>
          <t>寄付月結</t>
        </is>
      </c>
      <c r="AB305">
        <f>IFERROR(VLOOKUP(Q305&amp;"",對照表!$A:$B,1,FALSE),"")</f>
        <v/>
      </c>
      <c r="AC305">
        <f>IFERROR(VLOOKUP(Q305&amp;"",對照表!$A:$B,2,FALSE),"")</f>
        <v/>
      </c>
    </row>
    <row r="306">
      <c r="A306" s="3" t="inlineStr">
        <is>
          <t>SF5116616187711</t>
        </is>
      </c>
      <c r="B306" s="3" t="n">
        <v>58424825708572</v>
      </c>
      <c r="C306" s="3" t="inlineStr">
        <is>
          <t>已簽收</t>
        </is>
      </c>
      <c r="D306" s="3" t="inlineStr">
        <is>
          <t>2026-07-03 10:23:55</t>
        </is>
      </c>
      <c r="E306" s="3" t="inlineStr">
        <is>
          <t>2026-07-04 12:14</t>
        </is>
      </c>
      <c r="F306" s="3" t="n">
        <v>1</v>
      </c>
      <c r="G306" s="3" t="n">
        <v>1</v>
      </c>
      <c r="H306" s="3" t="n"/>
      <c r="I306" s="3" t="inlineStr"/>
      <c r="J306" s="3" t="inlineStr">
        <is>
          <t>Keeta</t>
        </is>
      </c>
      <c r="K306" s="3" t="inlineStr">
        <is>
          <t>****9568</t>
        </is>
      </c>
      <c r="L306" s="3" t="n"/>
      <c r="M306" s="3" t="inlineStr">
        <is>
          <t>***** 物流中心5樓</t>
        </is>
      </c>
      <c r="N306" s="3" t="inlineStr">
        <is>
          <t>北区</t>
        </is>
      </c>
      <c r="O306" s="3" t="inlineStr">
        <is>
          <t>香港</t>
        </is>
      </c>
      <c r="P306" s="3" t="inlineStr">
        <is>
          <t>香港特别行政区</t>
        </is>
      </c>
      <c r="Q306" s="3" t="n">
        <v>461749</v>
      </c>
      <c r="R306" s="3" t="inlineStr">
        <is>
          <t>聚興樓(曉麗苑)粵式秘製手撕雞</t>
        </is>
      </c>
      <c r="S306" s="3" t="inlineStr">
        <is>
          <t>****24132998</t>
        </is>
      </c>
      <c r="T306" s="3" t="inlineStr">
        <is>
          <t>****24132998</t>
        </is>
      </c>
      <c r="U306" s="3" t="inlineStr">
        <is>
          <t>***** 樓212號舖</t>
        </is>
      </c>
      <c r="V306" s="3" t="inlineStr">
        <is>
          <t>香港</t>
        </is>
      </c>
      <c r="W306" s="3" t="inlineStr">
        <is>
          <t>塑料袋【大】/ 扎出</t>
        </is>
      </c>
      <c r="X306" s="3" t="inlineStr">
        <is>
          <t>ESS-SFTS-OTMS</t>
        </is>
      </c>
      <c r="Y306" s="3" t="n"/>
      <c r="Z306" s="3" t="inlineStr"/>
      <c r="AA306" s="3" t="inlineStr">
        <is>
          <t>寄付月結</t>
        </is>
      </c>
      <c r="AB306">
        <f>IFERROR(VLOOKUP(Q306&amp;"",對照表!$A:$B,1,FALSE),"")</f>
        <v/>
      </c>
      <c r="AC306">
        <f>IFERROR(VLOOKUP(Q306&amp;"",對照表!$A:$B,2,FALSE),"")</f>
        <v/>
      </c>
    </row>
    <row r="307">
      <c r="A307" s="3" t="inlineStr">
        <is>
          <t>SF5116616188124</t>
        </is>
      </c>
      <c r="B307" s="3" t="n">
        <v>58424825741335</v>
      </c>
      <c r="C307" s="3" t="inlineStr">
        <is>
          <t>派送中</t>
        </is>
      </c>
      <c r="D307" s="3" t="inlineStr">
        <is>
          <t>2026-07-03 15:33:32</t>
        </is>
      </c>
      <c r="E307" s="3" t="n"/>
      <c r="F307" s="3" t="n">
        <v>31.8</v>
      </c>
      <c r="G307" s="3" t="n">
        <v>3</v>
      </c>
      <c r="H307" s="3" t="n"/>
      <c r="I307" s="3" t="inlineStr"/>
      <c r="J307" s="3" t="inlineStr">
        <is>
          <t>Keeta</t>
        </is>
      </c>
      <c r="K307" s="3" t="inlineStr">
        <is>
          <t>****9568</t>
        </is>
      </c>
      <c r="L307" s="3" t="n"/>
      <c r="M307" s="3" t="inlineStr">
        <is>
          <t>***** 物流中心5樓</t>
        </is>
      </c>
      <c r="N307" s="3" t="inlineStr">
        <is>
          <t>北区</t>
        </is>
      </c>
      <c r="O307" s="3" t="inlineStr">
        <is>
          <t>香港</t>
        </is>
      </c>
      <c r="P307" s="3" t="inlineStr">
        <is>
          <t>香港特别行政区</t>
        </is>
      </c>
      <c r="Q307" s="3" t="n">
        <v>721525340</v>
      </c>
      <c r="R307" s="3" t="inlineStr">
        <is>
          <t>CurryMatters熟成咖喱工房</t>
        </is>
      </c>
      <c r="S307" s="3" t="inlineStr">
        <is>
          <t>****31889678</t>
        </is>
      </c>
      <c r="T307" s="3" t="inlineStr">
        <is>
          <t>****31889678</t>
        </is>
      </c>
      <c r="U307" s="3" t="inlineStr">
        <is>
          <t>***** 170號地舖</t>
        </is>
      </c>
      <c r="V307" s="3" t="inlineStr">
        <is>
          <t>香港</t>
        </is>
      </c>
      <c r="W307" s="3" t="inlineStr">
        <is>
          <t>无纺布【规格三中号】/ 箱出, 无纺布【规格四大号】/ 箱出</t>
        </is>
      </c>
      <c r="X307" s="3" t="inlineStr">
        <is>
          <t>ESS-SFTS-OTMS</t>
        </is>
      </c>
      <c r="Y307" s="3" t="n"/>
      <c r="Z307" s="3" t="inlineStr"/>
      <c r="AA307" s="3" t="inlineStr">
        <is>
          <t>寄付月結</t>
        </is>
      </c>
      <c r="AB307">
        <f>IFERROR(VLOOKUP(Q307&amp;"",對照表!$A:$B,1,FALSE),"")</f>
        <v/>
      </c>
      <c r="AC307">
        <f>IFERROR(VLOOKUP(Q307&amp;"",對照表!$A:$B,2,FALSE),"")</f>
        <v/>
      </c>
    </row>
    <row r="308">
      <c r="A308" s="3" t="inlineStr">
        <is>
          <t>SF5116616187915</t>
        </is>
      </c>
      <c r="B308" s="3" t="n">
        <v>58424825708615</v>
      </c>
      <c r="C308" s="3" t="inlineStr">
        <is>
          <t>已簽收</t>
        </is>
      </c>
      <c r="D308" s="3" t="inlineStr">
        <is>
          <t>2026-07-03 11:41:01</t>
        </is>
      </c>
      <c r="E308" s="3" t="inlineStr">
        <is>
          <t>2026-07-04 12:15</t>
        </is>
      </c>
      <c r="F308" s="3" t="n">
        <v>23.64</v>
      </c>
      <c r="G308" s="3" t="n">
        <v>2</v>
      </c>
      <c r="H308" s="3" t="n"/>
      <c r="I308" s="3" t="inlineStr"/>
      <c r="J308" s="3" t="inlineStr">
        <is>
          <t>Keeta</t>
        </is>
      </c>
      <c r="K308" s="3" t="inlineStr">
        <is>
          <t>****9568</t>
        </is>
      </c>
      <c r="L308" s="3" t="n"/>
      <c r="M308" s="3" t="inlineStr">
        <is>
          <t>***** 物流中心5樓</t>
        </is>
      </c>
      <c r="N308" s="3" t="inlineStr">
        <is>
          <t>北区</t>
        </is>
      </c>
      <c r="O308" s="3" t="inlineStr">
        <is>
          <t>香港</t>
        </is>
      </c>
      <c r="P308" s="3" t="inlineStr">
        <is>
          <t>香港特别行政区</t>
        </is>
      </c>
      <c r="Q308" s="3" t="n">
        <v>578199</v>
      </c>
      <c r="R308" s="3" t="inlineStr">
        <is>
          <t>NBURGER（啟德）</t>
        </is>
      </c>
      <c r="S308" s="3" t="inlineStr">
        <is>
          <t>****23050133</t>
        </is>
      </c>
      <c r="T308" s="3" t="inlineStr">
        <is>
          <t>****23050133</t>
        </is>
      </c>
      <c r="U308" s="3" t="inlineStr">
        <is>
          <t>***** -102號舖</t>
        </is>
      </c>
      <c r="V308" s="3" t="inlineStr">
        <is>
          <t>香港</t>
        </is>
      </c>
      <c r="W308" s="3" t="inlineStr">
        <is>
          <t>无纺布【Preminum黑】/ 箱出</t>
        </is>
      </c>
      <c r="X308" s="3" t="inlineStr">
        <is>
          <t>ESS-SFTS-OTMS</t>
        </is>
      </c>
      <c r="Y308" s="3" t="n"/>
      <c r="Z308" s="3" t="inlineStr"/>
      <c r="AA308" s="3" t="inlineStr">
        <is>
          <t>寄付月結</t>
        </is>
      </c>
      <c r="AB308">
        <f>IFERROR(VLOOKUP(Q308&amp;"",對照表!$A:$B,1,FALSE),"")</f>
        <v/>
      </c>
      <c r="AC308">
        <f>IFERROR(VLOOKUP(Q308&amp;"",對照表!$A:$B,2,FALSE),"")</f>
        <v/>
      </c>
    </row>
    <row r="309">
      <c r="A309" s="3" t="inlineStr">
        <is>
          <t>SF5116616187688</t>
        </is>
      </c>
      <c r="B309" s="3" t="n">
        <v>58424825708567</v>
      </c>
      <c r="C309" s="3" t="inlineStr">
        <is>
          <t>已簽收</t>
        </is>
      </c>
      <c r="D309" s="3" t="inlineStr">
        <is>
          <t>2026-07-03 13:49:00</t>
        </is>
      </c>
      <c r="E309" s="3" t="inlineStr">
        <is>
          <t>2026-07-04 13:09</t>
        </is>
      </c>
      <c r="F309" s="3" t="n">
        <v>34.8</v>
      </c>
      <c r="G309" s="3" t="n">
        <v>3</v>
      </c>
      <c r="H309" s="3" t="n"/>
      <c r="I309" s="3" t="inlineStr"/>
      <c r="J309" s="3" t="inlineStr">
        <is>
          <t>Keeta</t>
        </is>
      </c>
      <c r="K309" s="3" t="inlineStr">
        <is>
          <t>****9568</t>
        </is>
      </c>
      <c r="L309" s="3" t="n"/>
      <c r="M309" s="3" t="inlineStr">
        <is>
          <t>***** 物流中心5樓</t>
        </is>
      </c>
      <c r="N309" s="3" t="inlineStr">
        <is>
          <t>北区</t>
        </is>
      </c>
      <c r="O309" s="3" t="inlineStr">
        <is>
          <t>香港</t>
        </is>
      </c>
      <c r="P309" s="3" t="inlineStr">
        <is>
          <t>香港特别行政区</t>
        </is>
      </c>
      <c r="Q309" s="3" t="n">
        <v>597163</v>
      </c>
      <c r="R309" s="3" t="inlineStr">
        <is>
          <t>雲貴風正宗雲南米線世一上癮米線</t>
        </is>
      </c>
      <c r="S309" s="3" t="inlineStr">
        <is>
          <t>****24302918</t>
        </is>
      </c>
      <c r="T309" s="3" t="inlineStr">
        <is>
          <t>****24302918</t>
        </is>
      </c>
      <c r="U309" s="3" t="inlineStr">
        <is>
          <t>***** 徑天橋出口)</t>
        </is>
      </c>
      <c r="V309" s="3" t="inlineStr">
        <is>
          <t>香港</t>
        </is>
      </c>
      <c r="W309" s="3" t="inlineStr">
        <is>
          <t>无纺布【规格四大号】/ 箱出</t>
        </is>
      </c>
      <c r="X309" s="3" t="inlineStr">
        <is>
          <t>ESS-SFTS-OTMS</t>
        </is>
      </c>
      <c r="Y309" s="3" t="n"/>
      <c r="Z309" s="3" t="inlineStr"/>
      <c r="AA309" s="3" t="inlineStr">
        <is>
          <t>寄付月結</t>
        </is>
      </c>
      <c r="AB309">
        <f>IFERROR(VLOOKUP(Q309&amp;"",對照表!$A:$B,1,FALSE),"")</f>
        <v/>
      </c>
      <c r="AC309">
        <f>IFERROR(VLOOKUP(Q309&amp;"",對照表!$A:$B,2,FALSE),"")</f>
        <v/>
      </c>
    </row>
    <row r="310">
      <c r="A310" s="3" t="inlineStr">
        <is>
          <t>SF5116616187793</t>
        </is>
      </c>
      <c r="B310" s="3" t="n">
        <v>58424825708589</v>
      </c>
      <c r="C310" s="3" t="inlineStr">
        <is>
          <t>已簽收</t>
        </is>
      </c>
      <c r="D310" s="3" t="inlineStr">
        <is>
          <t>2026-07-03 17:17:05</t>
        </is>
      </c>
      <c r="E310" s="3" t="inlineStr">
        <is>
          <t>2026-07-04 15:44</t>
        </is>
      </c>
      <c r="F310" s="3" t="n">
        <v>24.62</v>
      </c>
      <c r="G310" s="3" t="n">
        <v>4</v>
      </c>
      <c r="H310" s="3" t="n"/>
      <c r="I310" s="3" t="inlineStr"/>
      <c r="J310" s="3" t="inlineStr">
        <is>
          <t>Keeta</t>
        </is>
      </c>
      <c r="K310" s="3" t="inlineStr">
        <is>
          <t>****9568</t>
        </is>
      </c>
      <c r="L310" s="3" t="n"/>
      <c r="M310" s="3" t="inlineStr">
        <is>
          <t>***** 物流中心5樓</t>
        </is>
      </c>
      <c r="N310" s="3" t="inlineStr">
        <is>
          <t>北区</t>
        </is>
      </c>
      <c r="O310" s="3" t="inlineStr">
        <is>
          <t>香港</t>
        </is>
      </c>
      <c r="P310" s="3" t="inlineStr">
        <is>
          <t>香港特别行政区</t>
        </is>
      </c>
      <c r="Q310" s="3" t="n">
        <v>607391</v>
      </c>
      <c r="R310" s="3" t="inlineStr">
        <is>
          <t>茶醉桃溪國風奶茶原葉鮮奶茶麵包小零食</t>
        </is>
      </c>
      <c r="S310" s="3" t="inlineStr">
        <is>
          <t>****51647978</t>
        </is>
      </c>
      <c r="T310" s="3" t="inlineStr">
        <is>
          <t>****51647978</t>
        </is>
      </c>
      <c r="U310" s="3" t="inlineStr">
        <is>
          <t>***** 下2B-2C</t>
        </is>
      </c>
      <c r="V310" s="3" t="inlineStr">
        <is>
          <t>香港</t>
        </is>
      </c>
      <c r="W310" s="3" t="inlineStr">
        <is>
          <t>杯托【2托】/ 箱出, 无纺布【规格二双杯】/ 箱出</t>
        </is>
      </c>
      <c r="X310" s="3" t="inlineStr">
        <is>
          <t>ESS-SFTS-OTMS</t>
        </is>
      </c>
      <c r="Y310" s="3" t="n"/>
      <c r="Z310" s="3" t="inlineStr"/>
      <c r="AA310" s="3" t="inlineStr">
        <is>
          <t>寄付月結</t>
        </is>
      </c>
      <c r="AB310">
        <f>IFERROR(VLOOKUP(Q310&amp;"",對照表!$A:$B,1,FALSE),"")</f>
        <v/>
      </c>
      <c r="AC310">
        <f>IFERROR(VLOOKUP(Q310&amp;"",對照表!$A:$B,2,FALSE),"")</f>
        <v/>
      </c>
    </row>
    <row r="311">
      <c r="A311" s="3" t="inlineStr">
        <is>
          <t>SF5116616187845</t>
        </is>
      </c>
      <c r="B311" s="3" t="n">
        <v>58424825708599</v>
      </c>
      <c r="C311" s="3" t="inlineStr">
        <is>
          <t>已簽收</t>
        </is>
      </c>
      <c r="D311" s="3" t="inlineStr">
        <is>
          <t>2026-07-03 14:22:56</t>
        </is>
      </c>
      <c r="E311" s="3" t="inlineStr">
        <is>
          <t>2026-07-04 12:00</t>
        </is>
      </c>
      <c r="F311" s="3" t="n">
        <v>37.89</v>
      </c>
      <c r="G311" s="3" t="n">
        <v>4</v>
      </c>
      <c r="H311" s="3" t="n"/>
      <c r="I311" s="3" t="inlineStr"/>
      <c r="J311" s="3" t="inlineStr">
        <is>
          <t>Keeta</t>
        </is>
      </c>
      <c r="K311" s="3" t="inlineStr">
        <is>
          <t>****9568</t>
        </is>
      </c>
      <c r="L311" s="3" t="n"/>
      <c r="M311" s="3" t="inlineStr">
        <is>
          <t>***** 物流中心5樓</t>
        </is>
      </c>
      <c r="N311" s="3" t="inlineStr">
        <is>
          <t>北区</t>
        </is>
      </c>
      <c r="O311" s="3" t="inlineStr">
        <is>
          <t>香港</t>
        </is>
      </c>
      <c r="P311" s="3" t="inlineStr">
        <is>
          <t>香港特别行政区</t>
        </is>
      </c>
      <c r="Q311" s="3" t="n">
        <v>721523289</v>
      </c>
      <c r="R311" s="3" t="inlineStr">
        <is>
          <t>翠林辣蟹舫超多明星食過的馳名避風塘炒蟹超值套餐新上線</t>
        </is>
      </c>
      <c r="S311" s="3" t="inlineStr">
        <is>
          <t>****26289888</t>
        </is>
      </c>
      <c r="T311" s="3" t="inlineStr">
        <is>
          <t>****26289888</t>
        </is>
      </c>
      <c r="U311" s="3" t="inlineStr">
        <is>
          <t>*****  舖天星大樓</t>
        </is>
      </c>
      <c r="V311" s="3" t="inlineStr">
        <is>
          <t>香港</t>
        </is>
      </c>
      <c r="W311" s="3" t="inlineStr">
        <is>
          <t>塑料袋【大】/ 扎出, 无纺布【规格三中号】/ 箱出, 无纺布【规格四大号】/ 箱出</t>
        </is>
      </c>
      <c r="X311" s="3" t="inlineStr">
        <is>
          <t>ESS-SFTS-OTMS</t>
        </is>
      </c>
      <c r="Y311" s="3" t="n"/>
      <c r="Z311" s="3" t="inlineStr"/>
      <c r="AA311" s="3" t="inlineStr">
        <is>
          <t>寄付月結</t>
        </is>
      </c>
      <c r="AB311">
        <f>IFERROR(VLOOKUP(Q311&amp;"",對照表!$A:$B,1,FALSE),"")</f>
        <v/>
      </c>
      <c r="AC311">
        <f>IFERROR(VLOOKUP(Q311&amp;"",對照表!$A:$B,2,FALSE),"")</f>
        <v/>
      </c>
    </row>
    <row r="312">
      <c r="A312" s="3" t="inlineStr">
        <is>
          <t>SF5116516599825</t>
        </is>
      </c>
      <c r="B312" s="3" t="n">
        <v>58424825708557</v>
      </c>
      <c r="C312" s="3" t="inlineStr">
        <is>
          <t>已簽收</t>
        </is>
      </c>
      <c r="D312" s="3" t="inlineStr">
        <is>
          <t>2026-07-03 16:34:02</t>
        </is>
      </c>
      <c r="E312" s="3" t="inlineStr">
        <is>
          <t>2026-07-04 09:46</t>
        </is>
      </c>
      <c r="F312" s="3" t="n">
        <v>31.68</v>
      </c>
      <c r="G312" s="3" t="n">
        <v>3</v>
      </c>
      <c r="H312" s="3" t="n"/>
      <c r="I312" s="3" t="inlineStr"/>
      <c r="J312" s="3" t="inlineStr">
        <is>
          <t>Keeta</t>
        </is>
      </c>
      <c r="K312" s="3" t="inlineStr">
        <is>
          <t>****9568</t>
        </is>
      </c>
      <c r="L312" s="3" t="n"/>
      <c r="M312" s="3" t="inlineStr">
        <is>
          <t>***** 物流中心5樓</t>
        </is>
      </c>
      <c r="N312" s="3" t="inlineStr">
        <is>
          <t>北区</t>
        </is>
      </c>
      <c r="O312" s="3" t="inlineStr">
        <is>
          <t>香港</t>
        </is>
      </c>
      <c r="P312" s="3" t="inlineStr">
        <is>
          <t>香港特别行政区</t>
        </is>
      </c>
      <c r="Q312" s="3" t="n">
        <v>461659</v>
      </c>
      <c r="R312" s="3" t="inlineStr">
        <is>
          <t>HABITCaff(TheOne)</t>
        </is>
      </c>
      <c r="S312" s="3" t="inlineStr">
        <is>
          <t>****35720622</t>
        </is>
      </c>
      <c r="T312" s="3" t="inlineStr">
        <is>
          <t>****35720622</t>
        </is>
      </c>
      <c r="U312" s="3" t="inlineStr">
        <is>
          <t>***** a Tsui</t>
        </is>
      </c>
      <c r="V312" s="3" t="inlineStr">
        <is>
          <t>香港</t>
        </is>
      </c>
      <c r="W312" s="3" t="inlineStr">
        <is>
          <t>纸袋【Preminum黑】/ 箱出, 无纺布【Preminum黑】/ 箱出, 无纺布【规格二双杯】/ 箱出</t>
        </is>
      </c>
      <c r="X312" s="3" t="inlineStr">
        <is>
          <t>ESS-SFTS-OTMS</t>
        </is>
      </c>
      <c r="Y312" s="3" t="n"/>
      <c r="Z312" s="3" t="inlineStr"/>
      <c r="AA312" s="3" t="inlineStr">
        <is>
          <t>寄付月結</t>
        </is>
      </c>
      <c r="AB312">
        <f>IFERROR(VLOOKUP(Q312&amp;"",對照表!$A:$B,1,FALSE),"")</f>
        <v/>
      </c>
      <c r="AC312">
        <f>IFERROR(VLOOKUP(Q312&amp;"",對照表!$A:$B,2,FALSE),"")</f>
        <v/>
      </c>
    </row>
    <row r="313">
      <c r="A313" s="3" t="inlineStr">
        <is>
          <t>SF5116616187933</t>
        </is>
      </c>
      <c r="B313" s="3" t="n">
        <v>58424825708619</v>
      </c>
      <c r="C313" s="3" t="inlineStr">
        <is>
          <t>已簽收</t>
        </is>
      </c>
      <c r="D313" s="3" t="inlineStr">
        <is>
          <t>2026-07-03 13:51:58</t>
        </is>
      </c>
      <c r="E313" s="3" t="inlineStr">
        <is>
          <t>2026-07-04 15:43</t>
        </is>
      </c>
      <c r="F313" s="3" t="n">
        <v>15</v>
      </c>
      <c r="G313" s="3" t="n">
        <v>1</v>
      </c>
      <c r="H313" s="3" t="n"/>
      <c r="I313" s="3" t="inlineStr"/>
      <c r="J313" s="3" t="inlineStr">
        <is>
          <t>Keeta</t>
        </is>
      </c>
      <c r="K313" s="3" t="inlineStr">
        <is>
          <t>****9568</t>
        </is>
      </c>
      <c r="L313" s="3" t="n"/>
      <c r="M313" s="3" t="inlineStr">
        <is>
          <t>***** 物流中心5樓</t>
        </is>
      </c>
      <c r="N313" s="3" t="inlineStr">
        <is>
          <t>北区</t>
        </is>
      </c>
      <c r="O313" s="3" t="inlineStr">
        <is>
          <t>香港</t>
        </is>
      </c>
      <c r="P313" s="3" t="inlineStr">
        <is>
          <t>香港特别行政区</t>
        </is>
      </c>
      <c r="Q313" s="3" t="n">
        <v>478188</v>
      </c>
      <c r="R313" s="3" t="inlineStr">
        <is>
          <t>中興牛什達人</t>
        </is>
      </c>
      <c r="S313" s="3" t="inlineStr">
        <is>
          <t>****39053368</t>
        </is>
      </c>
      <c r="T313" s="3" t="inlineStr">
        <is>
          <t>****39053368</t>
        </is>
      </c>
      <c r="U313" s="3" t="inlineStr">
        <is>
          <t>***** 地下114號</t>
        </is>
      </c>
      <c r="V313" s="3" t="inlineStr">
        <is>
          <t>香港</t>
        </is>
      </c>
      <c r="W313" s="3" t="inlineStr">
        <is>
          <t>纸袋【通版】/ 箱出</t>
        </is>
      </c>
      <c r="X313" s="3" t="inlineStr">
        <is>
          <t>ESS-SFTS-OTMS</t>
        </is>
      </c>
      <c r="Y313" s="3" t="n"/>
      <c r="Z313" s="3" t="inlineStr"/>
      <c r="AA313" s="3" t="inlineStr">
        <is>
          <t>寄付月結</t>
        </is>
      </c>
      <c r="AB313">
        <f>IFERROR(VLOOKUP(Q313&amp;"",對照表!$A:$B,1,FALSE),"")</f>
        <v/>
      </c>
      <c r="AC313">
        <f>IFERROR(VLOOKUP(Q313&amp;"",對照表!$A:$B,2,FALSE),"")</f>
        <v/>
      </c>
    </row>
    <row r="314">
      <c r="A314" s="3" t="inlineStr">
        <is>
          <t>SF5116616187748</t>
        </is>
      </c>
      <c r="B314" s="3" t="n">
        <v>58424825708579</v>
      </c>
      <c r="C314" s="3" t="inlineStr">
        <is>
          <t>已簽收</t>
        </is>
      </c>
      <c r="D314" s="3" t="inlineStr">
        <is>
          <t>2026-07-03 10:31:12</t>
        </is>
      </c>
      <c r="E314" s="3" t="inlineStr">
        <is>
          <t>2026-07-04 09:13</t>
        </is>
      </c>
      <c r="F314" s="3" t="n">
        <v>11.6</v>
      </c>
      <c r="G314" s="3" t="n">
        <v>1</v>
      </c>
      <c r="H314" s="3" t="n"/>
      <c r="I314" s="3" t="inlineStr"/>
      <c r="J314" s="3" t="inlineStr">
        <is>
          <t>Keeta</t>
        </is>
      </c>
      <c r="K314" s="3" t="inlineStr">
        <is>
          <t>****9568</t>
        </is>
      </c>
      <c r="L314" s="3" t="n"/>
      <c r="M314" s="3" t="inlineStr">
        <is>
          <t>***** 物流中心5樓</t>
        </is>
      </c>
      <c r="N314" s="3" t="inlineStr">
        <is>
          <t>北区</t>
        </is>
      </c>
      <c r="O314" s="3" t="inlineStr">
        <is>
          <t>香港</t>
        </is>
      </c>
      <c r="P314" s="3" t="inlineStr">
        <is>
          <t>香港特别行政区</t>
        </is>
      </c>
      <c r="Q314" s="3" t="n">
        <v>721512343</v>
      </c>
      <c r="R314" s="3" t="inlineStr">
        <is>
          <t>Pookie Poke【媽咪牌花膠海參三文魚雞胸Poke Bowl】</t>
        </is>
      </c>
      <c r="S314" s="3" t="inlineStr">
        <is>
          <t>****66861776</t>
        </is>
      </c>
      <c r="T314" s="3" t="inlineStr">
        <is>
          <t>****66861776</t>
        </is>
      </c>
      <c r="U314" s="3" t="inlineStr">
        <is>
          <t>***** 1樓K09室</t>
        </is>
      </c>
      <c r="V314" s="3" t="inlineStr">
        <is>
          <t>香港</t>
        </is>
      </c>
      <c r="W314" s="3" t="inlineStr">
        <is>
          <t>无纺布【规格四大号】/ 箱出</t>
        </is>
      </c>
      <c r="X314" s="3" t="inlineStr">
        <is>
          <t>ESS-SFTS-OTMS</t>
        </is>
      </c>
      <c r="Y314" s="3" t="n"/>
      <c r="Z314" s="3" t="inlineStr"/>
      <c r="AA314" s="3" t="inlineStr">
        <is>
          <t>寄付月結</t>
        </is>
      </c>
      <c r="AB314">
        <f>IFERROR(VLOOKUP(Q314&amp;"",對照表!$A:$B,1,FALSE),"")</f>
        <v/>
      </c>
      <c r="AC314">
        <f>IFERROR(VLOOKUP(Q314&amp;"",對照表!$A:$B,2,FALSE),"")</f>
        <v/>
      </c>
    </row>
    <row r="315">
      <c r="A315" s="3" t="inlineStr">
        <is>
          <t>SF5116616187942</t>
        </is>
      </c>
      <c r="B315" s="3" t="n">
        <v>58424825708620</v>
      </c>
      <c r="C315" s="3" t="inlineStr">
        <is>
          <t>已簽收</t>
        </is>
      </c>
      <c r="D315" s="3" t="inlineStr">
        <is>
          <t>2026-07-03 10:24:06</t>
        </is>
      </c>
      <c r="E315" s="3" t="inlineStr">
        <is>
          <t>2026-07-06 14:53</t>
        </is>
      </c>
      <c r="F315" s="3" t="n">
        <v>1</v>
      </c>
      <c r="G315" s="3" t="n">
        <v>1</v>
      </c>
      <c r="H315" s="3" t="n"/>
      <c r="I315" s="3" t="inlineStr"/>
      <c r="J315" s="3" t="inlineStr">
        <is>
          <t>Keeta</t>
        </is>
      </c>
      <c r="K315" s="3" t="inlineStr">
        <is>
          <t>****9568</t>
        </is>
      </c>
      <c r="L315" s="3" t="n"/>
      <c r="M315" s="3" t="inlineStr">
        <is>
          <t>***** 物流中心5樓</t>
        </is>
      </c>
      <c r="N315" s="3" t="inlineStr">
        <is>
          <t>北区</t>
        </is>
      </c>
      <c r="O315" s="3" t="inlineStr">
        <is>
          <t>香港</t>
        </is>
      </c>
      <c r="P315" s="3" t="inlineStr">
        <is>
          <t>香港特别行政区</t>
        </is>
      </c>
      <c r="Q315" s="3" t="n">
        <v>481465</v>
      </c>
      <c r="R315" s="3" t="inlineStr">
        <is>
          <t>聚興樓(藍田)粵式秘製手撕雞</t>
        </is>
      </c>
      <c r="S315" s="3" t="inlineStr">
        <is>
          <t>****27997998</t>
        </is>
      </c>
      <c r="T315" s="3" t="inlineStr">
        <is>
          <t>****27997998</t>
        </is>
      </c>
      <c r="U315" s="3" t="inlineStr">
        <is>
          <t>***** 下G04號舖</t>
        </is>
      </c>
      <c r="V315" s="3" t="inlineStr">
        <is>
          <t>香港</t>
        </is>
      </c>
      <c r="W315" s="3" t="inlineStr">
        <is>
          <t>塑料袋【大】/ 扎出</t>
        </is>
      </c>
      <c r="X315" s="3" t="inlineStr">
        <is>
          <t>ESS-SFTS-OTMS</t>
        </is>
      </c>
      <c r="Y315" s="3" t="n"/>
      <c r="Z315" s="3" t="inlineStr"/>
      <c r="AA315" s="3" t="inlineStr">
        <is>
          <t>寄付月結</t>
        </is>
      </c>
      <c r="AB315">
        <f>IFERROR(VLOOKUP(Q315&amp;"",對照表!$A:$B,1,FALSE),"")</f>
        <v/>
      </c>
      <c r="AC315">
        <f>IFERROR(VLOOKUP(Q315&amp;"",對照表!$A:$B,2,FALSE),"")</f>
        <v/>
      </c>
    </row>
    <row r="316">
      <c r="A316" s="3" t="inlineStr">
        <is>
          <t>SF5116616188179</t>
        </is>
      </c>
      <c r="B316" s="3" t="n">
        <v>58424825741346</v>
      </c>
      <c r="C316" s="3" t="inlineStr">
        <is>
          <t>已簽收</t>
        </is>
      </c>
      <c r="D316" s="3" t="inlineStr">
        <is>
          <t>2026-07-03 10:24:07</t>
        </is>
      </c>
      <c r="E316" s="3" t="inlineStr">
        <is>
          <t>2026-07-04 12:18</t>
        </is>
      </c>
      <c r="F316" s="3" t="n">
        <v>1</v>
      </c>
      <c r="G316" s="3" t="n">
        <v>1</v>
      </c>
      <c r="H316" s="3" t="n"/>
      <c r="I316" s="3" t="inlineStr"/>
      <c r="J316" s="3" t="inlineStr">
        <is>
          <t>Keeta</t>
        </is>
      </c>
      <c r="K316" s="3" t="inlineStr">
        <is>
          <t>****9568</t>
        </is>
      </c>
      <c r="L316" s="3" t="n"/>
      <c r="M316" s="3" t="inlineStr">
        <is>
          <t>***** 物流中心5樓</t>
        </is>
      </c>
      <c r="N316" s="3" t="inlineStr">
        <is>
          <t>北区</t>
        </is>
      </c>
      <c r="O316" s="3" t="inlineStr">
        <is>
          <t>香港</t>
        </is>
      </c>
      <c r="P316" s="3" t="inlineStr">
        <is>
          <t>香港特别行政区</t>
        </is>
      </c>
      <c r="Q316" s="3" t="n">
        <v>474988</v>
      </c>
      <c r="R316" s="3" t="inlineStr">
        <is>
          <t>聚興樓(富善商場)粵式秘製手撕雞</t>
        </is>
      </c>
      <c r="S316" s="3" t="inlineStr">
        <is>
          <t>****26506998</t>
        </is>
      </c>
      <c r="T316" s="3" t="inlineStr">
        <is>
          <t>****26506998</t>
        </is>
      </c>
      <c r="U316" s="3" t="inlineStr">
        <is>
          <t>***** 樓109號舖</t>
        </is>
      </c>
      <c r="V316" s="3" t="inlineStr">
        <is>
          <t>香港</t>
        </is>
      </c>
      <c r="W316" s="3" t="inlineStr">
        <is>
          <t>塑料袋【大】/ 扎出</t>
        </is>
      </c>
      <c r="X316" s="3" t="inlineStr">
        <is>
          <t>ESS-SFTS-OTMS</t>
        </is>
      </c>
      <c r="Y316" s="3" t="n"/>
      <c r="Z316" s="3" t="inlineStr"/>
      <c r="AA316" s="3" t="inlineStr">
        <is>
          <t>寄付月結</t>
        </is>
      </c>
      <c r="AB316">
        <f>IFERROR(VLOOKUP(Q316&amp;"",對照表!$A:$B,1,FALSE),"")</f>
        <v/>
      </c>
      <c r="AC316">
        <f>IFERROR(VLOOKUP(Q316&amp;"",對照表!$A:$B,2,FALSE),"")</f>
        <v/>
      </c>
    </row>
    <row r="317">
      <c r="A317" s="3" t="inlineStr">
        <is>
          <t>SF5116616187960</t>
        </is>
      </c>
      <c r="B317" s="3" t="n">
        <v>58424825708625</v>
      </c>
      <c r="C317" s="3" t="inlineStr">
        <is>
          <t>已簽收</t>
        </is>
      </c>
      <c r="D317" s="3" t="inlineStr">
        <is>
          <t>2026-07-03 12:20:29</t>
        </is>
      </c>
      <c r="E317" s="3" t="inlineStr">
        <is>
          <t>2026-07-04 10:09</t>
        </is>
      </c>
      <c r="F317" s="3" t="n">
        <v>46.4</v>
      </c>
      <c r="G317" s="3" t="n">
        <v>4</v>
      </c>
      <c r="H317" s="3" t="n"/>
      <c r="I317" s="3" t="inlineStr"/>
      <c r="J317" s="3" t="inlineStr">
        <is>
          <t>Keeta</t>
        </is>
      </c>
      <c r="K317" s="3" t="inlineStr">
        <is>
          <t>****9568</t>
        </is>
      </c>
      <c r="L317" s="3" t="n"/>
      <c r="M317" s="3" t="inlineStr">
        <is>
          <t>***** 物流中心5樓</t>
        </is>
      </c>
      <c r="N317" s="3" t="inlineStr">
        <is>
          <t>北区</t>
        </is>
      </c>
      <c r="O317" s="3" t="inlineStr">
        <is>
          <t>香港</t>
        </is>
      </c>
      <c r="P317" s="3" t="inlineStr">
        <is>
          <t>香港特别行政区</t>
        </is>
      </c>
      <c r="Q317" s="3" t="n">
        <v>721542300</v>
      </c>
      <c r="R317" s="3" t="inlineStr">
        <is>
          <t>ProteinBoy蛋白男生健康輕盈能量滿滿</t>
        </is>
      </c>
      <c r="S317" s="3" t="inlineStr">
        <is>
          <t>****66898181</t>
        </is>
      </c>
      <c r="T317" s="3" t="inlineStr">
        <is>
          <t>****66898181</t>
        </is>
      </c>
      <c r="U317" s="3" t="inlineStr">
        <is>
          <t>***** g Kong</t>
        </is>
      </c>
      <c r="V317" s="3" t="inlineStr">
        <is>
          <t>香港</t>
        </is>
      </c>
      <c r="W317" s="3" t="inlineStr">
        <is>
          <t>无纺布【规格四大号】/ 箱出</t>
        </is>
      </c>
      <c r="X317" s="3" t="inlineStr">
        <is>
          <t>ESS-SFTS-OTMS</t>
        </is>
      </c>
      <c r="Y317" s="3" t="n"/>
      <c r="Z317" s="3" t="inlineStr"/>
      <c r="AA317" s="3" t="inlineStr">
        <is>
          <t>寄付月結</t>
        </is>
      </c>
      <c r="AB317">
        <f>IFERROR(VLOOKUP(Q317&amp;"",對照表!$A:$B,1,FALSE),"")</f>
        <v/>
      </c>
      <c r="AC317">
        <f>IFERROR(VLOOKUP(Q317&amp;"",對照表!$A:$B,2,FALSE),"")</f>
        <v/>
      </c>
    </row>
    <row r="318">
      <c r="A318" s="3" t="inlineStr">
        <is>
          <t>SF5116616187818</t>
        </is>
      </c>
      <c r="B318" s="3" t="n">
        <v>58424825708593</v>
      </c>
      <c r="C318" s="3" t="inlineStr">
        <is>
          <t>已簽收</t>
        </is>
      </c>
      <c r="D318" s="3" t="inlineStr">
        <is>
          <t>2026-07-03 17:14:41</t>
        </is>
      </c>
      <c r="E318" s="3" t="inlineStr">
        <is>
          <t>2026-07-04 12:12</t>
        </is>
      </c>
      <c r="F318" s="3" t="n">
        <v>16.62</v>
      </c>
      <c r="G318" s="3" t="n">
        <v>3</v>
      </c>
      <c r="H318" s="3" t="n"/>
      <c r="I318" s="3" t="inlineStr"/>
      <c r="J318" s="3" t="inlineStr">
        <is>
          <t>Keeta</t>
        </is>
      </c>
      <c r="K318" s="3" t="inlineStr">
        <is>
          <t>****9568</t>
        </is>
      </c>
      <c r="L318" s="3" t="n"/>
      <c r="M318" s="3" t="inlineStr">
        <is>
          <t>***** 物流中心5樓</t>
        </is>
      </c>
      <c r="N318" s="3" t="inlineStr">
        <is>
          <t>北区</t>
        </is>
      </c>
      <c r="O318" s="3" t="inlineStr">
        <is>
          <t>香港</t>
        </is>
      </c>
      <c r="P318" s="3" t="inlineStr">
        <is>
          <t>香港特别行政区</t>
        </is>
      </c>
      <c r="Q318" s="3" t="n">
        <v>458736</v>
      </c>
      <c r="R318" s="3" t="inlineStr">
        <is>
          <t>林香檸手打檸檬茶(雅蘭中心)</t>
        </is>
      </c>
      <c r="S318" s="3" t="inlineStr">
        <is>
          <t>****55401435</t>
        </is>
      </c>
      <c r="T318" s="3" t="inlineStr">
        <is>
          <t>****55401435</t>
        </is>
      </c>
      <c r="U318" s="3" t="inlineStr">
        <is>
          <t>***** 下LA1號舖</t>
        </is>
      </c>
      <c r="V318" s="3" t="inlineStr">
        <is>
          <t>香港</t>
        </is>
      </c>
      <c r="W318" s="3" t="inlineStr">
        <is>
          <t>杯托【2托】/ 箱出, 无纺布【规格二双杯】/ 箱出</t>
        </is>
      </c>
      <c r="X318" s="3" t="inlineStr">
        <is>
          <t>ESS-SFTS-OTMS</t>
        </is>
      </c>
      <c r="Y318" s="3" t="n"/>
      <c r="Z318" s="3" t="inlineStr"/>
      <c r="AA318" s="3" t="inlineStr">
        <is>
          <t>寄付月結</t>
        </is>
      </c>
      <c r="AB318">
        <f>IFERROR(VLOOKUP(Q318&amp;"",對照表!$A:$B,1,FALSE),"")</f>
        <v/>
      </c>
      <c r="AC318">
        <f>IFERROR(VLOOKUP(Q318&amp;"",對照表!$A:$B,2,FALSE),"")</f>
        <v/>
      </c>
    </row>
    <row r="319">
      <c r="A319" s="3" t="inlineStr">
        <is>
          <t>SF5116616187881</t>
        </is>
      </c>
      <c r="B319" s="3" t="n">
        <v>58424825708606</v>
      </c>
      <c r="C319" s="3" t="inlineStr">
        <is>
          <t>已簽收</t>
        </is>
      </c>
      <c r="D319" s="3" t="inlineStr">
        <is>
          <t>2026-07-03 13:52:07</t>
        </is>
      </c>
      <c r="E319" s="3" t="inlineStr">
        <is>
          <t>2026-07-04 15:14</t>
        </is>
      </c>
      <c r="F319" s="3" t="n">
        <v>15</v>
      </c>
      <c r="G319" s="3" t="n">
        <v>1</v>
      </c>
      <c r="H319" s="3" t="n"/>
      <c r="I319" s="3" t="inlineStr"/>
      <c r="J319" s="3" t="inlineStr">
        <is>
          <t>Keeta</t>
        </is>
      </c>
      <c r="K319" s="3" t="inlineStr">
        <is>
          <t>****9568</t>
        </is>
      </c>
      <c r="L319" s="3" t="n"/>
      <c r="M319" s="3" t="inlineStr">
        <is>
          <t>***** 物流中心5樓</t>
        </is>
      </c>
      <c r="N319" s="3" t="inlineStr">
        <is>
          <t>北区</t>
        </is>
      </c>
      <c r="O319" s="3" t="inlineStr">
        <is>
          <t>香港</t>
        </is>
      </c>
      <c r="P319" s="3" t="inlineStr">
        <is>
          <t>香港特别行政区</t>
        </is>
      </c>
      <c r="Q319" s="3" t="n">
        <v>485191</v>
      </c>
      <c r="R319" s="3" t="inlineStr">
        <is>
          <t>豪大大雞排(葵芳店)</t>
        </is>
      </c>
      <c r="S319" s="3" t="inlineStr">
        <is>
          <t>****60800600</t>
        </is>
      </c>
      <c r="T319" s="3" t="inlineStr">
        <is>
          <t>****60800600</t>
        </is>
      </c>
      <c r="U319" s="3" t="inlineStr">
        <is>
          <t>***** 下G06號舖</t>
        </is>
      </c>
      <c r="V319" s="3" t="inlineStr">
        <is>
          <t>香港</t>
        </is>
      </c>
      <c r="W319" s="3" t="inlineStr">
        <is>
          <t>纸袋【通版】/ 箱出</t>
        </is>
      </c>
      <c r="X319" s="3" t="inlineStr">
        <is>
          <t>ESS-SFTS-OTMS</t>
        </is>
      </c>
      <c r="Y319" s="3" t="n"/>
      <c r="Z319" s="3" t="inlineStr"/>
      <c r="AA319" s="3" t="inlineStr">
        <is>
          <t>寄付月結</t>
        </is>
      </c>
      <c r="AB319">
        <f>IFERROR(VLOOKUP(Q319&amp;"",對照表!$A:$B,1,FALSE),"")</f>
        <v/>
      </c>
      <c r="AC319">
        <f>IFERROR(VLOOKUP(Q319&amp;"",對照表!$A:$B,2,FALSE),"")</f>
        <v/>
      </c>
    </row>
    <row r="320">
      <c r="A320" s="3" t="inlineStr">
        <is>
          <t>SF5116616188009</t>
        </is>
      </c>
      <c r="B320" s="3" t="n">
        <v>58424825708633</v>
      </c>
      <c r="C320" s="3" t="inlineStr">
        <is>
          <t>已簽收</t>
        </is>
      </c>
      <c r="D320" s="3" t="inlineStr">
        <is>
          <t>2026-07-03 10:24:03</t>
        </is>
      </c>
      <c r="E320" s="3" t="inlineStr">
        <is>
          <t>2026-07-06 17:18</t>
        </is>
      </c>
      <c r="F320" s="3" t="n">
        <v>1</v>
      </c>
      <c r="G320" s="3" t="n">
        <v>1</v>
      </c>
      <c r="H320" s="3" t="n"/>
      <c r="I320" s="3" t="inlineStr"/>
      <c r="J320" s="3" t="inlineStr">
        <is>
          <t>Keeta</t>
        </is>
      </c>
      <c r="K320" s="3" t="inlineStr">
        <is>
          <t>****9568</t>
        </is>
      </c>
      <c r="L320" s="3" t="n"/>
      <c r="M320" s="3" t="inlineStr">
        <is>
          <t>***** 物流中心5樓</t>
        </is>
      </c>
      <c r="N320" s="3" t="inlineStr">
        <is>
          <t>北区</t>
        </is>
      </c>
      <c r="O320" s="3" t="inlineStr">
        <is>
          <t>香港</t>
        </is>
      </c>
      <c r="P320" s="3" t="inlineStr">
        <is>
          <t>香港特别行政区</t>
        </is>
      </c>
      <c r="Q320" s="3" t="n">
        <v>481537</v>
      </c>
      <c r="R320" s="3" t="inlineStr">
        <is>
          <t>聚興樓(廣福商場)粵式秘製手撕雞</t>
        </is>
      </c>
      <c r="S320" s="3" t="inlineStr">
        <is>
          <t>****3216</t>
        </is>
      </c>
      <c r="T320" s="3" t="inlineStr">
        <is>
          <t>****3216</t>
        </is>
      </c>
      <c r="U320" s="3" t="inlineStr">
        <is>
          <t>***** -214号铺</t>
        </is>
      </c>
      <c r="V320" s="3" t="inlineStr">
        <is>
          <t>香港</t>
        </is>
      </c>
      <c r="W320" s="3" t="inlineStr">
        <is>
          <t>塑料袋【大】/ 扎出</t>
        </is>
      </c>
      <c r="X320" s="3" t="inlineStr">
        <is>
          <t>ESS-SFTS-OTMS</t>
        </is>
      </c>
      <c r="Y320" s="3" t="n"/>
      <c r="Z320" s="3" t="inlineStr"/>
      <c r="AA320" s="3" t="inlineStr">
        <is>
          <t>寄付月結</t>
        </is>
      </c>
      <c r="AB320">
        <f>IFERROR(VLOOKUP(Q320&amp;"",對照表!$A:$B,1,FALSE),"")</f>
        <v/>
      </c>
      <c r="AC320">
        <f>IFERROR(VLOOKUP(Q320&amp;"",對照表!$A:$B,2,FALSE),"")</f>
        <v/>
      </c>
    </row>
    <row r="321">
      <c r="A321" s="3" t="inlineStr">
        <is>
          <t>SF5116616188267</t>
        </is>
      </c>
      <c r="B321" s="3" t="n">
        <v>58424825741364</v>
      </c>
      <c r="C321" s="3" t="inlineStr">
        <is>
          <t>已簽收</t>
        </is>
      </c>
      <c r="D321" s="3" t="inlineStr">
        <is>
          <t>2026-07-03 10:31:14</t>
        </is>
      </c>
      <c r="E321" s="3" t="inlineStr">
        <is>
          <t>2026-07-04 15:05</t>
        </is>
      </c>
      <c r="F321" s="3" t="n">
        <v>11.6</v>
      </c>
      <c r="G321" s="3" t="n">
        <v>1</v>
      </c>
      <c r="H321" s="3" t="n"/>
      <c r="I321" s="3" t="inlineStr"/>
      <c r="J321" s="3" t="inlineStr">
        <is>
          <t>Keeta</t>
        </is>
      </c>
      <c r="K321" s="3" t="inlineStr">
        <is>
          <t>****9568</t>
        </is>
      </c>
      <c r="L321" s="3" t="n"/>
      <c r="M321" s="3" t="inlineStr">
        <is>
          <t>***** 物流中心5樓</t>
        </is>
      </c>
      <c r="N321" s="3" t="inlineStr">
        <is>
          <t>北区</t>
        </is>
      </c>
      <c r="O321" s="3" t="inlineStr">
        <is>
          <t>香港</t>
        </is>
      </c>
      <c r="P321" s="3" t="inlineStr">
        <is>
          <t>香港特别行政区</t>
        </is>
      </c>
      <c r="Q321" s="3" t="n">
        <v>455523</v>
      </c>
      <c r="R321" s="3" t="inlineStr">
        <is>
          <t>ChillSweet俏甜甜品超人氣糖水爆焰飛碟（葵芳）</t>
        </is>
      </c>
      <c r="S321" s="3" t="inlineStr">
        <is>
          <t>****46371545</t>
        </is>
      </c>
      <c r="T321" s="3" t="inlineStr">
        <is>
          <t>****46371545</t>
        </is>
      </c>
      <c r="U321" s="3" t="inlineStr">
        <is>
          <t>***** 2017號舖</t>
        </is>
      </c>
      <c r="V321" s="3" t="inlineStr">
        <is>
          <t>香港</t>
        </is>
      </c>
      <c r="W321" s="3" t="inlineStr">
        <is>
          <t>无纺布【规格四大号】/ 箱出</t>
        </is>
      </c>
      <c r="X321" s="3" t="inlineStr">
        <is>
          <t>ESS-SFTS-OTMS</t>
        </is>
      </c>
      <c r="Y321" s="3" t="n"/>
      <c r="Z321" s="3" t="inlineStr"/>
      <c r="AA321" s="3" t="inlineStr">
        <is>
          <t>寄付月結</t>
        </is>
      </c>
      <c r="AB321">
        <f>IFERROR(VLOOKUP(Q321&amp;"",對照表!$A:$B,1,FALSE),"")</f>
        <v/>
      </c>
      <c r="AC321">
        <f>IFERROR(VLOOKUP(Q321&amp;"",對照表!$A:$B,2,FALSE),"")</f>
        <v/>
      </c>
    </row>
    <row r="322">
      <c r="A322" s="3" t="inlineStr">
        <is>
          <t>SF5116616188479</t>
        </is>
      </c>
      <c r="B322" s="3" t="n">
        <v>58424825741414</v>
      </c>
      <c r="C322" s="3" t="inlineStr">
        <is>
          <t>已簽收</t>
        </is>
      </c>
      <c r="D322" s="3" t="inlineStr">
        <is>
          <t>2026-07-03 10:24:29</t>
        </is>
      </c>
      <c r="E322" s="3" t="inlineStr">
        <is>
          <t>2026-07-04 15:41</t>
        </is>
      </c>
      <c r="F322" s="3" t="n">
        <v>1</v>
      </c>
      <c r="G322" s="3" t="n">
        <v>1</v>
      </c>
      <c r="H322" s="3" t="n"/>
      <c r="I322" s="3" t="inlineStr"/>
      <c r="J322" s="3" t="inlineStr">
        <is>
          <t>Keeta</t>
        </is>
      </c>
      <c r="K322" s="3" t="inlineStr">
        <is>
          <t>****9568</t>
        </is>
      </c>
      <c r="L322" s="3" t="n"/>
      <c r="M322" s="3" t="inlineStr">
        <is>
          <t>***** 物流中心5樓</t>
        </is>
      </c>
      <c r="N322" s="3" t="inlineStr">
        <is>
          <t>北区</t>
        </is>
      </c>
      <c r="O322" s="3" t="inlineStr">
        <is>
          <t>香港</t>
        </is>
      </c>
      <c r="P322" s="3" t="inlineStr">
        <is>
          <t>香港特别行政区</t>
        </is>
      </c>
      <c r="Q322" s="3" t="n">
        <v>471692</v>
      </c>
      <c r="R322" s="3" t="inlineStr">
        <is>
          <t>聚興樓(馬鞍山)粵式秘製手撕雞</t>
        </is>
      </c>
      <c r="S322" s="3" t="inlineStr">
        <is>
          <t>****24146998</t>
        </is>
      </c>
      <c r="T322" s="3" t="inlineStr">
        <is>
          <t>****24146998</t>
        </is>
      </c>
      <c r="U322" s="3" t="inlineStr">
        <is>
          <t>***** G106號舖</t>
        </is>
      </c>
      <c r="V322" s="3" t="inlineStr">
        <is>
          <t>香港</t>
        </is>
      </c>
      <c r="W322" s="3" t="inlineStr">
        <is>
          <t>塑料袋【大】/ 扎出</t>
        </is>
      </c>
      <c r="X322" s="3" t="inlineStr">
        <is>
          <t>ESS-SFTS-OTMS</t>
        </is>
      </c>
      <c r="Y322" s="3" t="n"/>
      <c r="Z322" s="3" t="inlineStr"/>
      <c r="AA322" s="3" t="inlineStr">
        <is>
          <t>寄付月結</t>
        </is>
      </c>
      <c r="AB322">
        <f>IFERROR(VLOOKUP(Q322&amp;"",對照表!$A:$B,1,FALSE),"")</f>
        <v/>
      </c>
      <c r="AC322">
        <f>IFERROR(VLOOKUP(Q322&amp;"",對照表!$A:$B,2,FALSE),"")</f>
        <v/>
      </c>
    </row>
    <row r="323">
      <c r="A323" s="3" t="inlineStr">
        <is>
          <t>SF5116616187697</t>
        </is>
      </c>
      <c r="B323" s="3" t="n">
        <v>58424825708569</v>
      </c>
      <c r="C323" s="3" t="inlineStr">
        <is>
          <t>已簽收</t>
        </is>
      </c>
      <c r="D323" s="3" t="inlineStr">
        <is>
          <t>2026-07-03 14:22:57</t>
        </is>
      </c>
      <c r="E323" s="3" t="inlineStr">
        <is>
          <t>2026-07-04 11:00</t>
        </is>
      </c>
      <c r="F323" s="3" t="n">
        <v>49.48</v>
      </c>
      <c r="G323" s="3" t="n">
        <v>5</v>
      </c>
      <c r="H323" s="3" t="n"/>
      <c r="I323" s="3" t="inlineStr"/>
      <c r="J323" s="3" t="inlineStr">
        <is>
          <t>Keeta</t>
        </is>
      </c>
      <c r="K323" s="3" t="inlineStr">
        <is>
          <t>****9568</t>
        </is>
      </c>
      <c r="L323" s="3" t="n"/>
      <c r="M323" s="3" t="inlineStr">
        <is>
          <t>***** 物流中心5樓</t>
        </is>
      </c>
      <c r="N323" s="3" t="inlineStr">
        <is>
          <t>北区</t>
        </is>
      </c>
      <c r="O323" s="3" t="inlineStr">
        <is>
          <t>香港</t>
        </is>
      </c>
      <c r="P323" s="3" t="inlineStr">
        <is>
          <t>香港特别行政区</t>
        </is>
      </c>
      <c r="Q323" s="3" t="n">
        <v>594474</v>
      </c>
      <c r="R323" s="3" t="inlineStr">
        <is>
          <t>金滿海鮮點心專門店(全新餐牌新上架招牌海鮮粥)</t>
        </is>
      </c>
      <c r="S323" s="3" t="inlineStr">
        <is>
          <t>****23263668</t>
        </is>
      </c>
      <c r="T323" s="3" t="inlineStr">
        <is>
          <t>****23263668</t>
        </is>
      </c>
      <c r="U323" s="3" t="inlineStr">
        <is>
          <t>***** 6-40號舖</t>
        </is>
      </c>
      <c r="V323" s="3" t="inlineStr">
        <is>
          <t>香港</t>
        </is>
      </c>
      <c r="W323" s="3" t="inlineStr">
        <is>
          <t>无纺布【规格三中号】/ 箱出, 塑料袋【大】/ 扎出, 无纺布【规格四大号】/ 箱出</t>
        </is>
      </c>
      <c r="X323" s="3" t="inlineStr">
        <is>
          <t>ESS-SFTS-OTMS</t>
        </is>
      </c>
      <c r="Y323" s="3" t="n"/>
      <c r="Z323" s="3" t="inlineStr"/>
      <c r="AA323" s="3" t="inlineStr">
        <is>
          <t>寄付月結</t>
        </is>
      </c>
      <c r="AB323">
        <f>IFERROR(VLOOKUP(Q323&amp;"",對照表!$A:$B,1,FALSE),"")</f>
        <v/>
      </c>
      <c r="AC323">
        <f>IFERROR(VLOOKUP(Q323&amp;"",對照表!$A:$B,2,FALSE),"")</f>
        <v/>
      </c>
    </row>
    <row r="324">
      <c r="A324" s="3" t="inlineStr">
        <is>
          <t>SF5116616188212</t>
        </is>
      </c>
      <c r="B324" s="3" t="n">
        <v>58424825741354</v>
      </c>
      <c r="C324" s="3" t="inlineStr">
        <is>
          <t>已簽收</t>
        </is>
      </c>
      <c r="D324" s="3" t="inlineStr">
        <is>
          <t>2026-07-03 10:31:10</t>
        </is>
      </c>
      <c r="E324" s="3" t="inlineStr">
        <is>
          <t>2026-07-04 11:02</t>
        </is>
      </c>
      <c r="F324" s="3" t="n">
        <v>11.6</v>
      </c>
      <c r="G324" s="3" t="n">
        <v>1</v>
      </c>
      <c r="H324" s="3" t="n"/>
      <c r="I324" s="3" t="inlineStr"/>
      <c r="J324" s="3" t="inlineStr">
        <is>
          <t>Keeta</t>
        </is>
      </c>
      <c r="K324" s="3" t="inlineStr">
        <is>
          <t>****9568</t>
        </is>
      </c>
      <c r="L324" s="3" t="n"/>
      <c r="M324" s="3" t="inlineStr">
        <is>
          <t>***** 物流中心5樓</t>
        </is>
      </c>
      <c r="N324" s="3" t="inlineStr">
        <is>
          <t>北区</t>
        </is>
      </c>
      <c r="O324" s="3" t="inlineStr">
        <is>
          <t>香港</t>
        </is>
      </c>
      <c r="P324" s="3" t="inlineStr">
        <is>
          <t>香港特别行政区</t>
        </is>
      </c>
      <c r="Q324" s="3" t="n">
        <v>491214</v>
      </c>
      <c r="R324" s="3" t="inlineStr">
        <is>
          <t>立鮨(銅鑼灣)SushiTachi(CausewayBay)</t>
        </is>
      </c>
      <c r="S324" s="3" t="inlineStr">
        <is>
          <t>****28975168</t>
        </is>
      </c>
      <c r="T324" s="3" t="inlineStr">
        <is>
          <t>****28975168</t>
        </is>
      </c>
      <c r="U324" s="3" t="inlineStr">
        <is>
          <t>***** 下03A號舖</t>
        </is>
      </c>
      <c r="V324" s="3" t="inlineStr">
        <is>
          <t>香港</t>
        </is>
      </c>
      <c r="W324" s="3" t="inlineStr">
        <is>
          <t>无纺布【规格四大号】/ 箱出</t>
        </is>
      </c>
      <c r="X324" s="3" t="inlineStr">
        <is>
          <t>ESS-SFTS-OTMS</t>
        </is>
      </c>
      <c r="Y324" s="3" t="n"/>
      <c r="Z324" s="3" t="inlineStr"/>
      <c r="AA324" s="3" t="inlineStr">
        <is>
          <t>寄付月結</t>
        </is>
      </c>
      <c r="AB324">
        <f>IFERROR(VLOOKUP(Q324&amp;"",對照表!$A:$B,1,FALSE),"")</f>
        <v/>
      </c>
      <c r="AC324">
        <f>IFERROR(VLOOKUP(Q324&amp;"",對照表!$A:$B,2,FALSE),"")</f>
        <v/>
      </c>
    </row>
    <row r="325">
      <c r="A325" s="3" t="inlineStr">
        <is>
          <t>SF5116616187906</t>
        </is>
      </c>
      <c r="B325" s="3" t="n">
        <v>58424825708611</v>
      </c>
      <c r="C325" s="3" t="inlineStr">
        <is>
          <t>已簽收</t>
        </is>
      </c>
      <c r="D325" s="3" t="inlineStr">
        <is>
          <t>2026-07-03 12:20:28</t>
        </is>
      </c>
      <c r="E325" s="3" t="inlineStr">
        <is>
          <t>2026-07-04 12:18</t>
        </is>
      </c>
      <c r="F325" s="3" t="n">
        <v>46.4</v>
      </c>
      <c r="G325" s="3" t="n">
        <v>4</v>
      </c>
      <c r="H325" s="3" t="n"/>
      <c r="I325" s="3" t="inlineStr"/>
      <c r="J325" s="3" t="inlineStr">
        <is>
          <t>Keeta</t>
        </is>
      </c>
      <c r="K325" s="3" t="inlineStr">
        <is>
          <t>****9568</t>
        </is>
      </c>
      <c r="L325" s="3" t="n"/>
      <c r="M325" s="3" t="inlineStr">
        <is>
          <t>***** 物流中心5樓</t>
        </is>
      </c>
      <c r="N325" s="3" t="inlineStr">
        <is>
          <t>北区</t>
        </is>
      </c>
      <c r="O325" s="3" t="inlineStr">
        <is>
          <t>香港</t>
        </is>
      </c>
      <c r="P325" s="3" t="inlineStr">
        <is>
          <t>香港特别行政区</t>
        </is>
      </c>
      <c r="Q325" s="3" t="n">
        <v>461694</v>
      </c>
      <c r="R325" s="3" t="inlineStr">
        <is>
          <t>大雞大超級雞扒經典酥炸BB雞台式炸雞便當日式撈撈烏冬</t>
        </is>
      </c>
      <c r="S325" s="3" t="inlineStr">
        <is>
          <t>****97441901</t>
        </is>
      </c>
      <c r="T325" s="3" t="inlineStr">
        <is>
          <t>****97441901</t>
        </is>
      </c>
      <c r="U325" s="3" t="inlineStr">
        <is>
          <t>***** -112號舖</t>
        </is>
      </c>
      <c r="V325" s="3" t="inlineStr">
        <is>
          <t>香港</t>
        </is>
      </c>
      <c r="W325" s="3" t="inlineStr">
        <is>
          <t>无纺布【规格四大号】/ 箱出</t>
        </is>
      </c>
      <c r="X325" s="3" t="inlineStr">
        <is>
          <t>ESS-SFTS-OTMS</t>
        </is>
      </c>
      <c r="Y325" s="3" t="n"/>
      <c r="Z325" s="3" t="inlineStr"/>
      <c r="AA325" s="3" t="inlineStr">
        <is>
          <t>寄付月結</t>
        </is>
      </c>
      <c r="AB325">
        <f>IFERROR(VLOOKUP(Q325&amp;"",對照表!$A:$B,1,FALSE),"")</f>
        <v/>
      </c>
      <c r="AC325">
        <f>IFERROR(VLOOKUP(Q325&amp;"",對照表!$A:$B,2,FALSE),"")</f>
        <v/>
      </c>
    </row>
    <row r="326">
      <c r="A326" s="3" t="inlineStr">
        <is>
          <t>SF5116616187642</t>
        </is>
      </c>
      <c r="B326" s="3" t="n">
        <v>58424825708558</v>
      </c>
      <c r="C326" s="3" t="inlineStr">
        <is>
          <t>已簽收</t>
        </is>
      </c>
      <c r="D326" s="3" t="inlineStr">
        <is>
          <t>2026-07-03 16:46:01</t>
        </is>
      </c>
      <c r="E326" s="3" t="inlineStr">
        <is>
          <t>2026-07-04 18:18</t>
        </is>
      </c>
      <c r="F326" s="3" t="n">
        <v>47.36</v>
      </c>
      <c r="G326" s="3" t="n">
        <v>4</v>
      </c>
      <c r="H326" s="3" t="n"/>
      <c r="I326" s="3" t="inlineStr"/>
      <c r="J326" s="3" t="inlineStr">
        <is>
          <t>Keeta</t>
        </is>
      </c>
      <c r="K326" s="3" t="inlineStr">
        <is>
          <t>****9568</t>
        </is>
      </c>
      <c r="L326" s="3" t="n"/>
      <c r="M326" s="3" t="inlineStr">
        <is>
          <t>***** 物流中心5樓</t>
        </is>
      </c>
      <c r="N326" s="3" t="inlineStr">
        <is>
          <t>北区</t>
        </is>
      </c>
      <c r="O326" s="3" t="inlineStr">
        <is>
          <t>香港</t>
        </is>
      </c>
      <c r="P326" s="3" t="inlineStr">
        <is>
          <t>香港特别行政区</t>
        </is>
      </c>
      <c r="Q326" s="3" t="n">
        <v>481376</v>
      </c>
      <c r="R326" s="3" t="inlineStr">
        <is>
          <t>HABITtable(海之戀)</t>
        </is>
      </c>
      <c r="S326" s="3" t="inlineStr">
        <is>
          <t>****31686768</t>
        </is>
      </c>
      <c r="T326" s="3" t="inlineStr">
        <is>
          <t>****31686768</t>
        </is>
      </c>
      <c r="U326" s="3" t="inlineStr">
        <is>
          <t>***** 下G21號舖</t>
        </is>
      </c>
      <c r="V326" s="3" t="inlineStr">
        <is>
          <t>香港</t>
        </is>
      </c>
      <c r="W326" s="3" t="inlineStr">
        <is>
          <t>纸袋【Preminum黑】/ 箱出, 无纺布【Preminum黑】/ 箱出</t>
        </is>
      </c>
      <c r="X326" s="3" t="inlineStr">
        <is>
          <t>ESS-SFTS-OTMS</t>
        </is>
      </c>
      <c r="Y326" s="3" t="n"/>
      <c r="Z326" s="3" t="inlineStr"/>
      <c r="AA326" s="3" t="inlineStr">
        <is>
          <t>寄付月結</t>
        </is>
      </c>
      <c r="AB326">
        <f>IFERROR(VLOOKUP(Q326&amp;"",對照表!$A:$B,1,FALSE),"")</f>
        <v/>
      </c>
      <c r="AC326">
        <f>IFERROR(VLOOKUP(Q326&amp;"",對照表!$A:$B,2,FALSE),"")</f>
        <v/>
      </c>
    </row>
    <row r="327">
      <c r="A327" s="3" t="inlineStr">
        <is>
          <t>SF5116616188460</t>
        </is>
      </c>
      <c r="B327" s="3" t="n">
        <v>58424825741409</v>
      </c>
      <c r="C327" s="3" t="inlineStr">
        <is>
          <t>派送中</t>
        </is>
      </c>
      <c r="D327" s="3" t="inlineStr">
        <is>
          <t>2026-07-03 10:28:55</t>
        </is>
      </c>
      <c r="E327" s="3" t="n"/>
      <c r="F327" s="3" t="n">
        <v>0.67</v>
      </c>
      <c r="G327" s="3" t="n">
        <v>1</v>
      </c>
      <c r="H327" s="3" t="n"/>
      <c r="I327" s="3" t="inlineStr"/>
      <c r="J327" s="3" t="inlineStr">
        <is>
          <t>Keeta</t>
        </is>
      </c>
      <c r="K327" s="3" t="inlineStr">
        <is>
          <t>****9568</t>
        </is>
      </c>
      <c r="L327" s="3" t="n"/>
      <c r="M327" s="3" t="inlineStr">
        <is>
          <t>***** 物流中心5樓</t>
        </is>
      </c>
      <c r="N327" s="3" t="inlineStr">
        <is>
          <t>北区</t>
        </is>
      </c>
      <c r="O327" s="3" t="inlineStr">
        <is>
          <t>香港</t>
        </is>
      </c>
      <c r="P327" s="3" t="inlineStr">
        <is>
          <t>香港特别行政区</t>
        </is>
      </c>
      <c r="Q327" s="3" t="n">
        <v>487937</v>
      </c>
      <c r="R327" s="3" t="inlineStr">
        <is>
          <t>一品雲南米線MAONSHAN</t>
        </is>
      </c>
      <c r="S327" s="3" t="inlineStr">
        <is>
          <t>****67600408</t>
        </is>
      </c>
      <c r="T327" s="3" t="inlineStr">
        <is>
          <t>****67600408</t>
        </is>
      </c>
      <c r="U327" s="3" t="inlineStr">
        <is>
          <t>***** G100號舖</t>
        </is>
      </c>
      <c r="V327" s="3" t="inlineStr">
        <is>
          <t>香港</t>
        </is>
      </c>
      <c r="W327" s="3" t="inlineStr">
        <is>
          <t>塑料袋【小】/ 扎出</t>
        </is>
      </c>
      <c r="X327" s="3" t="inlineStr">
        <is>
          <t>ESS-SFTS-OTMS</t>
        </is>
      </c>
      <c r="Y327" s="3" t="n"/>
      <c r="Z327" s="3" t="inlineStr"/>
      <c r="AA327" s="3" t="inlineStr">
        <is>
          <t>寄付月結</t>
        </is>
      </c>
      <c r="AB327">
        <f>IFERROR(VLOOKUP(Q327&amp;"",對照表!$A:$B,1,FALSE),"")</f>
        <v/>
      </c>
      <c r="AC327">
        <f>IFERROR(VLOOKUP(Q327&amp;"",對照表!$A:$B,2,FALSE),"")</f>
        <v/>
      </c>
    </row>
    <row r="328">
      <c r="A328" s="3" t="inlineStr">
        <is>
          <t>SF5116616187997</t>
        </is>
      </c>
      <c r="B328" s="3" t="n">
        <v>58424825708630</v>
      </c>
      <c r="C328" s="3" t="inlineStr">
        <is>
          <t>已簽收</t>
        </is>
      </c>
      <c r="D328" s="3" t="inlineStr">
        <is>
          <t>2026-07-03 13:45:12</t>
        </is>
      </c>
      <c r="E328" s="3" t="inlineStr">
        <is>
          <t>2026-07-07 12:08</t>
        </is>
      </c>
      <c r="F328" s="3" t="n">
        <v>23.2</v>
      </c>
      <c r="G328" s="3" t="n">
        <v>2</v>
      </c>
      <c r="H328" s="3" t="n"/>
      <c r="I328" s="3" t="inlineStr"/>
      <c r="J328" s="3" t="inlineStr">
        <is>
          <t>Keeta</t>
        </is>
      </c>
      <c r="K328" s="3" t="inlineStr">
        <is>
          <t>****9568</t>
        </is>
      </c>
      <c r="L328" s="3" t="n"/>
      <c r="M328" s="3" t="inlineStr">
        <is>
          <t>***** 物流中心5樓</t>
        </is>
      </c>
      <c r="N328" s="3" t="inlineStr">
        <is>
          <t>北区</t>
        </is>
      </c>
      <c r="O328" s="3" t="inlineStr">
        <is>
          <t>香港</t>
        </is>
      </c>
      <c r="P328" s="3" t="inlineStr">
        <is>
          <t>香港特别行政区</t>
        </is>
      </c>
      <c r="Q328" s="3" t="n">
        <v>448802</v>
      </c>
      <c r="R328" s="3" t="inlineStr">
        <is>
          <t>成記（爆款米線手打檸檬茶）</t>
        </is>
      </c>
      <c r="S328" s="3" t="inlineStr">
        <is>
          <t>****5636</t>
        </is>
      </c>
      <c r="T328" s="3" t="inlineStr">
        <is>
          <t>****5636</t>
        </is>
      </c>
      <c r="U328" s="3" t="inlineStr">
        <is>
          <t>***** 座12楼7室</t>
        </is>
      </c>
      <c r="V328" s="3" t="inlineStr">
        <is>
          <t>香港</t>
        </is>
      </c>
      <c r="W328" s="3" t="inlineStr">
        <is>
          <t>无纺布【规格四大号】/ 箱出</t>
        </is>
      </c>
      <c r="X328" s="3" t="inlineStr">
        <is>
          <t>ESS-SFTS-OTMS</t>
        </is>
      </c>
      <c r="Y328" s="3" t="n"/>
      <c r="Z328" s="3" t="inlineStr"/>
      <c r="AA328" s="3" t="inlineStr">
        <is>
          <t>寄付月結</t>
        </is>
      </c>
      <c r="AB328">
        <f>IFERROR(VLOOKUP(Q328&amp;"",對照表!$A:$B,1,FALSE),"")</f>
        <v/>
      </c>
      <c r="AC328">
        <f>IFERROR(VLOOKUP(Q328&amp;"",對照表!$A:$B,2,FALSE),"")</f>
        <v/>
      </c>
    </row>
    <row r="329">
      <c r="A329" s="3" t="inlineStr">
        <is>
          <t>SF5116616188151</t>
        </is>
      </c>
      <c r="B329" s="3" t="n">
        <v>58424825741343</v>
      </c>
      <c r="C329" s="3" t="inlineStr">
        <is>
          <t>已簽收</t>
        </is>
      </c>
      <c r="D329" s="3" t="inlineStr">
        <is>
          <t>2026-07-03 11:10:32</t>
        </is>
      </c>
      <c r="E329" s="3" t="inlineStr">
        <is>
          <t>2026-07-04 15:55</t>
        </is>
      </c>
      <c r="F329" s="3" t="n">
        <v>45</v>
      </c>
      <c r="G329" s="3" t="n">
        <v>3</v>
      </c>
      <c r="H329" s="3" t="n"/>
      <c r="I329" s="3" t="inlineStr"/>
      <c r="J329" s="3" t="inlineStr">
        <is>
          <t>Keeta</t>
        </is>
      </c>
      <c r="K329" s="3" t="inlineStr">
        <is>
          <t>****9568</t>
        </is>
      </c>
      <c r="L329" s="3" t="n"/>
      <c r="M329" s="3" t="inlineStr">
        <is>
          <t>***** 物流中心5樓</t>
        </is>
      </c>
      <c r="N329" s="3" t="inlineStr">
        <is>
          <t>北区</t>
        </is>
      </c>
      <c r="O329" s="3" t="inlineStr">
        <is>
          <t>香港</t>
        </is>
      </c>
      <c r="P329" s="3" t="inlineStr">
        <is>
          <t>香港特别行政区</t>
        </is>
      </c>
      <c r="Q329" s="3" t="n">
        <v>458875</v>
      </c>
      <c r="R329" s="3" t="inlineStr">
        <is>
          <t>十二味(啟德)</t>
        </is>
      </c>
      <c r="S329" s="3" t="inlineStr">
        <is>
          <t>****67900755</t>
        </is>
      </c>
      <c r="T329" s="3" t="inlineStr">
        <is>
          <t>****67900755</t>
        </is>
      </c>
      <c r="U329" s="3" t="inlineStr">
        <is>
          <t>***** 1樓10號舖</t>
        </is>
      </c>
      <c r="V329" s="3" t="inlineStr">
        <is>
          <t>香港</t>
        </is>
      </c>
      <c r="W329" s="3" t="inlineStr">
        <is>
          <t>纸袋【通版】/ 箱出</t>
        </is>
      </c>
      <c r="X329" s="3" t="inlineStr">
        <is>
          <t>ESS-SFTS-OTMS</t>
        </is>
      </c>
      <c r="Y329" s="3" t="n"/>
      <c r="Z329" s="3" t="inlineStr"/>
      <c r="AA329" s="3" t="inlineStr">
        <is>
          <t>寄付月結</t>
        </is>
      </c>
      <c r="AB329">
        <f>IFERROR(VLOOKUP(Q329&amp;"",對照表!$A:$B,1,FALSE),"")</f>
        <v/>
      </c>
      <c r="AC329">
        <f>IFERROR(VLOOKUP(Q329&amp;"",對照表!$A:$B,2,FALSE),"")</f>
        <v/>
      </c>
    </row>
    <row r="330">
      <c r="A330" s="3" t="inlineStr">
        <is>
          <t>SF5116616188115</t>
        </is>
      </c>
      <c r="B330" s="3" t="n">
        <v>58424825741336</v>
      </c>
      <c r="C330" s="3" t="inlineStr">
        <is>
          <t>已簽收</t>
        </is>
      </c>
      <c r="D330" s="3" t="inlineStr">
        <is>
          <t>2026-07-03 16:46:38</t>
        </is>
      </c>
      <c r="E330" s="3" t="inlineStr">
        <is>
          <t>2026-07-04 12:27</t>
        </is>
      </c>
      <c r="F330" s="3" t="n">
        <v>23.68</v>
      </c>
      <c r="G330" s="3" t="n">
        <v>2</v>
      </c>
      <c r="H330" s="3" t="n"/>
      <c r="I330" s="3" t="inlineStr"/>
      <c r="J330" s="3" t="inlineStr">
        <is>
          <t>Keeta</t>
        </is>
      </c>
      <c r="K330" s="3" t="inlineStr">
        <is>
          <t>****9568</t>
        </is>
      </c>
      <c r="L330" s="3" t="n"/>
      <c r="M330" s="3" t="inlineStr">
        <is>
          <t>***** 物流中心5樓</t>
        </is>
      </c>
      <c r="N330" s="3" t="inlineStr">
        <is>
          <t>北区</t>
        </is>
      </c>
      <c r="O330" s="3" t="inlineStr">
        <is>
          <t>香港</t>
        </is>
      </c>
      <c r="P330" s="3" t="inlineStr">
        <is>
          <t>香港特别行政区</t>
        </is>
      </c>
      <c r="Q330" s="3" t="n">
        <v>721536320</v>
      </c>
      <c r="R330" s="3" t="inlineStr">
        <is>
          <t>FlatIronSteak(上環)</t>
        </is>
      </c>
      <c r="S330" s="3" t="inlineStr">
        <is>
          <t>****98421883</t>
        </is>
      </c>
      <c r="T330" s="3" t="inlineStr">
        <is>
          <t>****98421883</t>
        </is>
      </c>
      <c r="U330" s="3" t="inlineStr">
        <is>
          <t>***** 及1樓A部份</t>
        </is>
      </c>
      <c r="V330" s="3" t="inlineStr">
        <is>
          <t>香港</t>
        </is>
      </c>
      <c r="W330" s="3" t="inlineStr">
        <is>
          <t>纸袋【Preminum黑】/ 箱出, 无纺布【Preminum黑】/ 箱出</t>
        </is>
      </c>
      <c r="X330" s="3" t="inlineStr">
        <is>
          <t>ESS-SFTS-OTMS</t>
        </is>
      </c>
      <c r="Y330" s="3" t="n"/>
      <c r="Z330" s="3" t="inlineStr"/>
      <c r="AA330" s="3" t="inlineStr">
        <is>
          <t>寄付月結</t>
        </is>
      </c>
      <c r="AB330">
        <f>IFERROR(VLOOKUP(Q330&amp;"",對照表!$A:$B,1,FALSE),"")</f>
        <v/>
      </c>
      <c r="AC330">
        <f>IFERROR(VLOOKUP(Q330&amp;"",對照表!$A:$B,2,FALSE),"")</f>
        <v/>
      </c>
    </row>
    <row r="331">
      <c r="A331" s="3" t="inlineStr">
        <is>
          <t>SF5116616188276</t>
        </is>
      </c>
      <c r="B331" s="3" t="n">
        <v>58424825741366</v>
      </c>
      <c r="C331" s="3" t="inlineStr">
        <is>
          <t>已簽收</t>
        </is>
      </c>
      <c r="D331" s="3" t="inlineStr">
        <is>
          <t>2026-07-03 10:22:16</t>
        </is>
      </c>
      <c r="E331" s="3" t="inlineStr">
        <is>
          <t>2026-07-04 13:52</t>
        </is>
      </c>
      <c r="F331" s="3" t="n">
        <v>1.2</v>
      </c>
      <c r="G331" s="3" t="n">
        <v>1</v>
      </c>
      <c r="H331" s="3" t="n"/>
      <c r="I331" s="3" t="inlineStr"/>
      <c r="J331" s="3" t="inlineStr">
        <is>
          <t>Keeta</t>
        </is>
      </c>
      <c r="K331" s="3" t="inlineStr">
        <is>
          <t>****9568</t>
        </is>
      </c>
      <c r="L331" s="3" t="n"/>
      <c r="M331" s="3" t="inlineStr">
        <is>
          <t>***** 物流中心5樓</t>
        </is>
      </c>
      <c r="N331" s="3" t="inlineStr">
        <is>
          <t>北区</t>
        </is>
      </c>
      <c r="O331" s="3" t="inlineStr">
        <is>
          <t>香港</t>
        </is>
      </c>
      <c r="P331" s="3" t="inlineStr">
        <is>
          <t>香港特别行政区</t>
        </is>
      </c>
      <c r="Q331" s="3" t="n">
        <v>763864</v>
      </c>
      <c r="R331" s="3" t="inlineStr">
        <is>
          <t>一家OneFamily</t>
        </is>
      </c>
      <c r="S331" s="3" t="inlineStr">
        <is>
          <t>****36192478</t>
        </is>
      </c>
      <c r="T331" s="3" t="inlineStr">
        <is>
          <t>****36192478</t>
        </is>
      </c>
      <c r="U331" s="3" t="inlineStr">
        <is>
          <t>***** g Kong</t>
        </is>
      </c>
      <c r="V331" s="3" t="inlineStr">
        <is>
          <t>香港</t>
        </is>
      </c>
      <c r="W331" s="3" t="inlineStr">
        <is>
          <t>塑料袋【大】/ 扎出</t>
        </is>
      </c>
      <c r="X331" s="3" t="inlineStr">
        <is>
          <t>ESS-SFTS-OTMS</t>
        </is>
      </c>
      <c r="Y331" s="3" t="n"/>
      <c r="Z331" s="3" t="inlineStr"/>
      <c r="AA331" s="3" t="inlineStr">
        <is>
          <t>寄付月結</t>
        </is>
      </c>
      <c r="AB331">
        <f>IFERROR(VLOOKUP(Q331&amp;"",對照表!$A:$B,1,FALSE),"")</f>
        <v/>
      </c>
      <c r="AC331">
        <f>IFERROR(VLOOKUP(Q331&amp;"",對照表!$A:$B,2,FALSE),"")</f>
        <v/>
      </c>
    </row>
    <row r="332">
      <c r="A332" s="3" t="inlineStr">
        <is>
          <t>SF5116616188249</t>
        </is>
      </c>
      <c r="B332" s="3" t="n">
        <v>58424825741360</v>
      </c>
      <c r="C332" s="3" t="inlineStr">
        <is>
          <t>已簽收</t>
        </is>
      </c>
      <c r="D332" s="3" t="inlineStr">
        <is>
          <t>2026-07-03 13:49:27</t>
        </is>
      </c>
      <c r="E332" s="3" t="inlineStr">
        <is>
          <t>2026-07-04 10:22</t>
        </is>
      </c>
      <c r="F332" s="3" t="n">
        <v>34.8</v>
      </c>
      <c r="G332" s="3" t="n">
        <v>3</v>
      </c>
      <c r="H332" s="3" t="n"/>
      <c r="I332" s="3" t="inlineStr"/>
      <c r="J332" s="3" t="inlineStr">
        <is>
          <t>Keeta</t>
        </is>
      </c>
      <c r="K332" s="3" t="inlineStr">
        <is>
          <t>****9568</t>
        </is>
      </c>
      <c r="L332" s="3" t="n"/>
      <c r="M332" s="3" t="inlineStr">
        <is>
          <t>***** 物流中心5樓</t>
        </is>
      </c>
      <c r="N332" s="3" t="inlineStr">
        <is>
          <t>北区</t>
        </is>
      </c>
      <c r="O332" s="3" t="inlineStr">
        <is>
          <t>香港</t>
        </is>
      </c>
      <c r="P332" s="3" t="inlineStr">
        <is>
          <t>香港特别行政区</t>
        </is>
      </c>
      <c r="Q332" s="3" t="n">
        <v>721534402</v>
      </c>
      <c r="R332" s="3" t="inlineStr">
        <is>
          <t>六壹淥打邊爐</t>
        </is>
      </c>
      <c r="S332" s="3" t="inlineStr">
        <is>
          <t>****65883420</t>
        </is>
      </c>
      <c r="T332" s="3" t="inlineStr">
        <is>
          <t>****65883420</t>
        </is>
      </c>
      <c r="U332" s="3" t="inlineStr">
        <is>
          <t>***** 協興大廈6樓</t>
        </is>
      </c>
      <c r="V332" s="3" t="inlineStr">
        <is>
          <t>香港</t>
        </is>
      </c>
      <c r="W332" s="3" t="inlineStr">
        <is>
          <t>无纺布【规格四大号】/ 箱出</t>
        </is>
      </c>
      <c r="X332" s="3" t="inlineStr">
        <is>
          <t>ESS-SFTS-OTMS</t>
        </is>
      </c>
      <c r="Y332" s="3" t="n"/>
      <c r="Z332" s="3" t="inlineStr"/>
      <c r="AA332" s="3" t="inlineStr">
        <is>
          <t>寄付月結</t>
        </is>
      </c>
      <c r="AB332">
        <f>IFERROR(VLOOKUP(Q332&amp;"",對照表!$A:$B,1,FALSE),"")</f>
        <v/>
      </c>
      <c r="AC332">
        <f>IFERROR(VLOOKUP(Q332&amp;"",對照表!$A:$B,2,FALSE),"")</f>
        <v/>
      </c>
    </row>
    <row r="333">
      <c r="A333" s="3" t="inlineStr">
        <is>
          <t>SF5116616188133</t>
        </is>
      </c>
      <c r="B333" s="3" t="n">
        <v>58424825741339</v>
      </c>
      <c r="C333" s="3" t="inlineStr">
        <is>
          <t>已簽收</t>
        </is>
      </c>
      <c r="D333" s="3" t="inlineStr">
        <is>
          <t>2026-07-03 11:36:16</t>
        </is>
      </c>
      <c r="E333" s="3" t="inlineStr">
        <is>
          <t>2026-07-04 17:13</t>
        </is>
      </c>
      <c r="F333" s="3" t="n">
        <v>30.3</v>
      </c>
      <c r="G333" s="3" t="n">
        <v>3</v>
      </c>
      <c r="H333" s="3" t="n"/>
      <c r="I333" s="3" t="inlineStr"/>
      <c r="J333" s="3" t="inlineStr">
        <is>
          <t>Keeta</t>
        </is>
      </c>
      <c r="K333" s="3" t="inlineStr">
        <is>
          <t>****9568</t>
        </is>
      </c>
      <c r="L333" s="3" t="n"/>
      <c r="M333" s="3" t="inlineStr">
        <is>
          <t>***** 物流中心5樓</t>
        </is>
      </c>
      <c r="N333" s="3" t="inlineStr">
        <is>
          <t>北区</t>
        </is>
      </c>
      <c r="O333" s="3" t="inlineStr">
        <is>
          <t>香港</t>
        </is>
      </c>
      <c r="P333" s="3" t="inlineStr">
        <is>
          <t>香港特别行政区</t>
        </is>
      </c>
      <c r="Q333" s="3" t="n">
        <v>721428337</v>
      </c>
      <c r="R333" s="3" t="inlineStr">
        <is>
          <t>窯雞王（土瓜灣店）</t>
        </is>
      </c>
      <c r="S333" s="3" t="inlineStr">
        <is>
          <t>****60886850</t>
        </is>
      </c>
      <c r="T333" s="3" t="inlineStr">
        <is>
          <t>****60886850</t>
        </is>
      </c>
      <c r="U333" s="3" t="inlineStr">
        <is>
          <t>***** 地下11號舖</t>
        </is>
      </c>
      <c r="V333" s="3" t="inlineStr">
        <is>
          <t>香港</t>
        </is>
      </c>
      <c r="W333" s="3" t="inlineStr">
        <is>
          <t>无纺布【规格三中号】/ 箱出</t>
        </is>
      </c>
      <c r="X333" s="3" t="inlineStr">
        <is>
          <t>ESS-SFTS-OTMS</t>
        </is>
      </c>
      <c r="Y333" s="3" t="n"/>
      <c r="Z333" s="3" t="inlineStr"/>
      <c r="AA333" s="3" t="inlineStr">
        <is>
          <t>寄付月結</t>
        </is>
      </c>
      <c r="AB333">
        <f>IFERROR(VLOOKUP(Q333&amp;"",對照表!$A:$B,1,FALSE),"")</f>
        <v/>
      </c>
      <c r="AC333">
        <f>IFERROR(VLOOKUP(Q333&amp;"",對照表!$A:$B,2,FALSE),"")</f>
        <v/>
      </c>
    </row>
    <row r="334">
      <c r="A334" s="3" t="inlineStr">
        <is>
          <t>SF5116616188346</t>
        </is>
      </c>
      <c r="B334" s="3" t="n">
        <v>58424825741380</v>
      </c>
      <c r="C334" s="3" t="inlineStr">
        <is>
          <t>已簽收</t>
        </is>
      </c>
      <c r="D334" s="3" t="inlineStr">
        <is>
          <t>2026-07-03 11:36:15</t>
        </is>
      </c>
      <c r="E334" s="3" t="inlineStr">
        <is>
          <t>2026-07-04 13:14</t>
        </is>
      </c>
      <c r="F334" s="3" t="n">
        <v>30.3</v>
      </c>
      <c r="G334" s="3" t="n">
        <v>3</v>
      </c>
      <c r="H334" s="3" t="n"/>
      <c r="I334" s="3" t="inlineStr"/>
      <c r="J334" s="3" t="inlineStr">
        <is>
          <t>Keeta</t>
        </is>
      </c>
      <c r="K334" s="3" t="inlineStr">
        <is>
          <t>****9568</t>
        </is>
      </c>
      <c r="L334" s="3" t="n"/>
      <c r="M334" s="3" t="inlineStr">
        <is>
          <t>***** 物流中心5樓</t>
        </is>
      </c>
      <c r="N334" s="3" t="inlineStr">
        <is>
          <t>北区</t>
        </is>
      </c>
      <c r="O334" s="3" t="inlineStr">
        <is>
          <t>香港</t>
        </is>
      </c>
      <c r="P334" s="3" t="inlineStr">
        <is>
          <t>香港特别行政区</t>
        </is>
      </c>
      <c r="Q334" s="3" t="n">
        <v>721449356</v>
      </c>
      <c r="R334" s="3" t="inlineStr">
        <is>
          <t>薔紅特色茶餐廳金牌脆皮燒雞（奧海城店）</t>
        </is>
      </c>
      <c r="S334" s="3" t="inlineStr">
        <is>
          <t>****61084633</t>
        </is>
      </c>
      <c r="T334" s="3" t="inlineStr">
        <is>
          <t>****61084633</t>
        </is>
      </c>
      <c r="U334" s="3" t="inlineStr">
        <is>
          <t>***** 食代R3號檔</t>
        </is>
      </c>
      <c r="V334" s="3" t="inlineStr">
        <is>
          <t>香港</t>
        </is>
      </c>
      <c r="W334" s="3" t="inlineStr">
        <is>
          <t>无纺布【规格三中号】/ 箱出</t>
        </is>
      </c>
      <c r="X334" s="3" t="inlineStr">
        <is>
          <t>ESS-SFTS-OTMS</t>
        </is>
      </c>
      <c r="Y334" s="3" t="n"/>
      <c r="Z334" s="3" t="inlineStr"/>
      <c r="AA334" s="3" t="inlineStr">
        <is>
          <t>寄付月結</t>
        </is>
      </c>
      <c r="AB334">
        <f>IFERROR(VLOOKUP(Q334&amp;"",對照表!$A:$B,1,FALSE),"")</f>
        <v/>
      </c>
      <c r="AC334">
        <f>IFERROR(VLOOKUP(Q334&amp;"",對照表!$A:$B,2,FALSE),"")</f>
        <v/>
      </c>
    </row>
    <row r="335">
      <c r="A335" s="3" t="inlineStr">
        <is>
          <t>SF5116616188442</t>
        </is>
      </c>
      <c r="B335" s="3" t="n">
        <v>58424825741403</v>
      </c>
      <c r="C335" s="3" t="inlineStr">
        <is>
          <t>已簽收</t>
        </is>
      </c>
      <c r="D335" s="3" t="inlineStr">
        <is>
          <t>2026-07-03 10:31:21</t>
        </is>
      </c>
      <c r="E335" s="3" t="inlineStr">
        <is>
          <t>2026-07-04 11:42</t>
        </is>
      </c>
      <c r="F335" s="3" t="n">
        <v>11.6</v>
      </c>
      <c r="G335" s="3" t="n">
        <v>1</v>
      </c>
      <c r="H335" s="3" t="n"/>
      <c r="I335" s="3" t="inlineStr"/>
      <c r="J335" s="3" t="inlineStr">
        <is>
          <t>Keeta</t>
        </is>
      </c>
      <c r="K335" s="3" t="inlineStr">
        <is>
          <t>****9568</t>
        </is>
      </c>
      <c r="L335" s="3" t="n"/>
      <c r="M335" s="3" t="inlineStr">
        <is>
          <t>***** 物流中心5樓</t>
        </is>
      </c>
      <c r="N335" s="3" t="inlineStr">
        <is>
          <t>北区</t>
        </is>
      </c>
      <c r="O335" s="3" t="inlineStr">
        <is>
          <t>香港</t>
        </is>
      </c>
      <c r="P335" s="3" t="inlineStr">
        <is>
          <t>香港特别行政区</t>
        </is>
      </c>
      <c r="Q335" s="3" t="n">
        <v>451789</v>
      </c>
      <c r="R335" s="3" t="inlineStr">
        <is>
          <t>立鮨(旺角)SushiTachi(MongKok)</t>
        </is>
      </c>
      <c r="S335" s="3" t="inlineStr">
        <is>
          <t>****26383010</t>
        </is>
      </c>
      <c r="T335" s="3" t="inlineStr">
        <is>
          <t>****26383010</t>
        </is>
      </c>
      <c r="U335" s="3" t="inlineStr">
        <is>
          <t>***** 下1-2號舖</t>
        </is>
      </c>
      <c r="V335" s="3" t="inlineStr">
        <is>
          <t>香港</t>
        </is>
      </c>
      <c r="W335" s="3" t="inlineStr">
        <is>
          <t>无纺布【规格四大号】/ 箱出</t>
        </is>
      </c>
      <c r="X335" s="3" t="inlineStr">
        <is>
          <t>ESS-SFTS-OTMS</t>
        </is>
      </c>
      <c r="Y335" s="3" t="n"/>
      <c r="Z335" s="3" t="inlineStr"/>
      <c r="AA335" s="3" t="inlineStr">
        <is>
          <t>寄付月結</t>
        </is>
      </c>
      <c r="AB335">
        <f>IFERROR(VLOOKUP(Q335&amp;"",對照表!$A:$B,1,FALSE),"")</f>
        <v/>
      </c>
      <c r="AC335">
        <f>IFERROR(VLOOKUP(Q335&amp;"",對照表!$A:$B,2,FALSE),"")</f>
        <v/>
      </c>
    </row>
    <row r="336">
      <c r="A336" s="3" t="inlineStr">
        <is>
          <t>SF5116616188294</t>
        </is>
      </c>
      <c r="B336" s="3" t="n">
        <v>58424825741371</v>
      </c>
      <c r="C336" s="3" t="inlineStr">
        <is>
          <t>已簽收</t>
        </is>
      </c>
      <c r="D336" s="3" t="inlineStr">
        <is>
          <t>2026-07-03 10:31:15</t>
        </is>
      </c>
      <c r="E336" s="3" t="inlineStr">
        <is>
          <t>2026-07-04 16:35</t>
        </is>
      </c>
      <c r="F336" s="3" t="n">
        <v>11.6</v>
      </c>
      <c r="G336" s="3" t="n">
        <v>1</v>
      </c>
      <c r="H336" s="3" t="n"/>
      <c r="I336" s="3" t="inlineStr"/>
      <c r="J336" s="3" t="inlineStr">
        <is>
          <t>Keeta</t>
        </is>
      </c>
      <c r="K336" s="3" t="inlineStr">
        <is>
          <t>****9568</t>
        </is>
      </c>
      <c r="L336" s="3" t="n"/>
      <c r="M336" s="3" t="inlineStr">
        <is>
          <t>***** 物流中心5樓</t>
        </is>
      </c>
      <c r="N336" s="3" t="inlineStr">
        <is>
          <t>北区</t>
        </is>
      </c>
      <c r="O336" s="3" t="inlineStr">
        <is>
          <t>香港</t>
        </is>
      </c>
      <c r="P336" s="3" t="inlineStr">
        <is>
          <t>香港特别行政区</t>
        </is>
      </c>
      <c r="Q336" s="3" t="n">
        <v>451893</v>
      </c>
      <c r="R336" s="3" t="inlineStr">
        <is>
          <t>泰鮮味馬鞍山隱世泰味試吓就知</t>
        </is>
      </c>
      <c r="S336" s="3" t="inlineStr">
        <is>
          <t>****62166264</t>
        </is>
      </c>
      <c r="T336" s="3" t="inlineStr">
        <is>
          <t>****62166264</t>
        </is>
      </c>
      <c r="U336" s="3" t="inlineStr">
        <is>
          <t>***** 地下24號舖</t>
        </is>
      </c>
      <c r="V336" s="3" t="inlineStr">
        <is>
          <t>香港</t>
        </is>
      </c>
      <c r="W336" s="3" t="inlineStr">
        <is>
          <t>无纺布【规格四大号】/ 箱出</t>
        </is>
      </c>
      <c r="X336" s="3" t="inlineStr">
        <is>
          <t>ESS-SFTS-OTMS</t>
        </is>
      </c>
      <c r="Y336" s="3" t="n"/>
      <c r="Z336" s="3" t="inlineStr"/>
      <c r="AA336" s="3" t="inlineStr">
        <is>
          <t>寄付月結</t>
        </is>
      </c>
      <c r="AB336">
        <f>IFERROR(VLOOKUP(Q336&amp;"",對照表!$A:$B,1,FALSE),"")</f>
        <v/>
      </c>
      <c r="AC336">
        <f>IFERROR(VLOOKUP(Q336&amp;"",對照表!$A:$B,2,FALSE),"")</f>
        <v/>
      </c>
    </row>
    <row r="337">
      <c r="A337" s="3" t="inlineStr">
        <is>
          <t>SF5116616188488</t>
        </is>
      </c>
      <c r="B337" s="3" t="n">
        <v>58424825741416</v>
      </c>
      <c r="C337" s="3" t="inlineStr">
        <is>
          <t>已簽收</t>
        </is>
      </c>
      <c r="D337" s="3" t="inlineStr">
        <is>
          <t>2026-07-03 13:45:11</t>
        </is>
      </c>
      <c r="E337" s="3" t="inlineStr">
        <is>
          <t>2026-07-04 12:49</t>
        </is>
      </c>
      <c r="F337" s="3" t="n">
        <v>23.2</v>
      </c>
      <c r="G337" s="3" t="n">
        <v>2</v>
      </c>
      <c r="H337" s="3" t="n"/>
      <c r="I337" s="3" t="inlineStr"/>
      <c r="J337" s="3" t="inlineStr">
        <is>
          <t>Keeta</t>
        </is>
      </c>
      <c r="K337" s="3" t="inlineStr">
        <is>
          <t>****9568</t>
        </is>
      </c>
      <c r="L337" s="3" t="n"/>
      <c r="M337" s="3" t="inlineStr">
        <is>
          <t>***** 物流中心5樓</t>
        </is>
      </c>
      <c r="N337" s="3" t="inlineStr">
        <is>
          <t>北区</t>
        </is>
      </c>
      <c r="O337" s="3" t="inlineStr">
        <is>
          <t>香港</t>
        </is>
      </c>
      <c r="P337" s="3" t="inlineStr">
        <is>
          <t>香港特别行政区</t>
        </is>
      </c>
      <c r="Q337" s="3" t="n">
        <v>464856</v>
      </c>
      <c r="R337" s="3" t="inlineStr">
        <is>
          <t>食鮮辣滷車仔麵（上環）（車仔麵燒烤）</t>
        </is>
      </c>
      <c r="S337" s="3" t="inlineStr">
        <is>
          <t>****23990288</t>
        </is>
      </c>
      <c r="T337" s="3" t="inlineStr">
        <is>
          <t>****23990288</t>
        </is>
      </c>
      <c r="U337" s="3" t="inlineStr">
        <is>
          <t>***** 西28號地舖</t>
        </is>
      </c>
      <c r="V337" s="3" t="inlineStr">
        <is>
          <t>香港</t>
        </is>
      </c>
      <c r="W337" s="3" t="inlineStr">
        <is>
          <t>无纺布【规格四大号】/ 箱出</t>
        </is>
      </c>
      <c r="X337" s="3" t="inlineStr">
        <is>
          <t>ESS-SFTS-OTMS</t>
        </is>
      </c>
      <c r="Y337" s="3" t="n"/>
      <c r="Z337" s="3" t="inlineStr"/>
      <c r="AA337" s="3" t="inlineStr">
        <is>
          <t>寄付月結</t>
        </is>
      </c>
      <c r="AB337">
        <f>IFERROR(VLOOKUP(Q337&amp;"",對照表!$A:$B,1,FALSE),"")</f>
        <v/>
      </c>
      <c r="AC337">
        <f>IFERROR(VLOOKUP(Q337&amp;"",對照表!$A:$B,2,FALSE),"")</f>
        <v/>
      </c>
    </row>
    <row r="338">
      <c r="A338" s="3" t="inlineStr">
        <is>
          <t>SF5116616187988</t>
        </is>
      </c>
      <c r="B338" s="3" t="n">
        <v>58424825708629</v>
      </c>
      <c r="C338" s="3" t="inlineStr">
        <is>
          <t>已簽收</t>
        </is>
      </c>
      <c r="D338" s="3" t="inlineStr">
        <is>
          <t>2026-07-03 14:22:09</t>
        </is>
      </c>
      <c r="E338" s="3" t="inlineStr">
        <is>
          <t>2026-07-04 09:51</t>
        </is>
      </c>
      <c r="F338" s="3" t="n">
        <v>30.49</v>
      </c>
      <c r="G338" s="3" t="n">
        <v>4</v>
      </c>
      <c r="H338" s="3" t="n"/>
      <c r="I338" s="3" t="inlineStr"/>
      <c r="J338" s="3" t="inlineStr">
        <is>
          <t>Keeta</t>
        </is>
      </c>
      <c r="K338" s="3" t="inlineStr">
        <is>
          <t>****9568</t>
        </is>
      </c>
      <c r="L338" s="3" t="n"/>
      <c r="M338" s="3" t="inlineStr">
        <is>
          <t>***** 物流中心5樓</t>
        </is>
      </c>
      <c r="N338" s="3" t="inlineStr">
        <is>
          <t>北区</t>
        </is>
      </c>
      <c r="O338" s="3" t="inlineStr">
        <is>
          <t>香港</t>
        </is>
      </c>
      <c r="P338" s="3" t="inlineStr">
        <is>
          <t>香港特别行政区</t>
        </is>
      </c>
      <c r="Q338" s="3" t="n">
        <v>609403</v>
      </c>
      <c r="R338" s="3" t="inlineStr">
        <is>
          <t>品味餃招牌自家手工餃子</t>
        </is>
      </c>
      <c r="S338" s="3" t="inlineStr">
        <is>
          <t>****63688498</t>
        </is>
      </c>
      <c r="T338" s="3" t="inlineStr">
        <is>
          <t>****63688498</t>
        </is>
      </c>
      <c r="U338" s="3" t="inlineStr">
        <is>
          <t>***** 花園3B地舖</t>
        </is>
      </c>
      <c r="V338" s="3" t="inlineStr">
        <is>
          <t>香港</t>
        </is>
      </c>
      <c r="W338" s="3" t="inlineStr">
        <is>
          <t>无纺布【规格三中号】/ 箱出, 无纺布【规格四大号】/ 箱出, 塑料袋【小】/ 扎出</t>
        </is>
      </c>
      <c r="X338" s="3" t="inlineStr">
        <is>
          <t>ESS-SFTS-OTMS</t>
        </is>
      </c>
      <c r="Y338" s="3" t="n"/>
      <c r="Z338" s="3" t="inlineStr"/>
      <c r="AA338" s="3" t="inlineStr">
        <is>
          <t>寄付月結</t>
        </is>
      </c>
      <c r="AB338">
        <f>IFERROR(VLOOKUP(Q338&amp;"",對照表!$A:$B,1,FALSE),"")</f>
        <v/>
      </c>
      <c r="AC338">
        <f>IFERROR(VLOOKUP(Q338&amp;"",對照表!$A:$B,2,FALSE),"")</f>
        <v/>
      </c>
    </row>
    <row r="339">
      <c r="A339" s="3" t="inlineStr">
        <is>
          <t>SF5116616188285</t>
        </is>
      </c>
      <c r="B339" s="3" t="n">
        <v>58424825741369</v>
      </c>
      <c r="C339" s="3" t="inlineStr">
        <is>
          <t>已簽收</t>
        </is>
      </c>
      <c r="D339" s="3" t="inlineStr">
        <is>
          <t>2026-07-03 10:22:21</t>
        </is>
      </c>
      <c r="E339" s="3" t="inlineStr">
        <is>
          <t>2026-07-04 11:36</t>
        </is>
      </c>
      <c r="F339" s="3" t="n">
        <v>1.2</v>
      </c>
      <c r="G339" s="3" t="n">
        <v>1</v>
      </c>
      <c r="H339" s="3" t="n"/>
      <c r="I339" s="3" t="inlineStr"/>
      <c r="J339" s="3" t="inlineStr">
        <is>
          <t>Keeta</t>
        </is>
      </c>
      <c r="K339" s="3" t="inlineStr">
        <is>
          <t>****9568</t>
        </is>
      </c>
      <c r="L339" s="3" t="n"/>
      <c r="M339" s="3" t="inlineStr">
        <is>
          <t>***** 物流中心5樓</t>
        </is>
      </c>
      <c r="N339" s="3" t="inlineStr">
        <is>
          <t>北区</t>
        </is>
      </c>
      <c r="O339" s="3" t="inlineStr">
        <is>
          <t>香港</t>
        </is>
      </c>
      <c r="P339" s="3" t="inlineStr">
        <is>
          <t>香港特别行政区</t>
        </is>
      </c>
      <c r="Q339" s="3" t="n">
        <v>468045</v>
      </c>
      <c r="R339" s="3" t="inlineStr">
        <is>
          <t>泰風SO(出名海南雞冬陰湯抵食泰國菜)</t>
        </is>
      </c>
      <c r="S339" s="3" t="inlineStr">
        <is>
          <t>****56282028</t>
        </is>
      </c>
      <c r="T339" s="3" t="inlineStr">
        <is>
          <t>****56282028</t>
        </is>
      </c>
      <c r="U339" s="3" t="inlineStr">
        <is>
          <t>***** A76B號舖</t>
        </is>
      </c>
      <c r="V339" s="3" t="inlineStr">
        <is>
          <t>香港</t>
        </is>
      </c>
      <c r="W339" s="3" t="inlineStr">
        <is>
          <t>塑料袋【大】/ 扎出</t>
        </is>
      </c>
      <c r="X339" s="3" t="inlineStr">
        <is>
          <t>ESS-SFTS-OTMS</t>
        </is>
      </c>
      <c r="Y339" s="3" t="n"/>
      <c r="Z339" s="3" t="inlineStr"/>
      <c r="AA339" s="3" t="inlineStr">
        <is>
          <t>寄付月結</t>
        </is>
      </c>
      <c r="AB339">
        <f>IFERROR(VLOOKUP(Q339&amp;"",對照表!$A:$B,1,FALSE),"")</f>
        <v/>
      </c>
      <c r="AC339">
        <f>IFERROR(VLOOKUP(Q339&amp;"",對照表!$A:$B,2,FALSE),"")</f>
        <v/>
      </c>
    </row>
    <row r="340">
      <c r="A340" s="3" t="inlineStr">
        <is>
          <t>SF5116616188576</t>
        </is>
      </c>
      <c r="B340" s="3" t="n">
        <v>58424825741451</v>
      </c>
      <c r="C340" s="3" t="inlineStr">
        <is>
          <t>已簽收</t>
        </is>
      </c>
      <c r="D340" s="3" t="inlineStr">
        <is>
          <t>2026-07-03 10:25:26</t>
        </is>
      </c>
      <c r="E340" s="3" t="inlineStr">
        <is>
          <t>2026-07-04 14:29</t>
        </is>
      </c>
      <c r="F340" s="3" t="n">
        <v>1</v>
      </c>
      <c r="G340" s="3" t="n">
        <v>1</v>
      </c>
      <c r="H340" s="3" t="n"/>
      <c r="I340" s="3" t="inlineStr"/>
      <c r="J340" s="3" t="inlineStr">
        <is>
          <t>Keeta</t>
        </is>
      </c>
      <c r="K340" s="3" t="inlineStr">
        <is>
          <t>****9568</t>
        </is>
      </c>
      <c r="L340" s="3" t="n"/>
      <c r="M340" s="3" t="inlineStr">
        <is>
          <t>***** 物流中心5樓</t>
        </is>
      </c>
      <c r="N340" s="3" t="inlineStr">
        <is>
          <t>北区</t>
        </is>
      </c>
      <c r="O340" s="3" t="inlineStr">
        <is>
          <t>香港</t>
        </is>
      </c>
      <c r="P340" s="3" t="inlineStr">
        <is>
          <t>香港特别行政区</t>
        </is>
      </c>
      <c r="Q340" s="3" t="n">
        <v>484842</v>
      </c>
      <c r="R340" s="3" t="inlineStr">
        <is>
          <t>聚興樓（大元邨)粵式秘製手撕雞</t>
        </is>
      </c>
      <c r="S340" s="3" t="inlineStr">
        <is>
          <t>****24505998</t>
        </is>
      </c>
      <c r="T340" s="3" t="inlineStr">
        <is>
          <t>****24505998</t>
        </is>
      </c>
      <c r="U340" s="3" t="inlineStr">
        <is>
          <t>*****  106號鋪</t>
        </is>
      </c>
      <c r="V340" s="3" t="inlineStr">
        <is>
          <t>香港</t>
        </is>
      </c>
      <c r="W340" s="3" t="inlineStr">
        <is>
          <t>塑料袋【大】/ 扎出</t>
        </is>
      </c>
      <c r="X340" s="3" t="inlineStr">
        <is>
          <t>ESS-SFTS-OTMS</t>
        </is>
      </c>
      <c r="Y340" s="3" t="n"/>
      <c r="Z340" s="3" t="inlineStr"/>
      <c r="AA340" s="3" t="inlineStr">
        <is>
          <t>寄付月結</t>
        </is>
      </c>
      <c r="AB340">
        <f>IFERROR(VLOOKUP(Q340&amp;"",對照表!$A:$B,1,FALSE),"")</f>
        <v/>
      </c>
      <c r="AC340">
        <f>IFERROR(VLOOKUP(Q340&amp;"",對照表!$A:$B,2,FALSE),"")</f>
        <v/>
      </c>
    </row>
    <row r="341">
      <c r="A341" s="3" t="inlineStr">
        <is>
          <t>SF5116616188364</t>
        </is>
      </c>
      <c r="B341" s="3" t="n">
        <v>58424825741385</v>
      </c>
      <c r="C341" s="3" t="inlineStr">
        <is>
          <t>已簽收</t>
        </is>
      </c>
      <c r="D341" s="3" t="inlineStr">
        <is>
          <t>2026-07-03 10:31:19</t>
        </is>
      </c>
      <c r="E341" s="3" t="inlineStr">
        <is>
          <t>2026-07-04 11:36</t>
        </is>
      </c>
      <c r="F341" s="3" t="n">
        <v>11.6</v>
      </c>
      <c r="G341" s="3" t="n">
        <v>1</v>
      </c>
      <c r="H341" s="3" t="n"/>
      <c r="I341" s="3" t="inlineStr"/>
      <c r="J341" s="3" t="inlineStr">
        <is>
          <t>Keeta</t>
        </is>
      </c>
      <c r="K341" s="3" t="inlineStr">
        <is>
          <t>****9568</t>
        </is>
      </c>
      <c r="L341" s="3" t="n"/>
      <c r="M341" s="3" t="inlineStr">
        <is>
          <t>***** 物流中心5樓</t>
        </is>
      </c>
      <c r="N341" s="3" t="inlineStr">
        <is>
          <t>北区</t>
        </is>
      </c>
      <c r="O341" s="3" t="inlineStr">
        <is>
          <t>香港</t>
        </is>
      </c>
      <c r="P341" s="3" t="inlineStr">
        <is>
          <t>香港特别行政区</t>
        </is>
      </c>
      <c r="Q341" s="3" t="n">
        <v>721538311</v>
      </c>
      <c r="R341" s="3" t="inlineStr">
        <is>
          <t>一汁一菜ICHIJUISSAI(利園)</t>
        </is>
      </c>
      <c r="S341" s="3" t="inlineStr">
        <is>
          <t>****28386005</t>
        </is>
      </c>
      <c r="T341" s="3" t="inlineStr">
        <is>
          <t>****28386005</t>
        </is>
      </c>
      <c r="U341" s="3" t="inlineStr">
        <is>
          <t>***** LG10號舖</t>
        </is>
      </c>
      <c r="V341" s="3" t="inlineStr">
        <is>
          <t>香港</t>
        </is>
      </c>
      <c r="W341" s="3" t="inlineStr">
        <is>
          <t>无纺布【规格四大号】/ 箱出</t>
        </is>
      </c>
      <c r="X341" s="3" t="inlineStr">
        <is>
          <t>ESS-SFTS-OTMS</t>
        </is>
      </c>
      <c r="Y341" s="3" t="n"/>
      <c r="Z341" s="3" t="inlineStr"/>
      <c r="AA341" s="3" t="inlineStr">
        <is>
          <t>寄付月結</t>
        </is>
      </c>
      <c r="AB341">
        <f>IFERROR(VLOOKUP(Q341&amp;"",對照表!$A:$B,1,FALSE),"")</f>
        <v/>
      </c>
      <c r="AC341">
        <f>IFERROR(VLOOKUP(Q341&amp;"",對照表!$A:$B,2,FALSE),"")</f>
        <v/>
      </c>
    </row>
    <row r="342">
      <c r="A342" s="3" t="inlineStr">
        <is>
          <t>SF5116616188558</t>
        </is>
      </c>
      <c r="B342" s="3" t="n">
        <v>58424825741444</v>
      </c>
      <c r="C342" s="3" t="inlineStr">
        <is>
          <t>已簽收</t>
        </is>
      </c>
      <c r="D342" s="3" t="inlineStr">
        <is>
          <t>2026-07-03 13:51:57</t>
        </is>
      </c>
      <c r="E342" s="3" t="inlineStr">
        <is>
          <t>2026-07-04 09:59</t>
        </is>
      </c>
      <c r="F342" s="3" t="n">
        <v>15</v>
      </c>
      <c r="G342" s="3" t="n">
        <v>1</v>
      </c>
      <c r="H342" s="3" t="n"/>
      <c r="I342" s="3" t="inlineStr"/>
      <c r="J342" s="3" t="inlineStr">
        <is>
          <t>Keeta</t>
        </is>
      </c>
      <c r="K342" s="3" t="inlineStr">
        <is>
          <t>****9568</t>
        </is>
      </c>
      <c r="L342" s="3" t="n"/>
      <c r="M342" s="3" t="inlineStr">
        <is>
          <t>***** 物流中心5樓</t>
        </is>
      </c>
      <c r="N342" s="3" t="inlineStr">
        <is>
          <t>北区</t>
        </is>
      </c>
      <c r="O342" s="3" t="inlineStr">
        <is>
          <t>香港</t>
        </is>
      </c>
      <c r="P342" s="3" t="inlineStr">
        <is>
          <t>香港特别行政区</t>
        </is>
      </c>
      <c r="Q342" s="3" t="n">
        <v>451881</v>
      </c>
      <c r="R342" s="3" t="inlineStr">
        <is>
          <t>君苑小菜館JunyuanKitchen</t>
        </is>
      </c>
      <c r="S342" s="3" t="inlineStr">
        <is>
          <t>****23116088</t>
        </is>
      </c>
      <c r="T342" s="3" t="inlineStr">
        <is>
          <t>****23116088</t>
        </is>
      </c>
      <c r="U342" s="3" t="inlineStr">
        <is>
          <t>***** n Shan</t>
        </is>
      </c>
      <c r="V342" s="3" t="inlineStr">
        <is>
          <t>香港</t>
        </is>
      </c>
      <c r="W342" s="3" t="inlineStr">
        <is>
          <t>纸袋【通版】/ 箱出</t>
        </is>
      </c>
      <c r="X342" s="3" t="inlineStr">
        <is>
          <t>ESS-SFTS-OTMS</t>
        </is>
      </c>
      <c r="Y342" s="3" t="n"/>
      <c r="Z342" s="3" t="inlineStr"/>
      <c r="AA342" s="3" t="inlineStr">
        <is>
          <t>寄付月結</t>
        </is>
      </c>
      <c r="AB342">
        <f>IFERROR(VLOOKUP(Q342&amp;"",對照表!$A:$B,1,FALSE),"")</f>
        <v/>
      </c>
      <c r="AC342">
        <f>IFERROR(VLOOKUP(Q342&amp;"",對照表!$A:$B,2,FALSE),"")</f>
        <v/>
      </c>
    </row>
    <row r="343">
      <c r="A343" s="3" t="inlineStr">
        <is>
          <t>SF5116616188503</t>
        </is>
      </c>
      <c r="B343" s="3" t="n">
        <v>58424825741428</v>
      </c>
      <c r="C343" s="3" t="inlineStr">
        <is>
          <t>已簽收</t>
        </is>
      </c>
      <c r="D343" s="3" t="inlineStr">
        <is>
          <t>2026-07-03 17:03:41</t>
        </is>
      </c>
      <c r="E343" s="3" t="inlineStr">
        <is>
          <t>2026-07-04 10:23</t>
        </is>
      </c>
      <c r="F343" s="3" t="n">
        <v>35.58</v>
      </c>
      <c r="G343" s="3" t="n">
        <v>3</v>
      </c>
      <c r="H343" s="3" t="n"/>
      <c r="I343" s="3" t="inlineStr"/>
      <c r="J343" s="3" t="inlineStr">
        <is>
          <t>Keeta</t>
        </is>
      </c>
      <c r="K343" s="3" t="inlineStr">
        <is>
          <t>****9568</t>
        </is>
      </c>
      <c r="L343" s="3" t="n"/>
      <c r="M343" s="3" t="inlineStr">
        <is>
          <t>***** 物流中心5樓</t>
        </is>
      </c>
      <c r="N343" s="3" t="inlineStr">
        <is>
          <t>北区</t>
        </is>
      </c>
      <c r="O343" s="3" t="inlineStr">
        <is>
          <t>香港</t>
        </is>
      </c>
      <c r="P343" s="3" t="inlineStr">
        <is>
          <t>香港特别行政区</t>
        </is>
      </c>
      <c r="Q343" s="3" t="n">
        <v>471739</v>
      </c>
      <c r="R343" s="3" t="inlineStr">
        <is>
          <t>BrunchClubSupper(銅鑼灣)</t>
        </is>
      </c>
      <c r="S343" s="3" t="inlineStr">
        <is>
          <t>****28902125</t>
        </is>
      </c>
      <c r="T343" s="3" t="inlineStr">
        <is>
          <t>****28902125</t>
        </is>
      </c>
      <c r="U343" s="3" t="inlineStr">
        <is>
          <t>***** 道13號1樓</t>
        </is>
      </c>
      <c r="V343" s="3" t="inlineStr">
        <is>
          <t>香港</t>
        </is>
      </c>
      <c r="W343" s="3" t="inlineStr">
        <is>
          <t>纸袋【Preminum黑】/ 箱出</t>
        </is>
      </c>
      <c r="X343" s="3" t="inlineStr">
        <is>
          <t>ESS-SFTS-OTMS</t>
        </is>
      </c>
      <c r="Y343" s="3" t="n"/>
      <c r="Z343" s="3" t="inlineStr"/>
      <c r="AA343" s="3" t="inlineStr">
        <is>
          <t>寄付月結</t>
        </is>
      </c>
      <c r="AB343">
        <f>IFERROR(VLOOKUP(Q343&amp;"",對照表!$A:$B,1,FALSE),"")</f>
        <v/>
      </c>
      <c r="AC343">
        <f>IFERROR(VLOOKUP(Q343&amp;"",對照表!$A:$B,2,FALSE),"")</f>
        <v/>
      </c>
    </row>
    <row r="344">
      <c r="A344" s="3" t="inlineStr">
        <is>
          <t>SF5116616188230</t>
        </is>
      </c>
      <c r="B344" s="3" t="n">
        <v>58424825741359</v>
      </c>
      <c r="C344" s="3" t="inlineStr">
        <is>
          <t>已簽收</t>
        </is>
      </c>
      <c r="D344" s="3" t="inlineStr">
        <is>
          <t>2026-07-03 17:03:40</t>
        </is>
      </c>
      <c r="E344" s="3" t="inlineStr">
        <is>
          <t>2026-07-04 11:39</t>
        </is>
      </c>
      <c r="F344" s="3" t="n">
        <v>53.36</v>
      </c>
      <c r="G344" s="3" t="n">
        <v>5</v>
      </c>
      <c r="H344" s="3" t="n"/>
      <c r="I344" s="3" t="inlineStr"/>
      <c r="J344" s="3" t="inlineStr">
        <is>
          <t>Keeta</t>
        </is>
      </c>
      <c r="K344" s="3" t="inlineStr">
        <is>
          <t>****9568</t>
        </is>
      </c>
      <c r="L344" s="3" t="n"/>
      <c r="M344" s="3" t="inlineStr">
        <is>
          <t>***** 物流中心5樓</t>
        </is>
      </c>
      <c r="N344" s="3" t="inlineStr">
        <is>
          <t>北区</t>
        </is>
      </c>
      <c r="O344" s="3" t="inlineStr">
        <is>
          <t>香港</t>
        </is>
      </c>
      <c r="P344" s="3" t="inlineStr">
        <is>
          <t>香港特别行政区</t>
        </is>
      </c>
      <c r="Q344" s="3" t="n">
        <v>721439313</v>
      </c>
      <c r="R344" s="3" t="inlineStr">
        <is>
          <t>HABITUtable(圓方)</t>
        </is>
      </c>
      <c r="S344" s="3" t="inlineStr">
        <is>
          <t>****34602787</t>
        </is>
      </c>
      <c r="T344" s="3" t="inlineStr">
        <is>
          <t>****34602787</t>
        </is>
      </c>
      <c r="U344" s="3" t="inlineStr">
        <is>
          <t>***** 1001號舖</t>
        </is>
      </c>
      <c r="V344" s="3" t="inlineStr">
        <is>
          <t>香港</t>
        </is>
      </c>
      <c r="W344" s="3" t="inlineStr">
        <is>
          <t>无纺布【Preminum黑】/ 箱出, 纸袋【Preminum黑】/ 箱出, 无纺布【规格一单杯】/ 箱出</t>
        </is>
      </c>
      <c r="X344" s="3" t="inlineStr">
        <is>
          <t>ESS-SFTS-OTMS</t>
        </is>
      </c>
      <c r="Y344" s="3" t="n"/>
      <c r="Z344" s="3" t="inlineStr"/>
      <c r="AA344" s="3" t="inlineStr">
        <is>
          <t>寄付月結</t>
        </is>
      </c>
      <c r="AB344">
        <f>IFERROR(VLOOKUP(Q344&amp;"",對照表!$A:$B,1,FALSE),"")</f>
        <v/>
      </c>
      <c r="AC344">
        <f>IFERROR(VLOOKUP(Q344&amp;"",對照表!$A:$B,2,FALSE),"")</f>
        <v/>
      </c>
    </row>
    <row r="345">
      <c r="A345" s="3" t="inlineStr">
        <is>
          <t>SF5116616188391</t>
        </is>
      </c>
      <c r="B345" s="3" t="n">
        <v>58424825741393</v>
      </c>
      <c r="C345" s="3" t="inlineStr">
        <is>
          <t>已簽收</t>
        </is>
      </c>
      <c r="D345" s="3" t="inlineStr">
        <is>
          <t>2026-07-03 17:16:55</t>
        </is>
      </c>
      <c r="E345" s="3" t="inlineStr">
        <is>
          <t>2026-07-04 11:34</t>
        </is>
      </c>
      <c r="F345" s="3" t="n">
        <v>47.29</v>
      </c>
      <c r="G345" s="3" t="n">
        <v>5</v>
      </c>
      <c r="H345" s="3" t="n"/>
      <c r="I345" s="3" t="inlineStr"/>
      <c r="J345" s="3" t="inlineStr">
        <is>
          <t>Keeta</t>
        </is>
      </c>
      <c r="K345" s="3" t="inlineStr">
        <is>
          <t>****9568</t>
        </is>
      </c>
      <c r="L345" s="3" t="n"/>
      <c r="M345" s="3" t="inlineStr">
        <is>
          <t>***** 物流中心5樓</t>
        </is>
      </c>
      <c r="N345" s="3" t="inlineStr">
        <is>
          <t>北区</t>
        </is>
      </c>
      <c r="O345" s="3" t="inlineStr">
        <is>
          <t>香港</t>
        </is>
      </c>
      <c r="P345" s="3" t="inlineStr">
        <is>
          <t>香港特别行政区</t>
        </is>
      </c>
      <c r="Q345" s="3" t="n">
        <v>459759</v>
      </c>
      <c r="R345" s="3" t="inlineStr">
        <is>
          <t>麵屋龍平數碼港店（全場7折）</t>
        </is>
      </c>
      <c r="S345" s="3" t="inlineStr">
        <is>
          <t>****56329938</t>
        </is>
      </c>
      <c r="T345" s="3" t="inlineStr">
        <is>
          <t>****56329938</t>
        </is>
      </c>
      <c r="U345" s="3" t="inlineStr">
        <is>
          <t>***** 樓407號舖</t>
        </is>
      </c>
      <c r="V345" s="3" t="inlineStr">
        <is>
          <t>香港</t>
        </is>
      </c>
      <c r="W345" s="3" t="inlineStr">
        <is>
          <t>杯托【2托】/ 箱出, 无纺布【规格三中号】/ 箱出, 无纺布【规格四大号】/ 箱出</t>
        </is>
      </c>
      <c r="X345" s="3" t="inlineStr">
        <is>
          <t>ESS-SFTS-OTMS</t>
        </is>
      </c>
      <c r="Y345" s="3" t="n"/>
      <c r="Z345" s="3" t="inlineStr"/>
      <c r="AA345" s="3" t="inlineStr">
        <is>
          <t>寄付月結</t>
        </is>
      </c>
      <c r="AB345">
        <f>IFERROR(VLOOKUP(Q345&amp;"",對照表!$A:$B,1,FALSE),"")</f>
        <v/>
      </c>
      <c r="AC345">
        <f>IFERROR(VLOOKUP(Q345&amp;"",對照表!$A:$B,2,FALSE),"")</f>
        <v/>
      </c>
    </row>
    <row r="346">
      <c r="A346" s="3" t="inlineStr">
        <is>
          <t>SF5116616188355</t>
        </is>
      </c>
      <c r="B346" s="3" t="n">
        <v>58424825741382</v>
      </c>
      <c r="C346" s="3" t="inlineStr">
        <is>
          <t>已簽收</t>
        </is>
      </c>
      <c r="D346" s="3" t="inlineStr">
        <is>
          <t>2026-07-03 10:24:30</t>
        </is>
      </c>
      <c r="E346" s="3" t="inlineStr">
        <is>
          <t>2026-07-04 13:07</t>
        </is>
      </c>
      <c r="F346" s="3" t="n">
        <v>1</v>
      </c>
      <c r="G346" s="3" t="n">
        <v>1</v>
      </c>
      <c r="H346" s="3" t="n"/>
      <c r="I346" s="3" t="inlineStr"/>
      <c r="J346" s="3" t="inlineStr">
        <is>
          <t>Keeta</t>
        </is>
      </c>
      <c r="K346" s="3" t="inlineStr">
        <is>
          <t>****9568</t>
        </is>
      </c>
      <c r="L346" s="3" t="n"/>
      <c r="M346" s="3" t="inlineStr">
        <is>
          <t>***** 物流中心5樓</t>
        </is>
      </c>
      <c r="N346" s="3" t="inlineStr">
        <is>
          <t>北区</t>
        </is>
      </c>
      <c r="O346" s="3" t="inlineStr">
        <is>
          <t>香港</t>
        </is>
      </c>
      <c r="P346" s="3" t="inlineStr">
        <is>
          <t>香港特别行政区</t>
        </is>
      </c>
      <c r="Q346" s="3" t="n">
        <v>462217</v>
      </c>
      <c r="R346" s="3" t="inlineStr">
        <is>
          <t>聚興樓(彩雲)粵式秘製手撕雞</t>
        </is>
      </c>
      <c r="S346" s="3" t="inlineStr">
        <is>
          <t>****23442998</t>
        </is>
      </c>
      <c r="T346" s="3" t="inlineStr">
        <is>
          <t>****23442998</t>
        </is>
      </c>
      <c r="U346" s="3" t="inlineStr">
        <is>
          <t>***** A316號舖</t>
        </is>
      </c>
      <c r="V346" s="3" t="inlineStr">
        <is>
          <t>香港</t>
        </is>
      </c>
      <c r="W346" s="3" t="inlineStr">
        <is>
          <t>塑料袋【大】/ 扎出</t>
        </is>
      </c>
      <c r="X346" s="3" t="inlineStr">
        <is>
          <t>ESS-SFTS-OTMS</t>
        </is>
      </c>
      <c r="Y346" s="3" t="n"/>
      <c r="Z346" s="3" t="inlineStr"/>
      <c r="AA346" s="3" t="inlineStr">
        <is>
          <t>寄付月結</t>
        </is>
      </c>
      <c r="AB346">
        <f>IFERROR(VLOOKUP(Q346&amp;"",對照表!$A:$B,1,FALSE),"")</f>
        <v/>
      </c>
      <c r="AC346">
        <f>IFERROR(VLOOKUP(Q346&amp;"",對照表!$A:$B,2,FALSE),"")</f>
        <v/>
      </c>
    </row>
    <row r="347">
      <c r="A347" s="3" t="inlineStr">
        <is>
          <t>SF5116616188424</t>
        </is>
      </c>
      <c r="B347" s="3" t="n">
        <v>58424825741401</v>
      </c>
      <c r="C347" s="3" t="inlineStr">
        <is>
          <t>已簽收</t>
        </is>
      </c>
      <c r="D347" s="3" t="inlineStr">
        <is>
          <t>2026-07-03 14:15:10</t>
        </is>
      </c>
      <c r="E347" s="3" t="inlineStr">
        <is>
          <t>2026-07-04 12:34</t>
        </is>
      </c>
      <c r="F347" s="3" t="n">
        <v>40.4</v>
      </c>
      <c r="G347" s="3" t="n">
        <v>4</v>
      </c>
      <c r="H347" s="3" t="n"/>
      <c r="I347" s="3" t="inlineStr"/>
      <c r="J347" s="3" t="inlineStr">
        <is>
          <t>Keeta</t>
        </is>
      </c>
      <c r="K347" s="3" t="inlineStr">
        <is>
          <t>****9568</t>
        </is>
      </c>
      <c r="L347" s="3" t="n"/>
      <c r="M347" s="3" t="inlineStr">
        <is>
          <t>***** 物流中心5樓</t>
        </is>
      </c>
      <c r="N347" s="3" t="inlineStr">
        <is>
          <t>北区</t>
        </is>
      </c>
      <c r="O347" s="3" t="inlineStr">
        <is>
          <t>香港</t>
        </is>
      </c>
      <c r="P347" s="3" t="inlineStr">
        <is>
          <t>香港特别行政区</t>
        </is>
      </c>
      <c r="Q347" s="3" t="n">
        <v>721525382</v>
      </c>
      <c r="R347" s="3" t="inlineStr">
        <is>
          <t>小乳牛夢工坊</t>
        </is>
      </c>
      <c r="S347" s="3" t="inlineStr">
        <is>
          <t>****52883030</t>
        </is>
      </c>
      <c r="T347" s="3" t="inlineStr">
        <is>
          <t>****52883030</t>
        </is>
      </c>
      <c r="U347" s="3" t="inlineStr">
        <is>
          <t>***** 大廈2樓07</t>
        </is>
      </c>
      <c r="V347" s="3" t="inlineStr">
        <is>
          <t>香港</t>
        </is>
      </c>
      <c r="W347" s="3" t="inlineStr">
        <is>
          <t>无纺布【规格三中号】/ 箱出</t>
        </is>
      </c>
      <c r="X347" s="3" t="inlineStr">
        <is>
          <t>ESS-SFTS-OTMS</t>
        </is>
      </c>
      <c r="Y347" s="3" t="n"/>
      <c r="Z347" s="3" t="inlineStr"/>
      <c r="AA347" s="3" t="inlineStr">
        <is>
          <t>寄付月結</t>
        </is>
      </c>
      <c r="AB347">
        <f>IFERROR(VLOOKUP(Q347&amp;"",對照表!$A:$B,1,FALSE),"")</f>
        <v/>
      </c>
      <c r="AC347">
        <f>IFERROR(VLOOKUP(Q347&amp;"",對照表!$A:$B,2,FALSE),"")</f>
        <v/>
      </c>
    </row>
    <row r="348">
      <c r="A348" s="3" t="inlineStr">
        <is>
          <t>SF5116616188433</t>
        </is>
      </c>
      <c r="B348" s="3" t="n">
        <v>58424825741405</v>
      </c>
      <c r="C348" s="3" t="inlineStr">
        <is>
          <t>已簽收</t>
        </is>
      </c>
      <c r="D348" s="3" t="inlineStr">
        <is>
          <t>2026-07-03 10:22:18</t>
        </is>
      </c>
      <c r="E348" s="3" t="inlineStr">
        <is>
          <t>2026-07-04 12:22</t>
        </is>
      </c>
      <c r="F348" s="3" t="n">
        <v>1.2</v>
      </c>
      <c r="G348" s="3" t="n">
        <v>1</v>
      </c>
      <c r="H348" s="3" t="n"/>
      <c r="I348" s="3" t="inlineStr"/>
      <c r="J348" s="3" t="inlineStr">
        <is>
          <t>Keeta</t>
        </is>
      </c>
      <c r="K348" s="3" t="inlineStr">
        <is>
          <t>****9568</t>
        </is>
      </c>
      <c r="L348" s="3" t="n"/>
      <c r="M348" s="3" t="inlineStr">
        <is>
          <t>***** 物流中心5樓</t>
        </is>
      </c>
      <c r="N348" s="3" t="inlineStr">
        <is>
          <t>北区</t>
        </is>
      </c>
      <c r="O348" s="3" t="inlineStr">
        <is>
          <t>香港</t>
        </is>
      </c>
      <c r="P348" s="3" t="inlineStr">
        <is>
          <t>香港特别行政区</t>
        </is>
      </c>
      <c r="Q348" s="3" t="n">
        <v>586379</v>
      </c>
      <c r="R348" s="3" t="inlineStr">
        <is>
          <t>牡丹金閣酒家(同區至扺免運點心燒味馳名鑊氣小菜粉麵飯)</t>
        </is>
      </c>
      <c r="S348" s="3" t="inlineStr">
        <is>
          <t>****28189868</t>
        </is>
      </c>
      <c r="T348" s="3" t="inlineStr">
        <is>
          <t>****28189868</t>
        </is>
      </c>
      <c r="U348" s="3" t="inlineStr">
        <is>
          <t>***** 樓110號舖</t>
        </is>
      </c>
      <c r="V348" s="3" t="inlineStr">
        <is>
          <t>香港</t>
        </is>
      </c>
      <c r="W348" s="3" t="inlineStr">
        <is>
          <t>塑料袋【大】/ 扎出</t>
        </is>
      </c>
      <c r="X348" s="3" t="inlineStr">
        <is>
          <t>ESS-SFTS-OTMS</t>
        </is>
      </c>
      <c r="Y348" s="3" t="n"/>
      <c r="Z348" s="3" t="inlineStr"/>
      <c r="AA348" s="3" t="inlineStr">
        <is>
          <t>寄付月結</t>
        </is>
      </c>
      <c r="AB348">
        <f>IFERROR(VLOOKUP(Q348&amp;"",對照表!$A:$B,1,FALSE),"")</f>
        <v/>
      </c>
      <c r="AC348">
        <f>IFERROR(VLOOKUP(Q348&amp;"",對照表!$A:$B,2,FALSE),"")</f>
        <v/>
      </c>
    </row>
    <row r="349">
      <c r="A349" s="3" t="inlineStr">
        <is>
          <t>SF5116616188619</t>
        </is>
      </c>
      <c r="B349" s="3" t="n">
        <v>58424825741461</v>
      </c>
      <c r="C349" s="3" t="inlineStr">
        <is>
          <t>已簽收</t>
        </is>
      </c>
      <c r="D349" s="3" t="inlineStr">
        <is>
          <t>2026-07-03 13:49:29</t>
        </is>
      </c>
      <c r="E349" s="3" t="inlineStr">
        <is>
          <t>2026-07-04 12:07</t>
        </is>
      </c>
      <c r="F349" s="3" t="n">
        <v>34.8</v>
      </c>
      <c r="G349" s="3" t="n">
        <v>3</v>
      </c>
      <c r="H349" s="3" t="n"/>
      <c r="I349" s="3" t="inlineStr"/>
      <c r="J349" s="3" t="inlineStr">
        <is>
          <t>Keeta</t>
        </is>
      </c>
      <c r="K349" s="3" t="inlineStr">
        <is>
          <t>****9568</t>
        </is>
      </c>
      <c r="L349" s="3" t="n"/>
      <c r="M349" s="3" t="inlineStr">
        <is>
          <t>***** 物流中心5樓</t>
        </is>
      </c>
      <c r="N349" s="3" t="inlineStr">
        <is>
          <t>北区</t>
        </is>
      </c>
      <c r="O349" s="3" t="inlineStr">
        <is>
          <t>香港</t>
        </is>
      </c>
      <c r="P349" s="3" t="inlineStr">
        <is>
          <t>香港特别行政区</t>
        </is>
      </c>
      <c r="Q349" s="3" t="n">
        <v>477943</v>
      </c>
      <c r="R349" s="3" t="inlineStr">
        <is>
          <t>祥正飯店海鮮小炒打冷CheungChingRestaurant</t>
        </is>
      </c>
      <c r="S349" s="3" t="inlineStr">
        <is>
          <t>****28934797</t>
        </is>
      </c>
      <c r="T349" s="3" t="inlineStr">
        <is>
          <t>****28934797</t>
        </is>
      </c>
      <c r="U349" s="3" t="inlineStr">
        <is>
          <t>***** 永德大廈地舖</t>
        </is>
      </c>
      <c r="V349" s="3" t="inlineStr">
        <is>
          <t>香港</t>
        </is>
      </c>
      <c r="W349" s="3" t="inlineStr">
        <is>
          <t>无纺布【规格四大号】/ 箱出</t>
        </is>
      </c>
      <c r="X349" s="3" t="inlineStr">
        <is>
          <t>ESS-SFTS-OTMS</t>
        </is>
      </c>
      <c r="Y349" s="3" t="n"/>
      <c r="Z349" s="3" t="inlineStr"/>
      <c r="AA349" s="3" t="inlineStr">
        <is>
          <t>寄付月結</t>
        </is>
      </c>
      <c r="AB349">
        <f>IFERROR(VLOOKUP(Q349&amp;"",對照表!$A:$B,1,FALSE),"")</f>
        <v/>
      </c>
      <c r="AC349">
        <f>IFERROR(VLOOKUP(Q349&amp;"",對照表!$A:$B,2,FALSE),"")</f>
        <v/>
      </c>
    </row>
    <row r="350">
      <c r="A350" s="3" t="inlineStr">
        <is>
          <t>SF5116616188258</t>
        </is>
      </c>
      <c r="B350" s="3" t="n">
        <v>58424825741363</v>
      </c>
      <c r="C350" s="3" t="inlineStr">
        <is>
          <t>已簽收</t>
        </is>
      </c>
      <c r="D350" s="3" t="inlineStr">
        <is>
          <t>2026-07-03 16:50:15</t>
        </is>
      </c>
      <c r="E350" s="3" t="inlineStr">
        <is>
          <t>2026-07-04 15:36</t>
        </is>
      </c>
      <c r="F350" s="3" t="n">
        <v>38</v>
      </c>
      <c r="G350" s="3" t="n">
        <v>5</v>
      </c>
      <c r="H350" s="3" t="n"/>
      <c r="I350" s="3" t="inlineStr"/>
      <c r="J350" s="3" t="inlineStr">
        <is>
          <t>Keeta</t>
        </is>
      </c>
      <c r="K350" s="3" t="inlineStr">
        <is>
          <t>****9568</t>
        </is>
      </c>
      <c r="L350" s="3" t="n"/>
      <c r="M350" s="3" t="inlineStr">
        <is>
          <t>***** 物流中心5樓</t>
        </is>
      </c>
      <c r="N350" s="3" t="inlineStr">
        <is>
          <t>北区</t>
        </is>
      </c>
      <c r="O350" s="3" t="inlineStr">
        <is>
          <t>香港</t>
        </is>
      </c>
      <c r="P350" s="3" t="inlineStr">
        <is>
          <t>香港特别行政区</t>
        </is>
      </c>
      <c r="Q350" s="3" t="n">
        <v>721491291</v>
      </c>
      <c r="R350" s="3" t="inlineStr">
        <is>
          <t>林香檸手打檸檬茶(筲箕灣)</t>
        </is>
      </c>
      <c r="S350" s="3" t="inlineStr">
        <is>
          <t>****95836854</t>
        </is>
      </c>
      <c r="T350" s="3" t="inlineStr">
        <is>
          <t>****95836854</t>
        </is>
      </c>
      <c r="U350" s="3" t="inlineStr">
        <is>
          <t>***** 地下14號鋪</t>
        </is>
      </c>
      <c r="V350" s="3" t="inlineStr">
        <is>
          <t>香港</t>
        </is>
      </c>
      <c r="W350" s="3" t="inlineStr">
        <is>
          <t>杯托【2托】/ 箱出, 无纺布【规格二双杯】/ 箱出, 纸袋【通版】/ 箱出</t>
        </is>
      </c>
      <c r="X350" s="3" t="inlineStr">
        <is>
          <t>ESS-SFTS-OTMS</t>
        </is>
      </c>
      <c r="Y350" s="3" t="n"/>
      <c r="Z350" s="3" t="inlineStr"/>
      <c r="AA350" s="3" t="inlineStr">
        <is>
          <t>寄付月結</t>
        </is>
      </c>
      <c r="AB350">
        <f>IFERROR(VLOOKUP(Q350&amp;"",對照表!$A:$B,1,FALSE),"")</f>
        <v/>
      </c>
      <c r="AC350">
        <f>IFERROR(VLOOKUP(Q350&amp;"",對照表!$A:$B,2,FALSE),"")</f>
        <v/>
      </c>
    </row>
    <row r="351">
      <c r="A351" s="3" t="inlineStr">
        <is>
          <t>SF5116616188512</t>
        </is>
      </c>
      <c r="B351" s="3" t="n">
        <v>58424825741431</v>
      </c>
      <c r="C351" s="3" t="inlineStr">
        <is>
          <t>已簽收</t>
        </is>
      </c>
      <c r="D351" s="3" t="inlineStr">
        <is>
          <t>2026-07-03 10:31:19</t>
        </is>
      </c>
      <c r="E351" s="3" t="inlineStr">
        <is>
          <t>2026-07-04 13:49</t>
        </is>
      </c>
      <c r="F351" s="3" t="n">
        <v>11.6</v>
      </c>
      <c r="G351" s="3" t="n">
        <v>1</v>
      </c>
      <c r="H351" s="3" t="n"/>
      <c r="I351" s="3" t="inlineStr"/>
      <c r="J351" s="3" t="inlineStr">
        <is>
          <t>Keeta</t>
        </is>
      </c>
      <c r="K351" s="3" t="inlineStr">
        <is>
          <t>****9568</t>
        </is>
      </c>
      <c r="L351" s="3" t="n"/>
      <c r="M351" s="3" t="inlineStr">
        <is>
          <t>***** 物流中心5樓</t>
        </is>
      </c>
      <c r="N351" s="3" t="inlineStr">
        <is>
          <t>北区</t>
        </is>
      </c>
      <c r="O351" s="3" t="inlineStr">
        <is>
          <t>香港</t>
        </is>
      </c>
      <c r="P351" s="3" t="inlineStr">
        <is>
          <t>香港特别行政区</t>
        </is>
      </c>
      <c r="Q351" s="3" t="n">
        <v>576584</v>
      </c>
      <c r="R351" s="3" t="inlineStr">
        <is>
          <t>湊湊火鍋茶憩超抵一人食(元朗)</t>
        </is>
      </c>
      <c r="S351" s="3" t="inlineStr">
        <is>
          <t>****22860988</t>
        </is>
      </c>
      <c r="T351" s="3" t="inlineStr">
        <is>
          <t>****22860988</t>
        </is>
      </c>
      <c r="U351" s="3" t="inlineStr">
        <is>
          <t>***** -126號舖</t>
        </is>
      </c>
      <c r="V351" s="3" t="inlineStr">
        <is>
          <t>香港</t>
        </is>
      </c>
      <c r="W351" s="3" t="inlineStr">
        <is>
          <t>无纺布【规格四大号】/ 箱出</t>
        </is>
      </c>
      <c r="X351" s="3" t="inlineStr">
        <is>
          <t>ESS-SFTS-OTMS</t>
        </is>
      </c>
      <c r="Y351" s="3" t="n"/>
      <c r="Z351" s="3" t="inlineStr"/>
      <c r="AA351" s="3" t="inlineStr">
        <is>
          <t>寄付月結</t>
        </is>
      </c>
      <c r="AB351">
        <f>IFERROR(VLOOKUP(Q351&amp;"",對照表!$A:$B,1,FALSE),"")</f>
        <v/>
      </c>
      <c r="AC351">
        <f>IFERROR(VLOOKUP(Q351&amp;"",對照表!$A:$B,2,FALSE),"")</f>
        <v/>
      </c>
    </row>
    <row r="352">
      <c r="A352" s="3" t="inlineStr">
        <is>
          <t>SF5116616188415</t>
        </is>
      </c>
      <c r="B352" s="3" t="n">
        <v>58424825741397</v>
      </c>
      <c r="C352" s="3" t="inlineStr">
        <is>
          <t>已簽收</t>
        </is>
      </c>
      <c r="D352" s="3" t="inlineStr">
        <is>
          <t>2026-07-03 14:37:47</t>
        </is>
      </c>
      <c r="E352" s="3" t="inlineStr">
        <is>
          <t>2026-07-04 13:20</t>
        </is>
      </c>
      <c r="F352" s="3" t="n">
        <v>30.3</v>
      </c>
      <c r="G352" s="3" t="n">
        <v>4</v>
      </c>
      <c r="H352" s="3" t="n"/>
      <c r="I352" s="3" t="inlineStr"/>
      <c r="J352" s="3" t="inlineStr">
        <is>
          <t>Keeta</t>
        </is>
      </c>
      <c r="K352" s="3" t="inlineStr">
        <is>
          <t>****9568</t>
        </is>
      </c>
      <c r="L352" s="3" t="n"/>
      <c r="M352" s="3" t="inlineStr">
        <is>
          <t>***** 物流中心5樓</t>
        </is>
      </c>
      <c r="N352" s="3" t="inlineStr">
        <is>
          <t>北区</t>
        </is>
      </c>
      <c r="O352" s="3" t="inlineStr">
        <is>
          <t>香港</t>
        </is>
      </c>
      <c r="P352" s="3" t="inlineStr">
        <is>
          <t>香港特别行政区</t>
        </is>
      </c>
      <c r="Q352" s="3" t="n">
        <v>468238</v>
      </c>
      <c r="R352" s="3" t="inlineStr">
        <is>
          <t>HABITtable(奧海城)</t>
        </is>
      </c>
      <c r="S352" s="3" t="inlineStr">
        <is>
          <t>****23204688</t>
        </is>
      </c>
      <c r="T352" s="3" t="inlineStr">
        <is>
          <t>****23204688</t>
        </is>
      </c>
      <c r="U352" s="3" t="inlineStr">
        <is>
          <t>***** 8-69號舖</t>
        </is>
      </c>
      <c r="V352" s="3" t="inlineStr">
        <is>
          <t>香港</t>
        </is>
      </c>
      <c r="W352" s="3" t="inlineStr">
        <is>
          <t>无纺布【规格一单杯】/ 箱出, 无纺布【Preminum黑】/ 箱出, 塑料袋【大】/ 扎出</t>
        </is>
      </c>
      <c r="X352" s="3" t="inlineStr">
        <is>
          <t>ESS-SFTS-OTMS</t>
        </is>
      </c>
      <c r="Y352" s="3" t="n"/>
      <c r="Z352" s="3" t="inlineStr"/>
      <c r="AA352" s="3" t="inlineStr">
        <is>
          <t>寄付月結</t>
        </is>
      </c>
      <c r="AB352">
        <f>IFERROR(VLOOKUP(Q352&amp;"",對照表!$A:$B,1,FALSE),"")</f>
        <v/>
      </c>
      <c r="AC352">
        <f>IFERROR(VLOOKUP(Q352&amp;"",對照表!$A:$B,2,FALSE),"")</f>
        <v/>
      </c>
    </row>
    <row r="353">
      <c r="A353" s="3" t="inlineStr">
        <is>
          <t>SF5116616188337</t>
        </is>
      </c>
      <c r="B353" s="3" t="n">
        <v>58424825741378</v>
      </c>
      <c r="C353" s="3" t="inlineStr">
        <is>
          <t>已簽收</t>
        </is>
      </c>
      <c r="D353" s="3" t="inlineStr">
        <is>
          <t>2026-07-03 10:31:16</t>
        </is>
      </c>
      <c r="E353" s="3" t="inlineStr">
        <is>
          <t>2026-07-04 10:32</t>
        </is>
      </c>
      <c r="F353" s="3" t="n">
        <v>11.6</v>
      </c>
      <c r="G353" s="3" t="n">
        <v>1</v>
      </c>
      <c r="H353" s="3" t="n"/>
      <c r="I353" s="3" t="inlineStr"/>
      <c r="J353" s="3" t="inlineStr">
        <is>
          <t>Keeta</t>
        </is>
      </c>
      <c r="K353" s="3" t="inlineStr">
        <is>
          <t>****9568</t>
        </is>
      </c>
      <c r="L353" s="3" t="n"/>
      <c r="M353" s="3" t="inlineStr">
        <is>
          <t>***** 物流中心5樓</t>
        </is>
      </c>
      <c r="N353" s="3" t="inlineStr">
        <is>
          <t>北区</t>
        </is>
      </c>
      <c r="O353" s="3" t="inlineStr">
        <is>
          <t>香港</t>
        </is>
      </c>
      <c r="P353" s="3" t="inlineStr">
        <is>
          <t>香港特别行政区</t>
        </is>
      </c>
      <c r="Q353" s="3" t="n">
        <v>487946</v>
      </c>
      <c r="R353" s="3" t="inlineStr">
        <is>
          <t>立鮨(尖沙咀)SushiTachi(TsimShaTsui)</t>
        </is>
      </c>
      <c r="S353" s="3" t="inlineStr">
        <is>
          <t>****28363830</t>
        </is>
      </c>
      <c r="T353" s="3" t="inlineStr">
        <is>
          <t>****28363830</t>
        </is>
      </c>
      <c r="U353" s="3" t="inlineStr">
        <is>
          <t>***** 廣場地下D舖</t>
        </is>
      </c>
      <c r="V353" s="3" t="inlineStr">
        <is>
          <t>香港</t>
        </is>
      </c>
      <c r="W353" s="3" t="inlineStr">
        <is>
          <t>无纺布【规格四大号】/ 箱出</t>
        </is>
      </c>
      <c r="X353" s="3" t="inlineStr">
        <is>
          <t>ESS-SFTS-OTMS</t>
        </is>
      </c>
      <c r="Y353" s="3" t="n"/>
      <c r="Z353" s="3" t="inlineStr"/>
      <c r="AA353" s="3" t="inlineStr">
        <is>
          <t>寄付月結</t>
        </is>
      </c>
      <c r="AB353">
        <f>IFERROR(VLOOKUP(Q353&amp;"",對照表!$A:$B,1,FALSE),"")</f>
        <v/>
      </c>
      <c r="AC353">
        <f>IFERROR(VLOOKUP(Q353&amp;"",對照表!$A:$B,2,FALSE),"")</f>
        <v/>
      </c>
    </row>
    <row r="354">
      <c r="A354" s="3" t="inlineStr">
        <is>
          <t>SF5116616188549</t>
        </is>
      </c>
      <c r="B354" s="3" t="n">
        <v>58424825741440</v>
      </c>
      <c r="C354" s="3" t="inlineStr">
        <is>
          <t>已簽收</t>
        </is>
      </c>
      <c r="D354" s="3" t="inlineStr">
        <is>
          <t>2026-07-03 15:33:31</t>
        </is>
      </c>
      <c r="E354" s="3" t="inlineStr">
        <is>
          <t>2026-07-04 14:49</t>
        </is>
      </c>
      <c r="F354" s="3" t="n">
        <v>63.6</v>
      </c>
      <c r="G354" s="3" t="n">
        <v>6</v>
      </c>
      <c r="H354" s="3" t="n"/>
      <c r="I354" s="3" t="inlineStr"/>
      <c r="J354" s="3" t="inlineStr">
        <is>
          <t>Keeta</t>
        </is>
      </c>
      <c r="K354" s="3" t="inlineStr">
        <is>
          <t>****9568</t>
        </is>
      </c>
      <c r="L354" s="3" t="n"/>
      <c r="M354" s="3" t="inlineStr">
        <is>
          <t>***** 物流中心5樓</t>
        </is>
      </c>
      <c r="N354" s="3" t="inlineStr">
        <is>
          <t>北区</t>
        </is>
      </c>
      <c r="O354" s="3" t="inlineStr">
        <is>
          <t>香港</t>
        </is>
      </c>
      <c r="P354" s="3" t="inlineStr">
        <is>
          <t>香港特别行政区</t>
        </is>
      </c>
      <c r="Q354" s="3" t="n">
        <v>721538397</v>
      </c>
      <c r="R354" s="3" t="inlineStr">
        <is>
          <t>紅日蛋包飯全港人氣蛋包飯之最（石硤尾）</t>
        </is>
      </c>
      <c r="S354" s="3" t="inlineStr">
        <is>
          <t>****98218902</t>
        </is>
      </c>
      <c r="T354" s="3" t="inlineStr">
        <is>
          <t>****98218902</t>
        </is>
      </c>
      <c r="U354" s="3" t="inlineStr">
        <is>
          <t>***** 園體育館地下</t>
        </is>
      </c>
      <c r="V354" s="3" t="inlineStr">
        <is>
          <t>香港</t>
        </is>
      </c>
      <c r="W354" s="3" t="inlineStr">
        <is>
          <t>无纺布【规格三中号】/ 箱出, 无纺布【规格四大号】/ 箱出</t>
        </is>
      </c>
      <c r="X354" s="3" t="inlineStr">
        <is>
          <t>ESS-SFTS-OTMS</t>
        </is>
      </c>
      <c r="Y354" s="3" t="n"/>
      <c r="Z354" s="3" t="inlineStr"/>
      <c r="AA354" s="3" t="inlineStr">
        <is>
          <t>寄付月結</t>
        </is>
      </c>
      <c r="AB354">
        <f>IFERROR(VLOOKUP(Q354&amp;"",對照表!$A:$B,1,FALSE),"")</f>
        <v/>
      </c>
      <c r="AC354">
        <f>IFERROR(VLOOKUP(Q354&amp;"",對照表!$A:$B,2,FALSE),"")</f>
        <v/>
      </c>
    </row>
    <row r="355">
      <c r="A355" s="3" t="inlineStr">
        <is>
          <t>SF5116616188300</t>
        </is>
      </c>
      <c r="B355" s="3" t="n">
        <v>58424825741372</v>
      </c>
      <c r="C355" s="3" t="inlineStr">
        <is>
          <t>已簽收</t>
        </is>
      </c>
      <c r="D355" s="3" t="inlineStr">
        <is>
          <t>2026-07-03 13:49:23</t>
        </is>
      </c>
      <c r="E355" s="3" t="inlineStr">
        <is>
          <t>2026-07-04 11:41</t>
        </is>
      </c>
      <c r="F355" s="3" t="n">
        <v>34.8</v>
      </c>
      <c r="G355" s="3" t="n">
        <v>3</v>
      </c>
      <c r="H355" s="3" t="n"/>
      <c r="I355" s="3" t="inlineStr"/>
      <c r="J355" s="3" t="inlineStr">
        <is>
          <t>Keeta</t>
        </is>
      </c>
      <c r="K355" s="3" t="inlineStr">
        <is>
          <t>****9568</t>
        </is>
      </c>
      <c r="L355" s="3" t="n"/>
      <c r="M355" s="3" t="inlineStr">
        <is>
          <t>***** 物流中心5樓</t>
        </is>
      </c>
      <c r="N355" s="3" t="inlineStr">
        <is>
          <t>北区</t>
        </is>
      </c>
      <c r="O355" s="3" t="inlineStr">
        <is>
          <t>香港</t>
        </is>
      </c>
      <c r="P355" s="3" t="inlineStr">
        <is>
          <t>香港特别行政区</t>
        </is>
      </c>
      <c r="Q355" s="3" t="n">
        <v>721535293</v>
      </c>
      <c r="R355" s="3" t="inlineStr">
        <is>
          <t>關西一A5黑毛和牛壽喜燒全新A5和牛便當登場週末感受BestGraded和牛的和諧</t>
        </is>
      </c>
      <c r="S355" s="3" t="inlineStr">
        <is>
          <t>****92757870</t>
        </is>
      </c>
      <c r="T355" s="3" t="inlineStr">
        <is>
          <t>****92757870</t>
        </is>
      </c>
      <c r="U355" s="3" t="inlineStr">
        <is>
          <t>***** 道26號地舖</t>
        </is>
      </c>
      <c r="V355" s="3" t="inlineStr">
        <is>
          <t>香港</t>
        </is>
      </c>
      <c r="W355" s="3" t="inlineStr">
        <is>
          <t>无纺布【规格四大号】/ 箱出</t>
        </is>
      </c>
      <c r="X355" s="3" t="inlineStr">
        <is>
          <t>ESS-SFTS-OTMS</t>
        </is>
      </c>
      <c r="Y355" s="3" t="n"/>
      <c r="Z355" s="3" t="inlineStr"/>
      <c r="AA355" s="3" t="inlineStr">
        <is>
          <t>寄付月結</t>
        </is>
      </c>
      <c r="AB355">
        <f>IFERROR(VLOOKUP(Q355&amp;"",對照表!$A:$B,1,FALSE),"")</f>
        <v/>
      </c>
      <c r="AC355">
        <f>IFERROR(VLOOKUP(Q355&amp;"",對照表!$A:$B,2,FALSE),"")</f>
        <v/>
      </c>
    </row>
    <row r="356">
      <c r="A356" s="3" t="inlineStr">
        <is>
          <t>SF5116616188203</t>
        </is>
      </c>
      <c r="B356" s="3" t="n">
        <v>58424825741353</v>
      </c>
      <c r="C356" s="3" t="inlineStr">
        <is>
          <t>已簽收</t>
        </is>
      </c>
      <c r="D356" s="3" t="inlineStr">
        <is>
          <t>2026-07-03 10:31:16</t>
        </is>
      </c>
      <c r="E356" s="3" t="inlineStr">
        <is>
          <t>2026-07-07 12:08</t>
        </is>
      </c>
      <c r="F356" s="3" t="n">
        <v>11.6</v>
      </c>
      <c r="G356" s="3" t="n">
        <v>1</v>
      </c>
      <c r="H356" s="3" t="n"/>
      <c r="I356" s="3" t="inlineStr"/>
      <c r="J356" s="3" t="inlineStr">
        <is>
          <t>Keeta</t>
        </is>
      </c>
      <c r="K356" s="3" t="inlineStr">
        <is>
          <t>****9568</t>
        </is>
      </c>
      <c r="L356" s="3" t="n"/>
      <c r="M356" s="3" t="inlineStr">
        <is>
          <t>***** 物流中心5樓</t>
        </is>
      </c>
      <c r="N356" s="3" t="inlineStr">
        <is>
          <t>北区</t>
        </is>
      </c>
      <c r="O356" s="3" t="inlineStr">
        <is>
          <t>香港</t>
        </is>
      </c>
      <c r="P356" s="3" t="inlineStr">
        <is>
          <t>香港特别行政区</t>
        </is>
      </c>
      <c r="Q356" s="3" t="n">
        <v>484742</v>
      </c>
      <c r="R356" s="3" t="inlineStr">
        <is>
          <t>魚台外賣壽司SakanaDaiTorideSushi</t>
        </is>
      </c>
      <c r="S356" s="3" t="inlineStr">
        <is>
          <t>****5220</t>
        </is>
      </c>
      <c r="T356" s="3" t="inlineStr">
        <is>
          <t>****5220</t>
        </is>
      </c>
      <c r="U356" s="3" t="inlineStr">
        <is>
          <t>***** 地下2B号铺</t>
        </is>
      </c>
      <c r="V356" s="3" t="inlineStr">
        <is>
          <t>香港</t>
        </is>
      </c>
      <c r="W356" s="3" t="inlineStr">
        <is>
          <t>无纺布【规格四大号】/ 箱出</t>
        </is>
      </c>
      <c r="X356" s="3" t="inlineStr">
        <is>
          <t>ESS-SFTS-OTMS</t>
        </is>
      </c>
      <c r="Y356" s="3" t="n"/>
      <c r="Z356" s="3" t="inlineStr"/>
      <c r="AA356" s="3" t="inlineStr">
        <is>
          <t>寄付月結</t>
        </is>
      </c>
      <c r="AB356">
        <f>IFERROR(VLOOKUP(Q356&amp;"",對照表!$A:$B,1,FALSE),"")</f>
        <v/>
      </c>
      <c r="AC356">
        <f>IFERROR(VLOOKUP(Q356&amp;"",對照表!$A:$B,2,FALSE),"")</f>
        <v/>
      </c>
    </row>
    <row r="357">
      <c r="A357" s="3" t="inlineStr">
        <is>
          <t>SF5116616188382</t>
        </is>
      </c>
      <c r="B357" s="3" t="n">
        <v>58424825741391</v>
      </c>
      <c r="C357" s="3" t="inlineStr">
        <is>
          <t>已簽收</t>
        </is>
      </c>
      <c r="D357" s="3" t="inlineStr">
        <is>
          <t>2026-07-03 15:45:49</t>
        </is>
      </c>
      <c r="E357" s="3" t="inlineStr">
        <is>
          <t>2026-07-04 10:22</t>
        </is>
      </c>
      <c r="F357" s="3" t="n">
        <v>41.9</v>
      </c>
      <c r="G357" s="3" t="n">
        <v>4</v>
      </c>
      <c r="H357" s="3" t="n"/>
      <c r="I357" s="3" t="inlineStr"/>
      <c r="J357" s="3" t="inlineStr">
        <is>
          <t>Keeta</t>
        </is>
      </c>
      <c r="K357" s="3" t="inlineStr">
        <is>
          <t>****9568</t>
        </is>
      </c>
      <c r="L357" s="3" t="n"/>
      <c r="M357" s="3" t="inlineStr">
        <is>
          <t>***** 物流中心5樓</t>
        </is>
      </c>
      <c r="N357" s="3" t="inlineStr">
        <is>
          <t>北区</t>
        </is>
      </c>
      <c r="O357" s="3" t="inlineStr">
        <is>
          <t>香港</t>
        </is>
      </c>
      <c r="P357" s="3" t="inlineStr">
        <is>
          <t>香港特别行政区</t>
        </is>
      </c>
      <c r="Q357" s="3" t="n">
        <v>596303</v>
      </c>
      <c r="R357" s="3" t="inlineStr">
        <is>
          <t>窯雞王（深水埗店）</t>
        </is>
      </c>
      <c r="S357" s="3" t="inlineStr">
        <is>
          <t>****39568344</t>
        </is>
      </c>
      <c r="T357" s="3" t="inlineStr">
        <is>
          <t>****39568344</t>
        </is>
      </c>
      <c r="U357" s="3" t="inlineStr">
        <is>
          <t>***** 灣95號地下</t>
        </is>
      </c>
      <c r="V357" s="3" t="inlineStr">
        <is>
          <t>香港</t>
        </is>
      </c>
      <c r="W357" s="3" t="inlineStr">
        <is>
          <t>无纺布【规格三中号】/ 箱出, 无纺布【规格四大号】/ 箱出</t>
        </is>
      </c>
      <c r="X357" s="3" t="inlineStr">
        <is>
          <t>ESS-SFTS-OTMS</t>
        </is>
      </c>
      <c r="Y357" s="3" t="n"/>
      <c r="Z357" s="3" t="inlineStr"/>
      <c r="AA357" s="3" t="inlineStr">
        <is>
          <t>寄付月結</t>
        </is>
      </c>
      <c r="AB357">
        <f>IFERROR(VLOOKUP(Q357&amp;"",對照表!$A:$B,1,FALSE),"")</f>
        <v/>
      </c>
      <c r="AC357">
        <f>IFERROR(VLOOKUP(Q357&amp;"",對照表!$A:$B,2,FALSE),"")</f>
        <v/>
      </c>
    </row>
    <row r="358">
      <c r="A358" s="3" t="inlineStr">
        <is>
          <t>SF5116616188600</t>
        </is>
      </c>
      <c r="B358" s="3" t="n">
        <v>58424825741456</v>
      </c>
      <c r="C358" s="3" t="inlineStr">
        <is>
          <t>派送中</t>
        </is>
      </c>
      <c r="D358" s="3" t="inlineStr">
        <is>
          <t>2026-07-03 10:29:04</t>
        </is>
      </c>
      <c r="E358" s="3" t="n"/>
      <c r="F358" s="3" t="n">
        <v>0.67</v>
      </c>
      <c r="G358" s="3" t="n">
        <v>1</v>
      </c>
      <c r="H358" s="3" t="n"/>
      <c r="I358" s="3" t="inlineStr"/>
      <c r="J358" s="3" t="inlineStr">
        <is>
          <t>Keeta</t>
        </is>
      </c>
      <c r="K358" s="3" t="inlineStr">
        <is>
          <t>****9568</t>
        </is>
      </c>
      <c r="L358" s="3" t="n"/>
      <c r="M358" s="3" t="inlineStr">
        <is>
          <t>***** 物流中心5樓</t>
        </is>
      </c>
      <c r="N358" s="3" t="inlineStr">
        <is>
          <t>北区</t>
        </is>
      </c>
      <c r="O358" s="3" t="inlineStr">
        <is>
          <t>香港</t>
        </is>
      </c>
      <c r="P358" s="3" t="inlineStr">
        <is>
          <t>香港特别行政区</t>
        </is>
      </c>
      <c r="Q358" s="3" t="n">
        <v>472038</v>
      </c>
      <c r="R358" s="3" t="inlineStr">
        <is>
          <t>味之店(新港城中心大街3期)DeliciousShop</t>
        </is>
      </c>
      <c r="S358" s="3" t="inlineStr">
        <is>
          <t>****26309372</t>
        </is>
      </c>
      <c r="T358" s="3" t="inlineStr">
        <is>
          <t>****26309372</t>
        </is>
      </c>
      <c r="U358" s="3" t="inlineStr">
        <is>
          <t>***** n Shan</t>
        </is>
      </c>
      <c r="V358" s="3" t="inlineStr">
        <is>
          <t>香港</t>
        </is>
      </c>
      <c r="W358" s="3" t="inlineStr">
        <is>
          <t>塑料袋【小】/ 扎出</t>
        </is>
      </c>
      <c r="X358" s="3" t="inlineStr">
        <is>
          <t>ESS-SFTS-OTMS</t>
        </is>
      </c>
      <c r="Y358" s="3" t="n"/>
      <c r="Z358" s="3" t="inlineStr"/>
      <c r="AA358" s="3" t="inlineStr">
        <is>
          <t>寄付月結</t>
        </is>
      </c>
      <c r="AB358">
        <f>IFERROR(VLOOKUP(Q358&amp;"",對照表!$A:$B,1,FALSE),"")</f>
        <v/>
      </c>
      <c r="AC358">
        <f>IFERROR(VLOOKUP(Q358&amp;"",對照表!$A:$B,2,FALSE),"")</f>
        <v/>
      </c>
    </row>
    <row r="359">
      <c r="A359" s="3" t="inlineStr">
        <is>
          <t>SF5116616188646</t>
        </is>
      </c>
      <c r="B359" s="3" t="n">
        <v>58424825741471</v>
      </c>
      <c r="C359" s="3" t="inlineStr">
        <is>
          <t>已簽收</t>
        </is>
      </c>
      <c r="D359" s="3" t="inlineStr">
        <is>
          <t>2026-07-03 11:36:23</t>
        </is>
      </c>
      <c r="E359" s="3" t="inlineStr">
        <is>
          <t>2026-07-04 10:38</t>
        </is>
      </c>
      <c r="F359" s="3" t="n">
        <v>20.2</v>
      </c>
      <c r="G359" s="3" t="n">
        <v>2</v>
      </c>
      <c r="H359" s="3" t="n"/>
      <c r="I359" s="3" t="inlineStr"/>
      <c r="J359" s="3" t="inlineStr">
        <is>
          <t>Keeta</t>
        </is>
      </c>
      <c r="K359" s="3" t="inlineStr">
        <is>
          <t>****9568</t>
        </is>
      </c>
      <c r="L359" s="3" t="n"/>
      <c r="M359" s="3" t="inlineStr">
        <is>
          <t>***** 物流中心5樓</t>
        </is>
      </c>
      <c r="N359" s="3" t="inlineStr">
        <is>
          <t>北区</t>
        </is>
      </c>
      <c r="O359" s="3" t="inlineStr">
        <is>
          <t>香港</t>
        </is>
      </c>
      <c r="P359" s="3" t="inlineStr">
        <is>
          <t>香港特别行政区</t>
        </is>
      </c>
      <c r="Q359" s="3" t="n">
        <v>472966</v>
      </c>
      <c r="R359" s="3" t="inlineStr">
        <is>
          <t>古琴雅苑師承年老店北京填鴨傳統淮揚菜銅鑼灣</t>
        </is>
      </c>
      <c r="S359" s="3" t="inlineStr">
        <is>
          <t>****69948175</t>
        </is>
      </c>
      <c r="T359" s="3" t="inlineStr">
        <is>
          <t>****69948175</t>
        </is>
      </c>
      <c r="U359" s="3" t="inlineStr">
        <is>
          <t>***** 埸8樓B號舖</t>
        </is>
      </c>
      <c r="V359" s="3" t="inlineStr">
        <is>
          <t>香港</t>
        </is>
      </c>
      <c r="W359" s="3" t="inlineStr">
        <is>
          <t>无纺布【规格三中号】/ 箱出</t>
        </is>
      </c>
      <c r="X359" s="3" t="inlineStr">
        <is>
          <t>ESS-SFTS-OTMS</t>
        </is>
      </c>
      <c r="Y359" s="3" t="n"/>
      <c r="Z359" s="3" t="inlineStr"/>
      <c r="AA359" s="3" t="inlineStr">
        <is>
          <t>寄付月結</t>
        </is>
      </c>
      <c r="AB359">
        <f>IFERROR(VLOOKUP(Q359&amp;"",對照表!$A:$B,1,FALSE),"")</f>
        <v/>
      </c>
      <c r="AC359">
        <f>IFERROR(VLOOKUP(Q359&amp;"",對照表!$A:$B,2,FALSE),"")</f>
        <v/>
      </c>
    </row>
    <row r="360">
      <c r="A360" s="3" t="inlineStr">
        <is>
          <t>SF5116616188188</t>
        </is>
      </c>
      <c r="B360" s="3" t="n">
        <v>58424825741349</v>
      </c>
      <c r="C360" s="3" t="inlineStr">
        <is>
          <t>已簽收</t>
        </is>
      </c>
      <c r="D360" s="3" t="inlineStr">
        <is>
          <t>2026-07-03 17:03:32</t>
        </is>
      </c>
      <c r="E360" s="3" t="inlineStr">
        <is>
          <t>2026-07-04 12:01</t>
        </is>
      </c>
      <c r="F360" s="3" t="n">
        <v>11.9</v>
      </c>
      <c r="G360" s="3" t="n">
        <v>1</v>
      </c>
      <c r="H360" s="3" t="n"/>
      <c r="I360" s="3" t="inlineStr"/>
      <c r="J360" s="3" t="inlineStr">
        <is>
          <t>Keeta</t>
        </is>
      </c>
      <c r="K360" s="3" t="inlineStr">
        <is>
          <t>****9568</t>
        </is>
      </c>
      <c r="L360" s="3" t="n"/>
      <c r="M360" s="3" t="inlineStr">
        <is>
          <t>***** 物流中心5樓</t>
        </is>
      </c>
      <c r="N360" s="3" t="inlineStr">
        <is>
          <t>北区</t>
        </is>
      </c>
      <c r="O360" s="3" t="inlineStr">
        <is>
          <t>香港</t>
        </is>
      </c>
      <c r="P360" s="3" t="inlineStr">
        <is>
          <t>香港特别行政区</t>
        </is>
      </c>
      <c r="Q360" s="3" t="n">
        <v>721443364</v>
      </c>
      <c r="R360" s="3" t="inlineStr">
        <is>
          <t>18GRAMS(北角)</t>
        </is>
      </c>
      <c r="S360" s="3" t="inlineStr">
        <is>
          <t>****95313511</t>
        </is>
      </c>
      <c r="T360" s="3" t="inlineStr">
        <is>
          <t>****95313511</t>
        </is>
      </c>
      <c r="U360" s="3" t="inlineStr">
        <is>
          <t>***** INT HK</t>
        </is>
      </c>
      <c r="V360" s="3" t="inlineStr">
        <is>
          <t>香港</t>
        </is>
      </c>
      <c r="W360" s="3" t="inlineStr">
        <is>
          <t>纸袋【Preminum黑】/ 箱出</t>
        </is>
      </c>
      <c r="X360" s="3" t="inlineStr">
        <is>
          <t>ESS-SFTS-OTMS</t>
        </is>
      </c>
      <c r="Y360" s="3" t="n"/>
      <c r="Z360" s="3" t="inlineStr"/>
      <c r="AA360" s="3" t="inlineStr">
        <is>
          <t>寄付月結</t>
        </is>
      </c>
      <c r="AB360">
        <f>IFERROR(VLOOKUP(Q360&amp;"",對照表!$A:$B,1,FALSE),"")</f>
        <v/>
      </c>
      <c r="AC360">
        <f>IFERROR(VLOOKUP(Q360&amp;"",對照表!$A:$B,2,FALSE),"")</f>
        <v/>
      </c>
    </row>
    <row r="361">
      <c r="A361" s="3" t="inlineStr">
        <is>
          <t>SF5116616188673</t>
        </is>
      </c>
      <c r="B361" s="3" t="n">
        <v>58424825741477</v>
      </c>
      <c r="C361" s="3" t="inlineStr">
        <is>
          <t>已簽收</t>
        </is>
      </c>
      <c r="D361" s="3" t="inlineStr">
        <is>
          <t>2026-07-03 12:20:30</t>
        </is>
      </c>
      <c r="E361" s="3" t="inlineStr">
        <is>
          <t>2026-07-04 10:19</t>
        </is>
      </c>
      <c r="F361" s="3" t="n">
        <v>46.4</v>
      </c>
      <c r="G361" s="3" t="n">
        <v>4</v>
      </c>
      <c r="H361" s="3" t="n"/>
      <c r="I361" s="3" t="inlineStr"/>
      <c r="J361" s="3" t="inlineStr">
        <is>
          <t>Keeta</t>
        </is>
      </c>
      <c r="K361" s="3" t="inlineStr">
        <is>
          <t>****9568</t>
        </is>
      </c>
      <c r="L361" s="3" t="n"/>
      <c r="M361" s="3" t="inlineStr">
        <is>
          <t>***** 物流中心5樓</t>
        </is>
      </c>
      <c r="N361" s="3" t="inlineStr">
        <is>
          <t>北区</t>
        </is>
      </c>
      <c r="O361" s="3" t="inlineStr">
        <is>
          <t>香港</t>
        </is>
      </c>
      <c r="P361" s="3" t="inlineStr">
        <is>
          <t>香港特别行政区</t>
        </is>
      </c>
      <c r="Q361" s="3" t="n">
        <v>721519295</v>
      </c>
      <c r="R361" s="3" t="inlineStr">
        <is>
          <t>極饌秘制白咖喱手作香煎肉餅飯</t>
        </is>
      </c>
      <c r="S361" s="3" t="inlineStr">
        <is>
          <t>****69726030</t>
        </is>
      </c>
      <c r="T361" s="3" t="inlineStr">
        <is>
          <t>****69726030</t>
        </is>
      </c>
      <c r="U361" s="3" t="inlineStr">
        <is>
          <t>***** 蘭苑地下A鋪</t>
        </is>
      </c>
      <c r="V361" s="3" t="inlineStr">
        <is>
          <t>香港</t>
        </is>
      </c>
      <c r="W361" s="3" t="inlineStr">
        <is>
          <t>无纺布【规格四大号】/ 箱出</t>
        </is>
      </c>
      <c r="X361" s="3" t="inlineStr">
        <is>
          <t>ESS-SFTS-OTMS</t>
        </is>
      </c>
      <c r="Y361" s="3" t="n"/>
      <c r="Z361" s="3" t="inlineStr"/>
      <c r="AA361" s="3" t="inlineStr">
        <is>
          <t>寄付月結</t>
        </is>
      </c>
      <c r="AB361">
        <f>IFERROR(VLOOKUP(Q361&amp;"",對照表!$A:$B,1,FALSE),"")</f>
        <v/>
      </c>
      <c r="AC361">
        <f>IFERROR(VLOOKUP(Q361&amp;"",對照表!$A:$B,2,FALSE),"")</f>
        <v/>
      </c>
    </row>
    <row r="362">
      <c r="A362" s="3" t="inlineStr">
        <is>
          <t>SF5116616188812</t>
        </is>
      </c>
      <c r="B362" s="3" t="n">
        <v>58424825741508</v>
      </c>
      <c r="C362" s="3" t="inlineStr">
        <is>
          <t>已簽收</t>
        </is>
      </c>
      <c r="D362" s="3" t="inlineStr">
        <is>
          <t>2026-07-03 10:25:39</t>
        </is>
      </c>
      <c r="E362" s="3" t="inlineStr">
        <is>
          <t>2026-07-04 12:57</t>
        </is>
      </c>
      <c r="F362" s="3" t="n">
        <v>1</v>
      </c>
      <c r="G362" s="3" t="n">
        <v>1</v>
      </c>
      <c r="H362" s="3" t="n"/>
      <c r="I362" s="3" t="inlineStr"/>
      <c r="J362" s="3" t="inlineStr">
        <is>
          <t>Keeta</t>
        </is>
      </c>
      <c r="K362" s="3" t="inlineStr">
        <is>
          <t>****9568</t>
        </is>
      </c>
      <c r="L362" s="3" t="n"/>
      <c r="M362" s="3" t="inlineStr">
        <is>
          <t>***** 物流中心5樓</t>
        </is>
      </c>
      <c r="N362" s="3" t="inlineStr">
        <is>
          <t>北区</t>
        </is>
      </c>
      <c r="O362" s="3" t="inlineStr">
        <is>
          <t>香港</t>
        </is>
      </c>
      <c r="P362" s="3" t="inlineStr">
        <is>
          <t>香港特别行政区</t>
        </is>
      </c>
      <c r="Q362" s="3" t="n">
        <v>481400</v>
      </c>
      <c r="R362" s="3" t="inlineStr">
        <is>
          <t>聚興樓（樂富)粵式秘製手撕雞</t>
        </is>
      </c>
      <c r="S362" s="3" t="inlineStr">
        <is>
          <t>****27610998</t>
        </is>
      </c>
      <c r="T362" s="3" t="inlineStr">
        <is>
          <t>****27610998</t>
        </is>
      </c>
      <c r="U362" s="3" t="inlineStr">
        <is>
          <t>***** 市427號舖</t>
        </is>
      </c>
      <c r="V362" s="3" t="inlineStr">
        <is>
          <t>香港</t>
        </is>
      </c>
      <c r="W362" s="3" t="inlineStr">
        <is>
          <t>塑料袋【大】/ 扎出</t>
        </is>
      </c>
      <c r="X362" s="3" t="inlineStr">
        <is>
          <t>ESS-SFTS-OTMS</t>
        </is>
      </c>
      <c r="Y362" s="3" t="n"/>
      <c r="Z362" s="3" t="inlineStr"/>
      <c r="AA362" s="3" t="inlineStr">
        <is>
          <t>寄付月結</t>
        </is>
      </c>
      <c r="AB362">
        <f>IFERROR(VLOOKUP(Q362&amp;"",對照表!$A:$B,1,FALSE),"")</f>
        <v/>
      </c>
      <c r="AC362">
        <f>IFERROR(VLOOKUP(Q362&amp;"",對照表!$A:$B,2,FALSE),"")</f>
        <v/>
      </c>
    </row>
    <row r="363">
      <c r="A363" s="3" t="inlineStr">
        <is>
          <t>SF5116616188567</t>
        </is>
      </c>
      <c r="B363" s="3" t="n">
        <v>58424825741446</v>
      </c>
      <c r="C363" s="3" t="inlineStr">
        <is>
          <t>派送中</t>
        </is>
      </c>
      <c r="D363" s="3" t="inlineStr">
        <is>
          <t>2026-07-03 13:45:10</t>
        </is>
      </c>
      <c r="E363" s="3" t="n"/>
      <c r="F363" s="3" t="n">
        <v>23.2</v>
      </c>
      <c r="G363" s="3" t="n">
        <v>2</v>
      </c>
      <c r="H363" s="3" t="n"/>
      <c r="I363" s="3" t="inlineStr"/>
      <c r="J363" s="3" t="inlineStr">
        <is>
          <t>Keeta</t>
        </is>
      </c>
      <c r="K363" s="3" t="inlineStr">
        <is>
          <t>****9568</t>
        </is>
      </c>
      <c r="L363" s="3" t="n"/>
      <c r="M363" s="3" t="inlineStr">
        <is>
          <t>***** 物流中心5樓</t>
        </is>
      </c>
      <c r="N363" s="3" t="inlineStr">
        <is>
          <t>北区</t>
        </is>
      </c>
      <c r="O363" s="3" t="inlineStr">
        <is>
          <t>香港</t>
        </is>
      </c>
      <c r="P363" s="3" t="inlineStr">
        <is>
          <t>香港特别行政区</t>
        </is>
      </c>
      <c r="Q363" s="3" t="n">
        <v>484591</v>
      </c>
      <c r="R363" s="3" t="inlineStr">
        <is>
          <t>食鮮辣滷車仔麵(灣仔)（車仔麵燒烤）</t>
        </is>
      </c>
      <c r="S363" s="3" t="inlineStr">
        <is>
          <t>****63608486</t>
        </is>
      </c>
      <c r="T363" s="3" t="inlineStr">
        <is>
          <t>****63608486</t>
        </is>
      </c>
      <c r="U363" s="3" t="inlineStr">
        <is>
          <t>***** 號地下1號舖</t>
        </is>
      </c>
      <c r="V363" s="3" t="inlineStr">
        <is>
          <t>香港</t>
        </is>
      </c>
      <c r="W363" s="3" t="inlineStr">
        <is>
          <t>无纺布【规格四大号】/ 箱出</t>
        </is>
      </c>
      <c r="X363" s="3" t="inlineStr">
        <is>
          <t>ESS-SFTS-OTMS</t>
        </is>
      </c>
      <c r="Y363" s="3" t="n"/>
      <c r="Z363" s="3" t="inlineStr"/>
      <c r="AA363" s="3" t="inlineStr">
        <is>
          <t>寄付月結</t>
        </is>
      </c>
      <c r="AB363">
        <f>IFERROR(VLOOKUP(Q363&amp;"",對照表!$A:$B,1,FALSE),"")</f>
        <v/>
      </c>
      <c r="AC363">
        <f>IFERROR(VLOOKUP(Q363&amp;"",對照表!$A:$B,2,FALSE),"")</f>
        <v/>
      </c>
    </row>
    <row r="364">
      <c r="A364" s="3" t="inlineStr">
        <is>
          <t>SF5116616188451</t>
        </is>
      </c>
      <c r="B364" s="3" t="n">
        <v>58424825741406</v>
      </c>
      <c r="C364" s="3" t="inlineStr">
        <is>
          <t>已簽收</t>
        </is>
      </c>
      <c r="D364" s="3" t="inlineStr">
        <is>
          <t>2026-07-03 16:50:14</t>
        </is>
      </c>
      <c r="E364" s="3" t="inlineStr">
        <is>
          <t>2026-07-04 15:13</t>
        </is>
      </c>
      <c r="F364" s="3" t="n">
        <v>38</v>
      </c>
      <c r="G364" s="3" t="n">
        <v>5</v>
      </c>
      <c r="H364" s="3" t="n"/>
      <c r="I364" s="3" t="inlineStr"/>
      <c r="J364" s="3" t="inlineStr">
        <is>
          <t>Keeta</t>
        </is>
      </c>
      <c r="K364" s="3" t="inlineStr">
        <is>
          <t>****9568</t>
        </is>
      </c>
      <c r="L364" s="3" t="n"/>
      <c r="M364" s="3" t="inlineStr">
        <is>
          <t>***** 物流中心5樓</t>
        </is>
      </c>
      <c r="N364" s="3" t="inlineStr">
        <is>
          <t>北区</t>
        </is>
      </c>
      <c r="O364" s="3" t="inlineStr">
        <is>
          <t>香港</t>
        </is>
      </c>
      <c r="P364" s="3" t="inlineStr">
        <is>
          <t>香港特别行政区</t>
        </is>
      </c>
      <c r="Q364" s="3" t="n">
        <v>721428386</v>
      </c>
      <c r="R364" s="3" t="inlineStr">
        <is>
          <t>林香檸手打檸檬茶(港大)</t>
        </is>
      </c>
      <c r="S364" s="3" t="inlineStr">
        <is>
          <t>****95836854</t>
        </is>
      </c>
      <c r="T364" s="3" t="inlineStr">
        <is>
          <t>****95836854</t>
        </is>
      </c>
      <c r="U364" s="3" t="inlineStr">
        <is>
          <t>***** 座地下3號舖</t>
        </is>
      </c>
      <c r="V364" s="3" t="inlineStr">
        <is>
          <t>香港</t>
        </is>
      </c>
      <c r="W364" s="3" t="inlineStr">
        <is>
          <t>无纺布【规格二双杯】/ 箱出, 纸袋【通版】/ 箱出, 杯托【2托】/ 箱出</t>
        </is>
      </c>
      <c r="X364" s="3" t="inlineStr">
        <is>
          <t>ESS-SFTS-OTMS</t>
        </is>
      </c>
      <c r="Y364" s="3" t="n"/>
      <c r="Z364" s="3" t="inlineStr"/>
      <c r="AA364" s="3" t="inlineStr">
        <is>
          <t>寄付月結</t>
        </is>
      </c>
      <c r="AB364">
        <f>IFERROR(VLOOKUP(Q364&amp;"",對照表!$A:$B,1,FALSE),"")</f>
        <v/>
      </c>
      <c r="AC364">
        <f>IFERROR(VLOOKUP(Q364&amp;"",對照表!$A:$B,2,FALSE),"")</f>
        <v/>
      </c>
    </row>
    <row r="365">
      <c r="A365" s="3" t="inlineStr">
        <is>
          <t>SF5116616188628</t>
        </is>
      </c>
      <c r="B365" s="3" t="n">
        <v>58424825741462</v>
      </c>
      <c r="C365" s="3" t="inlineStr">
        <is>
          <t>已簽收</t>
        </is>
      </c>
      <c r="D365" s="3" t="inlineStr">
        <is>
          <t>2026-07-03 11:10:31</t>
        </is>
      </c>
      <c r="E365" s="3" t="inlineStr">
        <is>
          <t>2026-07-04 13:09</t>
        </is>
      </c>
      <c r="F365" s="3" t="n">
        <v>45</v>
      </c>
      <c r="G365" s="3" t="n">
        <v>3</v>
      </c>
      <c r="H365" s="3" t="n"/>
      <c r="I365" s="3" t="inlineStr"/>
      <c r="J365" s="3" t="inlineStr">
        <is>
          <t>Keeta</t>
        </is>
      </c>
      <c r="K365" s="3" t="inlineStr">
        <is>
          <t>****9568</t>
        </is>
      </c>
      <c r="L365" s="3" t="n"/>
      <c r="M365" s="3" t="inlineStr">
        <is>
          <t>***** 物流中心5樓</t>
        </is>
      </c>
      <c r="N365" s="3" t="inlineStr">
        <is>
          <t>北区</t>
        </is>
      </c>
      <c r="O365" s="3" t="inlineStr">
        <is>
          <t>香港</t>
        </is>
      </c>
      <c r="P365" s="3" t="inlineStr">
        <is>
          <t>香港特别行政区</t>
        </is>
      </c>
      <c r="Q365" s="3" t="n">
        <v>721540376</v>
      </c>
      <c r="R365" s="3" t="inlineStr">
        <is>
          <t>大弗蘭</t>
        </is>
      </c>
      <c r="S365" s="3" t="inlineStr">
        <is>
          <t>****97440189</t>
        </is>
      </c>
      <c r="T365" s="3" t="inlineStr">
        <is>
          <t>****97440189</t>
        </is>
      </c>
      <c r="U365" s="3" t="inlineStr">
        <is>
          <t>***** 及G43號舖</t>
        </is>
      </c>
      <c r="V365" s="3" t="inlineStr">
        <is>
          <t>香港</t>
        </is>
      </c>
      <c r="W365" s="3" t="inlineStr">
        <is>
          <t>纸袋【通版】/ 箱出</t>
        </is>
      </c>
      <c r="X365" s="3" t="inlineStr">
        <is>
          <t>ESS-SFTS-OTMS</t>
        </is>
      </c>
      <c r="Y365" s="3" t="n"/>
      <c r="Z365" s="3" t="inlineStr"/>
      <c r="AA365" s="3" t="inlineStr">
        <is>
          <t>寄付月結</t>
        </is>
      </c>
      <c r="AB365">
        <f>IFERROR(VLOOKUP(Q365&amp;"",對照表!$A:$B,1,FALSE),"")</f>
        <v/>
      </c>
      <c r="AC365">
        <f>IFERROR(VLOOKUP(Q365&amp;"",對照表!$A:$B,2,FALSE),"")</f>
        <v/>
      </c>
    </row>
    <row r="366">
      <c r="A366" s="3" t="inlineStr">
        <is>
          <t>SF5116616188691</t>
        </is>
      </c>
      <c r="B366" s="3" t="n">
        <v>58424825741483</v>
      </c>
      <c r="C366" s="3" t="inlineStr">
        <is>
          <t>已簽收</t>
        </is>
      </c>
      <c r="D366" s="3" t="inlineStr">
        <is>
          <t>2026-07-03 11:45:41</t>
        </is>
      </c>
      <c r="E366" s="3" t="inlineStr">
        <is>
          <t>2026-07-04 12:06</t>
        </is>
      </c>
      <c r="F366" s="3" t="n">
        <v>11.9</v>
      </c>
      <c r="G366" s="3" t="n">
        <v>1</v>
      </c>
      <c r="H366" s="3" t="n"/>
      <c r="I366" s="3" t="inlineStr"/>
      <c r="J366" s="3" t="inlineStr">
        <is>
          <t>Keeta</t>
        </is>
      </c>
      <c r="K366" s="3" t="inlineStr">
        <is>
          <t>****9568</t>
        </is>
      </c>
      <c r="L366" s="3" t="n"/>
      <c r="M366" s="3" t="inlineStr">
        <is>
          <t>***** 物流中心5樓</t>
        </is>
      </c>
      <c r="N366" s="3" t="inlineStr">
        <is>
          <t>北区</t>
        </is>
      </c>
      <c r="O366" s="3" t="inlineStr">
        <is>
          <t>香港</t>
        </is>
      </c>
      <c r="P366" s="3" t="inlineStr">
        <is>
          <t>香港特别行政区</t>
        </is>
      </c>
      <c r="Q366" s="3" t="n">
        <v>754000</v>
      </c>
      <c r="R366" s="3" t="inlineStr">
        <is>
          <t>PizzaExpressPizzaPasta(黃埔天地)</t>
        </is>
      </c>
      <c r="S366" s="3" t="inlineStr">
        <is>
          <t>****31641306</t>
        </is>
      </c>
      <c r="T366" s="3" t="inlineStr">
        <is>
          <t>****31641306</t>
        </is>
      </c>
      <c r="U366" s="3" t="inlineStr">
        <is>
          <t>***** 下G40號舖</t>
        </is>
      </c>
      <c r="V366" s="3" t="inlineStr">
        <is>
          <t>香港</t>
        </is>
      </c>
      <c r="W366" s="3" t="inlineStr">
        <is>
          <t>无纺布【Preminum黑】/ 箱出</t>
        </is>
      </c>
      <c r="X366" s="3" t="inlineStr">
        <is>
          <t>ESS-SFTS-OTMS</t>
        </is>
      </c>
      <c r="Y366" s="3" t="n"/>
      <c r="Z366" s="3" t="inlineStr"/>
      <c r="AA366" s="3" t="inlineStr">
        <is>
          <t>寄付月結</t>
        </is>
      </c>
      <c r="AB366">
        <f>IFERROR(VLOOKUP(Q366&amp;"",對照表!$A:$B,1,FALSE),"")</f>
        <v/>
      </c>
      <c r="AC366">
        <f>IFERROR(VLOOKUP(Q366&amp;"",對照表!$A:$B,2,FALSE),"")</f>
        <v/>
      </c>
    </row>
    <row r="367">
      <c r="A367" s="3" t="inlineStr">
        <is>
          <t>SF5116616188724</t>
        </is>
      </c>
      <c r="B367" s="3" t="n">
        <v>58424825741489</v>
      </c>
      <c r="C367" s="3" t="inlineStr">
        <is>
          <t>已簽收</t>
        </is>
      </c>
      <c r="D367" s="3" t="inlineStr">
        <is>
          <t>2026-07-03 13:49:31</t>
        </is>
      </c>
      <c r="E367" s="3" t="inlineStr">
        <is>
          <t>2026-07-04 10:35</t>
        </is>
      </c>
      <c r="F367" s="3" t="n">
        <v>34.8</v>
      </c>
      <c r="G367" s="3" t="n">
        <v>3</v>
      </c>
      <c r="H367" s="3" t="n"/>
      <c r="I367" s="3" t="inlineStr"/>
      <c r="J367" s="3" t="inlineStr">
        <is>
          <t>Keeta</t>
        </is>
      </c>
      <c r="K367" s="3" t="inlineStr">
        <is>
          <t>****9568</t>
        </is>
      </c>
      <c r="L367" s="3" t="n"/>
      <c r="M367" s="3" t="inlineStr">
        <is>
          <t>***** 物流中心5樓</t>
        </is>
      </c>
      <c r="N367" s="3" t="inlineStr">
        <is>
          <t>北区</t>
        </is>
      </c>
      <c r="O367" s="3" t="inlineStr">
        <is>
          <t>香港</t>
        </is>
      </c>
      <c r="P367" s="3" t="inlineStr">
        <is>
          <t>香港特别行政区</t>
        </is>
      </c>
      <c r="Q367" s="3" t="n">
        <v>721441327</v>
      </c>
      <c r="R367" s="3" t="inlineStr">
        <is>
          <t>小龍坎x十二味麻辣冒菜香锅</t>
        </is>
      </c>
      <c r="S367" s="3" t="inlineStr">
        <is>
          <t>****90711207</t>
        </is>
      </c>
      <c r="T367" s="3" t="inlineStr">
        <is>
          <t>****90711207</t>
        </is>
      </c>
      <c r="U367" s="3" t="inlineStr">
        <is>
          <t>***** 場17樓A鋪</t>
        </is>
      </c>
      <c r="V367" s="3" t="inlineStr">
        <is>
          <t>香港</t>
        </is>
      </c>
      <c r="W367" s="3" t="inlineStr">
        <is>
          <t>无纺布【规格四大号】/ 箱出</t>
        </is>
      </c>
      <c r="X367" s="3" t="inlineStr">
        <is>
          <t>ESS-SFTS-OTMS</t>
        </is>
      </c>
      <c r="Y367" s="3" t="n"/>
      <c r="Z367" s="3" t="inlineStr"/>
      <c r="AA367" s="3" t="inlineStr">
        <is>
          <t>寄付月結</t>
        </is>
      </c>
      <c r="AB367">
        <f>IFERROR(VLOOKUP(Q367&amp;"",對照表!$A:$B,1,FALSE),"")</f>
        <v/>
      </c>
      <c r="AC367">
        <f>IFERROR(VLOOKUP(Q367&amp;"",對照表!$A:$B,2,FALSE),"")</f>
        <v/>
      </c>
    </row>
    <row r="368">
      <c r="A368" s="3" t="inlineStr">
        <is>
          <t>SF5116616188406</t>
        </is>
      </c>
      <c r="B368" s="3" t="n">
        <v>58424825741398</v>
      </c>
      <c r="C368" s="3" t="inlineStr">
        <is>
          <t>已簽收</t>
        </is>
      </c>
      <c r="D368" s="3" t="inlineStr">
        <is>
          <t>2026-07-03 11:51:42</t>
        </is>
      </c>
      <c r="E368" s="3" t="inlineStr">
        <is>
          <t>2026-07-04 10:19</t>
        </is>
      </c>
      <c r="F368" s="3" t="n">
        <v>20.2</v>
      </c>
      <c r="G368" s="3" t="n">
        <v>2</v>
      </c>
      <c r="H368" s="3" t="n"/>
      <c r="I368" s="3" t="inlineStr"/>
      <c r="J368" s="3" t="inlineStr">
        <is>
          <t>Keeta</t>
        </is>
      </c>
      <c r="K368" s="3" t="inlineStr">
        <is>
          <t>****9568</t>
        </is>
      </c>
      <c r="L368" s="3" t="n"/>
      <c r="M368" s="3" t="inlineStr">
        <is>
          <t>***** 物流中心5樓</t>
        </is>
      </c>
      <c r="N368" s="3" t="inlineStr">
        <is>
          <t>北区</t>
        </is>
      </c>
      <c r="O368" s="3" t="inlineStr">
        <is>
          <t>香港</t>
        </is>
      </c>
      <c r="P368" s="3" t="inlineStr">
        <is>
          <t>香港特别行政区</t>
        </is>
      </c>
      <c r="Q368" s="3" t="n">
        <v>721542378</v>
      </c>
      <c r="R368" s="3" t="inlineStr">
        <is>
          <t>窯雞王（大圍店）</t>
        </is>
      </c>
      <c r="S368" s="3" t="inlineStr">
        <is>
          <t>****67360359</t>
        </is>
      </c>
      <c r="T368" s="3" t="inlineStr">
        <is>
          <t>****67360359</t>
        </is>
      </c>
      <c r="U368" s="3" t="inlineStr">
        <is>
          <t>***** 2號地下C舖</t>
        </is>
      </c>
      <c r="V368" s="3" t="inlineStr">
        <is>
          <t>香港</t>
        </is>
      </c>
      <c r="W368" s="3" t="inlineStr">
        <is>
          <t>无纺布【规格三中号】/ 箱出</t>
        </is>
      </c>
      <c r="X368" s="3" t="inlineStr">
        <is>
          <t>ESS-SFTS-OTMS</t>
        </is>
      </c>
      <c r="Y368" s="3" t="n"/>
      <c r="Z368" s="3" t="inlineStr"/>
      <c r="AA368" s="3" t="inlineStr">
        <is>
          <t>寄付月結</t>
        </is>
      </c>
      <c r="AB368">
        <f>IFERROR(VLOOKUP(Q368&amp;"",對照表!$A:$B,1,FALSE),"")</f>
        <v/>
      </c>
      <c r="AC368">
        <f>IFERROR(VLOOKUP(Q368&amp;"",對照表!$A:$B,2,FALSE),"")</f>
        <v/>
      </c>
    </row>
    <row r="369">
      <c r="A369" s="3" t="inlineStr">
        <is>
          <t>SF5116616188594</t>
        </is>
      </c>
      <c r="B369" s="3" t="n">
        <v>58424825741454</v>
      </c>
      <c r="C369" s="3" t="inlineStr">
        <is>
          <t>已簽收</t>
        </is>
      </c>
      <c r="D369" s="3" t="inlineStr">
        <is>
          <t>2026-07-03 13:49:22</t>
        </is>
      </c>
      <c r="E369" s="3" t="inlineStr">
        <is>
          <t>2026-07-04 10:58</t>
        </is>
      </c>
      <c r="F369" s="3" t="n">
        <v>34.8</v>
      </c>
      <c r="G369" s="3" t="n">
        <v>3</v>
      </c>
      <c r="H369" s="3" t="n"/>
      <c r="I369" s="3" t="inlineStr"/>
      <c r="J369" s="3" t="inlineStr">
        <is>
          <t>Keeta</t>
        </is>
      </c>
      <c r="K369" s="3" t="inlineStr">
        <is>
          <t>****9568</t>
        </is>
      </c>
      <c r="L369" s="3" t="n"/>
      <c r="M369" s="3" t="inlineStr">
        <is>
          <t>***** 物流中心5樓</t>
        </is>
      </c>
      <c r="N369" s="3" t="inlineStr">
        <is>
          <t>北区</t>
        </is>
      </c>
      <c r="O369" s="3" t="inlineStr">
        <is>
          <t>香港</t>
        </is>
      </c>
      <c r="P369" s="3" t="inlineStr">
        <is>
          <t>香港特别行政区</t>
        </is>
      </c>
      <c r="Q369" s="3" t="n">
        <v>721523378</v>
      </c>
      <c r="R369" s="3" t="inlineStr">
        <is>
          <t>黃金閣</t>
        </is>
      </c>
      <c r="S369" s="3" t="inlineStr">
        <is>
          <t>****29226326</t>
        </is>
      </c>
      <c r="T369" s="3" t="inlineStr">
        <is>
          <t>****29226326</t>
        </is>
      </c>
      <c r="U369" s="3" t="inlineStr">
        <is>
          <t>***** 大廈一樓東翼</t>
        </is>
      </c>
      <c r="V369" s="3" t="inlineStr">
        <is>
          <t>香港</t>
        </is>
      </c>
      <c r="W369" s="3" t="inlineStr">
        <is>
          <t>无纺布【规格四大号】/ 箱出</t>
        </is>
      </c>
      <c r="X369" s="3" t="inlineStr">
        <is>
          <t>ESS-SFTS-OTMS</t>
        </is>
      </c>
      <c r="Y369" s="3" t="n"/>
      <c r="Z369" s="3" t="inlineStr"/>
      <c r="AA369" s="3" t="inlineStr">
        <is>
          <t>寄付月結</t>
        </is>
      </c>
      <c r="AB369">
        <f>IFERROR(VLOOKUP(Q369&amp;"",對照表!$A:$B,1,FALSE),"")</f>
        <v/>
      </c>
      <c r="AC369">
        <f>IFERROR(VLOOKUP(Q369&amp;"",對照表!$A:$B,2,FALSE),"")</f>
        <v/>
      </c>
    </row>
    <row r="370">
      <c r="A370" s="3" t="inlineStr">
        <is>
          <t>SF5116616188867</t>
        </is>
      </c>
      <c r="B370" s="3" t="n">
        <v>58424825741518</v>
      </c>
      <c r="C370" s="3" t="inlineStr">
        <is>
          <t>已簽收</t>
        </is>
      </c>
      <c r="D370" s="3" t="inlineStr">
        <is>
          <t>2026-07-03 12:20:31</t>
        </is>
      </c>
      <c r="E370" s="3" t="inlineStr">
        <is>
          <t>2026-07-04 09:33</t>
        </is>
      </c>
      <c r="F370" s="3" t="n">
        <v>46.4</v>
      </c>
      <c r="G370" s="3" t="n">
        <v>4</v>
      </c>
      <c r="H370" s="3" t="n"/>
      <c r="I370" s="3" t="inlineStr"/>
      <c r="J370" s="3" t="inlineStr">
        <is>
          <t>Keeta</t>
        </is>
      </c>
      <c r="K370" s="3" t="inlineStr">
        <is>
          <t>****9568</t>
        </is>
      </c>
      <c r="L370" s="3" t="n"/>
      <c r="M370" s="3" t="inlineStr">
        <is>
          <t>***** 物流中心5樓</t>
        </is>
      </c>
      <c r="N370" s="3" t="inlineStr">
        <is>
          <t>北区</t>
        </is>
      </c>
      <c r="O370" s="3" t="inlineStr">
        <is>
          <t>香港</t>
        </is>
      </c>
      <c r="P370" s="3" t="inlineStr">
        <is>
          <t>香港特别行政区</t>
        </is>
      </c>
      <c r="Q370" s="3" t="n">
        <v>593970</v>
      </c>
      <c r="R370" s="3" t="inlineStr">
        <is>
          <t>串燒兄妹(長沙灣)</t>
        </is>
      </c>
      <c r="S370" s="3" t="inlineStr">
        <is>
          <t>****54497339</t>
        </is>
      </c>
      <c r="T370" s="3" t="inlineStr">
        <is>
          <t>****54497339</t>
        </is>
      </c>
      <c r="U370" s="3" t="inlineStr">
        <is>
          <t>***** 廈地下6號鋪</t>
        </is>
      </c>
      <c r="V370" s="3" t="inlineStr">
        <is>
          <t>香港</t>
        </is>
      </c>
      <c r="W370" s="3" t="inlineStr">
        <is>
          <t>无纺布【规格四大号】/ 箱出</t>
        </is>
      </c>
      <c r="X370" s="3" t="inlineStr">
        <is>
          <t>ESS-SFTS-OTMS</t>
        </is>
      </c>
      <c r="Y370" s="3" t="n"/>
      <c r="Z370" s="3" t="inlineStr"/>
      <c r="AA370" s="3" t="inlineStr">
        <is>
          <t>寄付月結</t>
        </is>
      </c>
      <c r="AB370">
        <f>IFERROR(VLOOKUP(Q370&amp;"",對照表!$A:$B,1,FALSE),"")</f>
        <v/>
      </c>
      <c r="AC370">
        <f>IFERROR(VLOOKUP(Q370&amp;"",對照表!$A:$B,2,FALSE),"")</f>
        <v/>
      </c>
    </row>
    <row r="371">
      <c r="A371" s="3" t="inlineStr">
        <is>
          <t>SF5116616188803</t>
        </is>
      </c>
      <c r="B371" s="3" t="n">
        <v>58424825741506</v>
      </c>
      <c r="C371" s="3" t="inlineStr">
        <is>
          <t>已簽收</t>
        </is>
      </c>
      <c r="D371" s="3" t="inlineStr">
        <is>
          <t>2026-07-03 10:25:57</t>
        </is>
      </c>
      <c r="E371" s="3" t="inlineStr">
        <is>
          <t>2026-07-04 18:52</t>
        </is>
      </c>
      <c r="F371" s="3" t="n">
        <v>1</v>
      </c>
      <c r="G371" s="3" t="n">
        <v>1</v>
      </c>
      <c r="H371" s="3" t="n"/>
      <c r="I371" s="3" t="inlineStr"/>
      <c r="J371" s="3" t="inlineStr">
        <is>
          <t>Keeta</t>
        </is>
      </c>
      <c r="K371" s="3" t="inlineStr">
        <is>
          <t>****9568</t>
        </is>
      </c>
      <c r="L371" s="3" t="n"/>
      <c r="M371" s="3" t="inlineStr">
        <is>
          <t>***** 物流中心5樓</t>
        </is>
      </c>
      <c r="N371" s="3" t="inlineStr">
        <is>
          <t>北区</t>
        </is>
      </c>
      <c r="O371" s="3" t="inlineStr">
        <is>
          <t>香港</t>
        </is>
      </c>
      <c r="P371" s="3" t="inlineStr">
        <is>
          <t>香港特别行政区</t>
        </is>
      </c>
      <c r="Q371" s="3" t="n">
        <v>461961</v>
      </c>
      <c r="R371" s="3" t="inlineStr">
        <is>
          <t>五道台灣手抓餅專門店(我地都有一人餐喇快d嗌啦))</t>
        </is>
      </c>
      <c r="S371" s="3" t="inlineStr">
        <is>
          <t>****57026763</t>
        </is>
      </c>
      <c r="T371" s="3" t="inlineStr">
        <is>
          <t>****57026763</t>
        </is>
      </c>
      <c r="U371" s="3" t="inlineStr">
        <is>
          <t>***** 號地下D號舖</t>
        </is>
      </c>
      <c r="V371" s="3" t="inlineStr">
        <is>
          <t>香港</t>
        </is>
      </c>
      <c r="W371" s="3" t="inlineStr">
        <is>
          <t>塑料袋【大】/ 扎出</t>
        </is>
      </c>
      <c r="X371" s="3" t="inlineStr">
        <is>
          <t>ESS-SFTS-OTMS</t>
        </is>
      </c>
      <c r="Y371" s="3" t="n"/>
      <c r="Z371" s="3" t="inlineStr"/>
      <c r="AA371" s="3" t="inlineStr">
        <is>
          <t>寄付月結</t>
        </is>
      </c>
      <c r="AB371">
        <f>IFERROR(VLOOKUP(Q371&amp;"",對照表!$A:$B,1,FALSE),"")</f>
        <v/>
      </c>
      <c r="AC371">
        <f>IFERROR(VLOOKUP(Q371&amp;"",對照表!$A:$B,2,FALSE),"")</f>
        <v/>
      </c>
    </row>
    <row r="372">
      <c r="A372" s="3" t="inlineStr">
        <is>
          <t>SF5116616188682</t>
        </is>
      </c>
      <c r="B372" s="3" t="n">
        <v>58424825741480</v>
      </c>
      <c r="C372" s="3" t="inlineStr">
        <is>
          <t>已簽收</t>
        </is>
      </c>
      <c r="D372" s="3" t="inlineStr">
        <is>
          <t>2026-07-03 11:45:40</t>
        </is>
      </c>
      <c r="E372" s="3" t="inlineStr">
        <is>
          <t>2026-07-04 09:00</t>
        </is>
      </c>
      <c r="F372" s="3" t="n">
        <v>11.9</v>
      </c>
      <c r="G372" s="3" t="n">
        <v>1</v>
      </c>
      <c r="H372" s="3" t="n"/>
      <c r="I372" s="3" t="inlineStr"/>
      <c r="J372" s="3" t="inlineStr">
        <is>
          <t>Keeta</t>
        </is>
      </c>
      <c r="K372" s="3" t="inlineStr">
        <is>
          <t>****9568</t>
        </is>
      </c>
      <c r="L372" s="3" t="n"/>
      <c r="M372" s="3" t="inlineStr">
        <is>
          <t>***** 物流中心5樓</t>
        </is>
      </c>
      <c r="N372" s="3" t="inlineStr">
        <is>
          <t>北区</t>
        </is>
      </c>
      <c r="O372" s="3" t="inlineStr">
        <is>
          <t>香港</t>
        </is>
      </c>
      <c r="P372" s="3" t="inlineStr">
        <is>
          <t>香港特别行政区</t>
        </is>
      </c>
      <c r="Q372" s="3" t="n">
        <v>721429334</v>
      </c>
      <c r="R372" s="3" t="inlineStr">
        <is>
          <t>UrbanCoffeeRoaster(TST)</t>
        </is>
      </c>
      <c r="S372" s="3" t="inlineStr">
        <is>
          <t>****23633661</t>
        </is>
      </c>
      <c r="T372" s="3" t="inlineStr">
        <is>
          <t>****23633661</t>
        </is>
      </c>
      <c r="U372" s="3" t="inlineStr">
        <is>
          <t>***** 地下44號舖</t>
        </is>
      </c>
      <c r="V372" s="3" t="inlineStr">
        <is>
          <t>香港</t>
        </is>
      </c>
      <c r="W372" s="3" t="inlineStr">
        <is>
          <t>无纺布【Preminum黑】/ 箱出</t>
        </is>
      </c>
      <c r="X372" s="3" t="inlineStr">
        <is>
          <t>ESS-SFTS-OTMS</t>
        </is>
      </c>
      <c r="Y372" s="3" t="n"/>
      <c r="Z372" s="3" t="inlineStr"/>
      <c r="AA372" s="3" t="inlineStr">
        <is>
          <t>寄付月結</t>
        </is>
      </c>
      <c r="AB372">
        <f>IFERROR(VLOOKUP(Q372&amp;"",對照表!$A:$B,1,FALSE),"")</f>
        <v/>
      </c>
      <c r="AC372">
        <f>IFERROR(VLOOKUP(Q372&amp;"",對照表!$A:$B,2,FALSE),"")</f>
        <v/>
      </c>
    </row>
    <row r="373">
      <c r="A373" s="3" t="inlineStr">
        <is>
          <t>SF5116616188328</t>
        </is>
      </c>
      <c r="B373" s="3" t="n">
        <v>58424825741376</v>
      </c>
      <c r="C373" s="3" t="inlineStr">
        <is>
          <t>已簽收</t>
        </is>
      </c>
      <c r="D373" s="3" t="inlineStr">
        <is>
          <t>2026-07-03 17:03:42</t>
        </is>
      </c>
      <c r="E373" s="3" t="inlineStr">
        <is>
          <t>2026-07-04 12:33</t>
        </is>
      </c>
      <c r="F373" s="3" t="n">
        <v>35.58</v>
      </c>
      <c r="G373" s="3" t="n">
        <v>3</v>
      </c>
      <c r="H373" s="3" t="n"/>
      <c r="I373" s="3" t="inlineStr"/>
      <c r="J373" s="3" t="inlineStr">
        <is>
          <t>Keeta</t>
        </is>
      </c>
      <c r="K373" s="3" t="inlineStr">
        <is>
          <t>****9568</t>
        </is>
      </c>
      <c r="L373" s="3" t="n"/>
      <c r="M373" s="3" t="inlineStr">
        <is>
          <t>***** 物流中心5樓</t>
        </is>
      </c>
      <c r="N373" s="3" t="inlineStr">
        <is>
          <t>北区</t>
        </is>
      </c>
      <c r="O373" s="3" t="inlineStr">
        <is>
          <t>香港</t>
        </is>
      </c>
      <c r="P373" s="3" t="inlineStr">
        <is>
          <t>香港特别行政区</t>
        </is>
      </c>
      <c r="Q373" s="3" t="n">
        <v>491458</v>
      </c>
      <c r="R373" s="3" t="inlineStr">
        <is>
          <t>BrunchClub(中環)</t>
        </is>
      </c>
      <c r="S373" s="3" t="inlineStr">
        <is>
          <t>****25268861</t>
        </is>
      </c>
      <c r="T373" s="3" t="inlineStr">
        <is>
          <t>****25268861</t>
        </is>
      </c>
      <c r="U373" s="3" t="inlineStr">
        <is>
          <t>***** 街70號地下</t>
        </is>
      </c>
      <c r="V373" s="3" t="inlineStr">
        <is>
          <t>香港</t>
        </is>
      </c>
      <c r="W373" s="3" t="inlineStr">
        <is>
          <t>纸袋【Preminum黑】/ 箱出</t>
        </is>
      </c>
      <c r="X373" s="3" t="inlineStr">
        <is>
          <t>ESS-SFTS-OTMS</t>
        </is>
      </c>
      <c r="Y373" s="3" t="n"/>
      <c r="Z373" s="3" t="inlineStr"/>
      <c r="AA373" s="3" t="inlineStr">
        <is>
          <t>寄付月結</t>
        </is>
      </c>
      <c r="AB373">
        <f>IFERROR(VLOOKUP(Q373&amp;"",對照表!$A:$B,1,FALSE),"")</f>
        <v/>
      </c>
      <c r="AC373">
        <f>IFERROR(VLOOKUP(Q373&amp;"",對照表!$A:$B,2,FALSE),"")</f>
        <v/>
      </c>
    </row>
    <row r="374">
      <c r="A374" s="3" t="inlineStr">
        <is>
          <t>SF5116616188497</t>
        </is>
      </c>
      <c r="B374" s="3" t="n">
        <v>58424825741420</v>
      </c>
      <c r="C374" s="3" t="inlineStr">
        <is>
          <t>已簽收</t>
        </is>
      </c>
      <c r="D374" s="3" t="inlineStr">
        <is>
          <t>2026-07-03 10:25:24</t>
        </is>
      </c>
      <c r="E374" s="3" t="inlineStr">
        <is>
          <t>2026-07-04 12:48</t>
        </is>
      </c>
      <c r="F374" s="3" t="n">
        <v>1</v>
      </c>
      <c r="G374" s="3" t="n">
        <v>1</v>
      </c>
      <c r="H374" s="3" t="n"/>
      <c r="I374" s="3" t="inlineStr"/>
      <c r="J374" s="3" t="inlineStr">
        <is>
          <t>Keeta</t>
        </is>
      </c>
      <c r="K374" s="3" t="inlineStr">
        <is>
          <t>****9568</t>
        </is>
      </c>
      <c r="L374" s="3" t="n"/>
      <c r="M374" s="3" t="inlineStr">
        <is>
          <t>***** 物流中心5樓</t>
        </is>
      </c>
      <c r="N374" s="3" t="inlineStr">
        <is>
          <t>北区</t>
        </is>
      </c>
      <c r="O374" s="3" t="inlineStr">
        <is>
          <t>香港</t>
        </is>
      </c>
      <c r="P374" s="3" t="inlineStr">
        <is>
          <t>香港特别行政区</t>
        </is>
      </c>
      <c r="Q374" s="3" t="n">
        <v>474740</v>
      </c>
      <c r="R374" s="3" t="inlineStr">
        <is>
          <t>聚興樓(順利邨)粵式秘製手撕雞</t>
        </is>
      </c>
      <c r="S374" s="3" t="inlineStr">
        <is>
          <t>****27634998</t>
        </is>
      </c>
      <c r="T374" s="3" t="inlineStr">
        <is>
          <t>****27634998</t>
        </is>
      </c>
      <c r="U374" s="3" t="inlineStr">
        <is>
          <t>***** 樓G04號舖</t>
        </is>
      </c>
      <c r="V374" s="3" t="inlineStr">
        <is>
          <t>香港</t>
        </is>
      </c>
      <c r="W374" s="3" t="inlineStr">
        <is>
          <t>塑料袋【大】/ 扎出</t>
        </is>
      </c>
      <c r="X374" s="3" t="inlineStr">
        <is>
          <t>ESS-SFTS-OTMS</t>
        </is>
      </c>
      <c r="Y374" s="3" t="n"/>
      <c r="Z374" s="3" t="inlineStr"/>
      <c r="AA374" s="3" t="inlineStr">
        <is>
          <t>寄付月結</t>
        </is>
      </c>
      <c r="AB374">
        <f>IFERROR(VLOOKUP(Q374&amp;"",對照表!$A:$B,1,FALSE),"")</f>
        <v/>
      </c>
      <c r="AC374">
        <f>IFERROR(VLOOKUP(Q374&amp;"",對照表!$A:$B,2,FALSE),"")</f>
        <v/>
      </c>
    </row>
    <row r="375">
      <c r="A375" s="3" t="inlineStr">
        <is>
          <t>SF5116616188637</t>
        </is>
      </c>
      <c r="B375" s="3" t="n">
        <v>58424825741469</v>
      </c>
      <c r="C375" s="3" t="inlineStr">
        <is>
          <t>已簽收</t>
        </is>
      </c>
      <c r="D375" s="3" t="inlineStr">
        <is>
          <t>2026-07-03 11:09:52</t>
        </is>
      </c>
      <c r="E375" s="3" t="inlineStr">
        <is>
          <t>2026-07-04 12:01</t>
        </is>
      </c>
      <c r="F375" s="3" t="n">
        <v>45</v>
      </c>
      <c r="G375" s="3" t="n">
        <v>3</v>
      </c>
      <c r="H375" s="3" t="n"/>
      <c r="I375" s="3" t="inlineStr"/>
      <c r="J375" s="3" t="inlineStr">
        <is>
          <t>Keeta</t>
        </is>
      </c>
      <c r="K375" s="3" t="inlineStr">
        <is>
          <t>****9568</t>
        </is>
      </c>
      <c r="L375" s="3" t="n"/>
      <c r="M375" s="3" t="inlineStr">
        <is>
          <t>***** 物流中心5樓</t>
        </is>
      </c>
      <c r="N375" s="3" t="inlineStr">
        <is>
          <t>北区</t>
        </is>
      </c>
      <c r="O375" s="3" t="inlineStr">
        <is>
          <t>香港</t>
        </is>
      </c>
      <c r="P375" s="3" t="inlineStr">
        <is>
          <t>香港特别行政区</t>
        </is>
      </c>
      <c r="Q375" s="3" t="n">
        <v>461844</v>
      </c>
      <c r="R375" s="3" t="inlineStr">
        <is>
          <t>ThePantryChipsRepublic</t>
        </is>
      </c>
      <c r="S375" s="3" t="inlineStr">
        <is>
          <t>****29555662</t>
        </is>
      </c>
      <c r="T375" s="3" t="inlineStr">
        <is>
          <t>****29555662</t>
        </is>
      </c>
      <c r="U375" s="3" t="inlineStr">
        <is>
          <t>***** -438號舖</t>
        </is>
      </c>
      <c r="V375" s="3" t="inlineStr">
        <is>
          <t>香港</t>
        </is>
      </c>
      <c r="W375" s="3" t="inlineStr">
        <is>
          <t>纸袋【通版】/ 箱出</t>
        </is>
      </c>
      <c r="X375" s="3" t="inlineStr">
        <is>
          <t>ESS-SFTS-OTMS</t>
        </is>
      </c>
      <c r="Y375" s="3" t="n"/>
      <c r="Z375" s="3" t="inlineStr"/>
      <c r="AA375" s="3" t="inlineStr">
        <is>
          <t>寄付月結</t>
        </is>
      </c>
      <c r="AB375">
        <f>IFERROR(VLOOKUP(Q375&amp;"",對照表!$A:$B,1,FALSE),"")</f>
        <v/>
      </c>
      <c r="AC375">
        <f>IFERROR(VLOOKUP(Q375&amp;"",對照表!$A:$B,2,FALSE),"")</f>
        <v/>
      </c>
    </row>
    <row r="376">
      <c r="A376" s="3" t="inlineStr">
        <is>
          <t>SF5116616188655</t>
        </is>
      </c>
      <c r="B376" s="3" t="n">
        <v>58424825741473</v>
      </c>
      <c r="C376" s="3" t="inlineStr">
        <is>
          <t>已簽收</t>
        </is>
      </c>
      <c r="D376" s="3" t="inlineStr">
        <is>
          <t>2026-07-03 11:45:43</t>
        </is>
      </c>
      <c r="E376" s="3" t="inlineStr">
        <is>
          <t>2026-07-04 13:56</t>
        </is>
      </c>
      <c r="F376" s="3" t="n">
        <v>11.9</v>
      </c>
      <c r="G376" s="3" t="n">
        <v>1</v>
      </c>
      <c r="H376" s="3" t="n"/>
      <c r="I376" s="3" t="inlineStr"/>
      <c r="J376" s="3" t="inlineStr">
        <is>
          <t>Keeta</t>
        </is>
      </c>
      <c r="K376" s="3" t="inlineStr">
        <is>
          <t>****9568</t>
        </is>
      </c>
      <c r="L376" s="3" t="n"/>
      <c r="M376" s="3" t="inlineStr">
        <is>
          <t>***** 物流中心5樓</t>
        </is>
      </c>
      <c r="N376" s="3" t="inlineStr">
        <is>
          <t>北区</t>
        </is>
      </c>
      <c r="O376" s="3" t="inlineStr">
        <is>
          <t>香港</t>
        </is>
      </c>
      <c r="P376" s="3" t="inlineStr">
        <is>
          <t>香港特别行政区</t>
        </is>
      </c>
      <c r="Q376" s="3" t="n">
        <v>717848</v>
      </c>
      <c r="R376" s="3" t="inlineStr">
        <is>
          <t>PizzaExpressPizzaPasta(青衣城)</t>
        </is>
      </c>
      <c r="S376" s="3" t="inlineStr">
        <is>
          <t>****31641344</t>
        </is>
      </c>
      <c r="T376" s="3" t="inlineStr">
        <is>
          <t>****31641344</t>
        </is>
      </c>
      <c r="U376" s="3" t="inlineStr">
        <is>
          <t>*****  325號舖</t>
        </is>
      </c>
      <c r="V376" s="3" t="inlineStr">
        <is>
          <t>香港</t>
        </is>
      </c>
      <c r="W376" s="3" t="inlineStr">
        <is>
          <t>无纺布【Preminum黑】/ 箱出</t>
        </is>
      </c>
      <c r="X376" s="3" t="inlineStr">
        <is>
          <t>ESS-SFTS-OTMS</t>
        </is>
      </c>
      <c r="Y376" s="3" t="n"/>
      <c r="Z376" s="3" t="inlineStr"/>
      <c r="AA376" s="3" t="inlineStr">
        <is>
          <t>寄付月結</t>
        </is>
      </c>
      <c r="AB376">
        <f>IFERROR(VLOOKUP(Q376&amp;"",對照表!$A:$B,1,FALSE),"")</f>
        <v/>
      </c>
      <c r="AC376">
        <f>IFERROR(VLOOKUP(Q376&amp;"",對照表!$A:$B,2,FALSE),"")</f>
        <v/>
      </c>
    </row>
    <row r="377">
      <c r="A377" s="3" t="inlineStr">
        <is>
          <t>SF5116616188221</t>
        </is>
      </c>
      <c r="B377" s="3" t="n">
        <v>58424825741356</v>
      </c>
      <c r="C377" s="3" t="inlineStr">
        <is>
          <t>已簽收</t>
        </is>
      </c>
      <c r="D377" s="3" t="inlineStr">
        <is>
          <t>2026-07-03 14:48:10</t>
        </is>
      </c>
      <c r="E377" s="3" t="inlineStr">
        <is>
          <t>2026-07-04 12:06</t>
        </is>
      </c>
      <c r="F377" s="3" t="n">
        <v>54.57</v>
      </c>
      <c r="G377" s="3" t="n">
        <v>5</v>
      </c>
      <c r="H377" s="3" t="n"/>
      <c r="I377" s="3" t="inlineStr"/>
      <c r="J377" s="3" t="inlineStr">
        <is>
          <t>Keeta</t>
        </is>
      </c>
      <c r="K377" s="3" t="inlineStr">
        <is>
          <t>****9568</t>
        </is>
      </c>
      <c r="L377" s="3" t="n"/>
      <c r="M377" s="3" t="inlineStr">
        <is>
          <t>***** 物流中心5樓</t>
        </is>
      </c>
      <c r="N377" s="3" t="inlineStr">
        <is>
          <t>北区</t>
        </is>
      </c>
      <c r="O377" s="3" t="inlineStr">
        <is>
          <t>香港</t>
        </is>
      </c>
      <c r="P377" s="3" t="inlineStr">
        <is>
          <t>香港特别行政区</t>
        </is>
      </c>
      <c r="Q377" s="3" t="n">
        <v>721427341</v>
      </c>
      <c r="R377" s="3" t="inlineStr">
        <is>
          <t>薔紅宅急便金牌脆皮燒雞（佐敦店）</t>
        </is>
      </c>
      <c r="S377" s="3" t="inlineStr">
        <is>
          <t>****93339147</t>
        </is>
      </c>
      <c r="T377" s="3" t="inlineStr">
        <is>
          <t>****93339147</t>
        </is>
      </c>
      <c r="U377" s="3" t="inlineStr">
        <is>
          <t>***** 及LG10鋪</t>
        </is>
      </c>
      <c r="V377" s="3" t="inlineStr">
        <is>
          <t>香港</t>
        </is>
      </c>
      <c r="W377" s="3" t="inlineStr">
        <is>
          <t>无纺布【规格四大号】/ 箱出, 无纺布【规格三中号】/ 箱出</t>
        </is>
      </c>
      <c r="X377" s="3" t="inlineStr">
        <is>
          <t>ESS-SFTS-OTMS</t>
        </is>
      </c>
      <c r="Y377" s="3" t="n"/>
      <c r="Z377" s="3" t="inlineStr"/>
      <c r="AA377" s="3" t="inlineStr">
        <is>
          <t>寄付月結</t>
        </is>
      </c>
      <c r="AB377">
        <f>IFERROR(VLOOKUP(Q377&amp;"",對照表!$A:$B,1,FALSE),"")</f>
        <v/>
      </c>
      <c r="AC377">
        <f>IFERROR(VLOOKUP(Q377&amp;"",對照表!$A:$B,2,FALSE),"")</f>
        <v/>
      </c>
    </row>
    <row r="378">
      <c r="A378" s="3" t="inlineStr">
        <is>
          <t>SF5116616188373</t>
        </is>
      </c>
      <c r="B378" s="3" t="n">
        <v>58424825741389</v>
      </c>
      <c r="C378" s="3" t="inlineStr">
        <is>
          <t>已簽收</t>
        </is>
      </c>
      <c r="D378" s="3" t="inlineStr">
        <is>
          <t>2026-07-03 11:41:04</t>
        </is>
      </c>
      <c r="E378" s="3" t="inlineStr">
        <is>
          <t>2026-07-04 11:40</t>
        </is>
      </c>
      <c r="F378" s="3" t="n">
        <v>23.64</v>
      </c>
      <c r="G378" s="3" t="n">
        <v>2</v>
      </c>
      <c r="H378" s="3" t="n"/>
      <c r="I378" s="3" t="inlineStr"/>
      <c r="J378" s="3" t="inlineStr">
        <is>
          <t>Keeta</t>
        </is>
      </c>
      <c r="K378" s="3" t="inlineStr">
        <is>
          <t>****9568</t>
        </is>
      </c>
      <c r="L378" s="3" t="n"/>
      <c r="M378" s="3" t="inlineStr">
        <is>
          <t>***** 物流中心5樓</t>
        </is>
      </c>
      <c r="N378" s="3" t="inlineStr">
        <is>
          <t>北区</t>
        </is>
      </c>
      <c r="O378" s="3" t="inlineStr">
        <is>
          <t>香港</t>
        </is>
      </c>
      <c r="P378" s="3" t="inlineStr">
        <is>
          <t>香港特别行政区</t>
        </is>
      </c>
      <c r="Q378" s="3" t="n">
        <v>721430327</v>
      </c>
      <c r="R378" s="3" t="inlineStr">
        <is>
          <t>UrbanCoffeeRoaster(TKO)</t>
        </is>
      </c>
      <c r="S378" s="3" t="inlineStr">
        <is>
          <t>****62317720</t>
        </is>
      </c>
      <c r="T378" s="3" t="inlineStr">
        <is>
          <t>****62317720</t>
        </is>
      </c>
      <c r="U378" s="3" t="inlineStr">
        <is>
          <t>***** 地下12號舖</t>
        </is>
      </c>
      <c r="V378" s="3" t="inlineStr">
        <is>
          <t>香港</t>
        </is>
      </c>
      <c r="W378" s="3" t="inlineStr">
        <is>
          <t>无纺布【Preminum黑】/ 箱出</t>
        </is>
      </c>
      <c r="X378" s="3" t="inlineStr">
        <is>
          <t>ESS-SFTS-OTMS</t>
        </is>
      </c>
      <c r="Y378" s="3" t="n"/>
      <c r="Z378" s="3" t="inlineStr"/>
      <c r="AA378" s="3" t="inlineStr">
        <is>
          <t>寄付月結</t>
        </is>
      </c>
      <c r="AB378">
        <f>IFERROR(VLOOKUP(Q378&amp;"",對照表!$A:$B,1,FALSE),"")</f>
        <v/>
      </c>
      <c r="AC378">
        <f>IFERROR(VLOOKUP(Q378&amp;"",對照表!$A:$B,2,FALSE),"")</f>
        <v/>
      </c>
    </row>
    <row r="379">
      <c r="A379" s="3" t="inlineStr">
        <is>
          <t>SF5116616188197</t>
        </is>
      </c>
      <c r="B379" s="3" t="n">
        <v>58424825741351</v>
      </c>
      <c r="C379" s="3" t="inlineStr">
        <is>
          <t>已簽收</t>
        </is>
      </c>
      <c r="D379" s="3" t="inlineStr">
        <is>
          <t>2026-07-03 16:34:08</t>
        </is>
      </c>
      <c r="E379" s="3" t="inlineStr">
        <is>
          <t>2026-07-04 16:00</t>
        </is>
      </c>
      <c r="F379" s="3" t="n">
        <v>59.36</v>
      </c>
      <c r="G379" s="3" t="n">
        <v>6</v>
      </c>
      <c r="H379" s="3" t="n"/>
      <c r="I379" s="3" t="inlineStr"/>
      <c r="J379" s="3" t="inlineStr">
        <is>
          <t>Keeta</t>
        </is>
      </c>
      <c r="K379" s="3" t="inlineStr">
        <is>
          <t>****9568</t>
        </is>
      </c>
      <c r="L379" s="3" t="n"/>
      <c r="M379" s="3" t="inlineStr">
        <is>
          <t>***** 物流中心5樓</t>
        </is>
      </c>
      <c r="N379" s="3" t="inlineStr">
        <is>
          <t>北区</t>
        </is>
      </c>
      <c r="O379" s="3" t="inlineStr">
        <is>
          <t>香港</t>
        </is>
      </c>
      <c r="P379" s="3" t="inlineStr">
        <is>
          <t>香港特别行政区</t>
        </is>
      </c>
      <c r="Q379" s="3" t="n">
        <v>458369</v>
      </c>
      <c r="R379" s="3" t="inlineStr">
        <is>
          <t>HABIT(MiraPlace)</t>
        </is>
      </c>
      <c r="S379" s="3" t="inlineStr">
        <is>
          <t>****35720846</t>
        </is>
      </c>
      <c r="T379" s="3" t="inlineStr">
        <is>
          <t>****35720846</t>
        </is>
      </c>
      <c r="U379" s="3" t="inlineStr">
        <is>
          <t>***** B142號舖</t>
        </is>
      </c>
      <c r="V379" s="3" t="inlineStr">
        <is>
          <t>香港</t>
        </is>
      </c>
      <c r="W379" s="3" t="inlineStr">
        <is>
          <t>无纺布【Preminum黑】/ 箱出, 纸袋【Preminum黑】/ 箱出, 无纺布【规格一单杯】/ 箱出</t>
        </is>
      </c>
      <c r="X379" s="3" t="inlineStr">
        <is>
          <t>ESS-SFTS-OTMS</t>
        </is>
      </c>
      <c r="Y379" s="3" t="n"/>
      <c r="Z379" s="3" t="inlineStr"/>
      <c r="AA379" s="3" t="inlineStr">
        <is>
          <t>寄付月結</t>
        </is>
      </c>
      <c r="AB379">
        <f>IFERROR(VLOOKUP(Q379&amp;"",對照表!$A:$B,1,FALSE),"")</f>
        <v/>
      </c>
      <c r="AC379">
        <f>IFERROR(VLOOKUP(Q379&amp;"",對照表!$A:$B,2,FALSE),"")</f>
        <v/>
      </c>
    </row>
    <row r="380">
      <c r="A380" s="3" t="inlineStr">
        <is>
          <t>SF5116616188706</t>
        </is>
      </c>
      <c r="B380" s="3" t="n">
        <v>58424825741485</v>
      </c>
      <c r="C380" s="3" t="inlineStr">
        <is>
          <t>已簽收</t>
        </is>
      </c>
      <c r="D380" s="3" t="inlineStr">
        <is>
          <t>2026-07-03 11:52:05</t>
        </is>
      </c>
      <c r="E380" s="3" t="inlineStr">
        <is>
          <t>2026-07-04 12:36</t>
        </is>
      </c>
      <c r="F380" s="3" t="n">
        <v>10.1</v>
      </c>
      <c r="G380" s="3" t="n">
        <v>1</v>
      </c>
      <c r="H380" s="3" t="n"/>
      <c r="I380" s="3" t="inlineStr"/>
      <c r="J380" s="3" t="inlineStr">
        <is>
          <t>Keeta</t>
        </is>
      </c>
      <c r="K380" s="3" t="inlineStr">
        <is>
          <t>****9568</t>
        </is>
      </c>
      <c r="L380" s="3" t="n"/>
      <c r="M380" s="3" t="inlineStr">
        <is>
          <t>***** 物流中心5樓</t>
        </is>
      </c>
      <c r="N380" s="3" t="inlineStr">
        <is>
          <t>北区</t>
        </is>
      </c>
      <c r="O380" s="3" t="inlineStr">
        <is>
          <t>香港</t>
        </is>
      </c>
      <c r="P380" s="3" t="inlineStr">
        <is>
          <t>香港特别行政区</t>
        </is>
      </c>
      <c r="Q380" s="3" t="n">
        <v>721528308</v>
      </c>
      <c r="R380" s="3" t="inlineStr">
        <is>
          <t>冬藏一試暖心日本料理20年主廚精心製作7折豪華丼烏冬贈可樂</t>
        </is>
      </c>
      <c r="S380" s="3" t="inlineStr">
        <is>
          <t>****95299864</t>
        </is>
      </c>
      <c r="T380" s="3" t="inlineStr">
        <is>
          <t>****95299864</t>
        </is>
      </c>
      <c r="U380" s="3" t="inlineStr">
        <is>
          <t>***** 老道58號舖</t>
        </is>
      </c>
      <c r="V380" s="3" t="inlineStr">
        <is>
          <t>香港</t>
        </is>
      </c>
      <c r="W380" s="3" t="inlineStr">
        <is>
          <t>无纺布【规格三中号】/ 箱出</t>
        </is>
      </c>
      <c r="X380" s="3" t="inlineStr">
        <is>
          <t>ESS-SFTS-OTMS</t>
        </is>
      </c>
      <c r="Y380" s="3" t="n"/>
      <c r="Z380" s="3" t="inlineStr"/>
      <c r="AA380" s="3" t="inlineStr">
        <is>
          <t>寄付月結</t>
        </is>
      </c>
      <c r="AB380">
        <f>IFERROR(VLOOKUP(Q380&amp;"",對照表!$A:$B,1,FALSE),"")</f>
        <v/>
      </c>
      <c r="AC380">
        <f>IFERROR(VLOOKUP(Q380&amp;"",對照表!$A:$B,2,FALSE),"")</f>
        <v/>
      </c>
    </row>
    <row r="381">
      <c r="A381" s="3" t="inlineStr">
        <is>
          <t>SF5116616188664</t>
        </is>
      </c>
      <c r="B381" s="3" t="n">
        <v>58424825741474</v>
      </c>
      <c r="C381" s="3" t="inlineStr">
        <is>
          <t>已簽收</t>
        </is>
      </c>
      <c r="D381" s="3" t="inlineStr">
        <is>
          <t>2026-07-03 14:15:11</t>
        </is>
      </c>
      <c r="E381" s="3" t="inlineStr">
        <is>
          <t>2026-07-04 11:35</t>
        </is>
      </c>
      <c r="F381" s="3" t="n">
        <v>40.4</v>
      </c>
      <c r="G381" s="3" t="n">
        <v>4</v>
      </c>
      <c r="H381" s="3" t="n"/>
      <c r="I381" s="3" t="inlineStr"/>
      <c r="J381" s="3" t="inlineStr">
        <is>
          <t>Keeta</t>
        </is>
      </c>
      <c r="K381" s="3" t="inlineStr">
        <is>
          <t>****9568</t>
        </is>
      </c>
      <c r="L381" s="3" t="n"/>
      <c r="M381" s="3" t="inlineStr">
        <is>
          <t>***** 物流中心5樓</t>
        </is>
      </c>
      <c r="N381" s="3" t="inlineStr">
        <is>
          <t>北区</t>
        </is>
      </c>
      <c r="O381" s="3" t="inlineStr">
        <is>
          <t>香港</t>
        </is>
      </c>
      <c r="P381" s="3" t="inlineStr">
        <is>
          <t>香港特别行政区</t>
        </is>
      </c>
      <c r="Q381" s="3" t="n">
        <v>452170</v>
      </c>
      <c r="R381" s="3" t="inlineStr">
        <is>
          <t>肥妹小食必食豬油渣麵串燒小食</t>
        </is>
      </c>
      <c r="S381" s="3" t="inlineStr">
        <is>
          <t>****51617369</t>
        </is>
      </c>
      <c r="T381" s="3" t="inlineStr">
        <is>
          <t>****51617369</t>
        </is>
      </c>
      <c r="U381" s="3" t="inlineStr">
        <is>
          <t>***** 地下31號舖</t>
        </is>
      </c>
      <c r="V381" s="3" t="inlineStr">
        <is>
          <t>香港</t>
        </is>
      </c>
      <c r="W381" s="3" t="inlineStr">
        <is>
          <t>无纺布【规格三中号】/ 箱出</t>
        </is>
      </c>
      <c r="X381" s="3" t="inlineStr">
        <is>
          <t>ESS-SFTS-OTMS</t>
        </is>
      </c>
      <c r="Y381" s="3" t="n"/>
      <c r="Z381" s="3" t="inlineStr"/>
      <c r="AA381" s="3" t="inlineStr">
        <is>
          <t>寄付月結</t>
        </is>
      </c>
      <c r="AB381">
        <f>IFERROR(VLOOKUP(Q381&amp;"",對照表!$A:$B,1,FALSE),"")</f>
        <v/>
      </c>
      <c r="AC381">
        <f>IFERROR(VLOOKUP(Q381&amp;"",對照表!$A:$B,2,FALSE),"")</f>
        <v/>
      </c>
    </row>
    <row r="382">
      <c r="A382" s="3" t="inlineStr">
        <is>
          <t>SF5116616188521</t>
        </is>
      </c>
      <c r="B382" s="3" t="n">
        <v>58424825741432</v>
      </c>
      <c r="C382" s="3" t="inlineStr">
        <is>
          <t>已簽收</t>
        </is>
      </c>
      <c r="D382" s="3" t="inlineStr">
        <is>
          <t>2026-07-03 14:48:40</t>
        </is>
      </c>
      <c r="E382" s="3" t="inlineStr">
        <is>
          <t>2026-07-04 15:04</t>
        </is>
      </c>
      <c r="F382" s="3" t="n">
        <v>67.59999999999999</v>
      </c>
      <c r="G382" s="3" t="n">
        <v>8</v>
      </c>
      <c r="H382" s="3" t="n"/>
      <c r="I382" s="3" t="inlineStr"/>
      <c r="J382" s="3" t="inlineStr">
        <is>
          <t>Keeta</t>
        </is>
      </c>
      <c r="K382" s="3" t="inlineStr">
        <is>
          <t>****9568</t>
        </is>
      </c>
      <c r="L382" s="3" t="n"/>
      <c r="M382" s="3" t="inlineStr">
        <is>
          <t>***** 物流中心5樓</t>
        </is>
      </c>
      <c r="N382" s="3" t="inlineStr">
        <is>
          <t>北区</t>
        </is>
      </c>
      <c r="O382" s="3" t="inlineStr">
        <is>
          <t>香港</t>
        </is>
      </c>
      <c r="P382" s="3" t="inlineStr">
        <is>
          <t>香港特别行政区</t>
        </is>
      </c>
      <c r="Q382" s="3" t="n">
        <v>721423334</v>
      </c>
      <c r="R382" s="3" t="inlineStr">
        <is>
          <t>意味屋抵食特色意粉燴飯小食</t>
        </is>
      </c>
      <c r="S382" s="3" t="inlineStr">
        <is>
          <t>****93852693</t>
        </is>
      </c>
      <c r="T382" s="3" t="inlineStr">
        <is>
          <t>****93852693</t>
        </is>
      </c>
      <c r="U382" s="3" t="inlineStr">
        <is>
          <t>***** 廈3樓A室C</t>
        </is>
      </c>
      <c r="V382" s="3" t="inlineStr">
        <is>
          <t>香港</t>
        </is>
      </c>
      <c r="W382" s="3" t="inlineStr">
        <is>
          <t>无纺布【规格四大号】/ 箱出, 无纺布【规格二双杯】/ 箱出, 无纺布【规格三中号】/ 箱出, 杯托【2托】/ 箱出</t>
        </is>
      </c>
      <c r="X382" s="3" t="inlineStr">
        <is>
          <t>ESS-SFTS-OTMS</t>
        </is>
      </c>
      <c r="Y382" s="3" t="n"/>
      <c r="Z382" s="3" t="inlineStr"/>
      <c r="AA382" s="3" t="inlineStr">
        <is>
          <t>寄付月結</t>
        </is>
      </c>
      <c r="AB382">
        <f>IFERROR(VLOOKUP(Q382&amp;"",對照表!$A:$B,1,FALSE),"")</f>
        <v/>
      </c>
      <c r="AC382">
        <f>IFERROR(VLOOKUP(Q382&amp;"",對照表!$A:$B,2,FALSE),"")</f>
        <v/>
      </c>
    </row>
    <row r="383">
      <c r="A383" s="3" t="inlineStr">
        <is>
          <t>SF5116616189031</t>
        </is>
      </c>
      <c r="B383" s="3" t="n">
        <v>58424825741555</v>
      </c>
      <c r="C383" s="3" t="inlineStr">
        <is>
          <t>已簽收</t>
        </is>
      </c>
      <c r="D383" s="3" t="inlineStr">
        <is>
          <t>2026-07-03 11:52:03</t>
        </is>
      </c>
      <c r="E383" s="3" t="inlineStr">
        <is>
          <t>2026-07-04 13:38</t>
        </is>
      </c>
      <c r="F383" s="3" t="n">
        <v>10.1</v>
      </c>
      <c r="G383" s="3" t="n">
        <v>1</v>
      </c>
      <c r="H383" s="3" t="n"/>
      <c r="I383" s="3" t="inlineStr"/>
      <c r="J383" s="3" t="inlineStr">
        <is>
          <t>Keeta</t>
        </is>
      </c>
      <c r="K383" s="3" t="inlineStr">
        <is>
          <t>****9568</t>
        </is>
      </c>
      <c r="L383" s="3" t="n"/>
      <c r="M383" s="3" t="inlineStr">
        <is>
          <t>***** 物流中心5樓</t>
        </is>
      </c>
      <c r="N383" s="3" t="inlineStr">
        <is>
          <t>北区</t>
        </is>
      </c>
      <c r="O383" s="3" t="inlineStr">
        <is>
          <t>香港</t>
        </is>
      </c>
      <c r="P383" s="3" t="inlineStr">
        <is>
          <t>香港特别行政区</t>
        </is>
      </c>
      <c r="Q383" s="3" t="n">
        <v>478497</v>
      </c>
      <c r="R383" s="3" t="inlineStr">
        <is>
          <t>TCafe茶啡檔《即叫即煮用為你服務》</t>
        </is>
      </c>
      <c r="S383" s="3" t="inlineStr">
        <is>
          <t>****26820543</t>
        </is>
      </c>
      <c r="T383" s="3" t="inlineStr">
        <is>
          <t>****26820543</t>
        </is>
      </c>
      <c r="U383" s="3" t="inlineStr">
        <is>
          <t>***** 寶昌大樓地舖</t>
        </is>
      </c>
      <c r="V383" s="3" t="inlineStr">
        <is>
          <t>香港</t>
        </is>
      </c>
      <c r="W383" s="3" t="inlineStr">
        <is>
          <t>无纺布【规格三中号】/ 箱出</t>
        </is>
      </c>
      <c r="X383" s="3" t="inlineStr">
        <is>
          <t>ESS-SFTS-OTMS</t>
        </is>
      </c>
      <c r="Y383" s="3" t="n"/>
      <c r="Z383" s="3" t="inlineStr"/>
      <c r="AA383" s="3" t="inlineStr">
        <is>
          <t>寄付月結</t>
        </is>
      </c>
      <c r="AB383">
        <f>IFERROR(VLOOKUP(Q383&amp;"",對照表!$A:$B,1,FALSE),"")</f>
        <v/>
      </c>
      <c r="AC383">
        <f>IFERROR(VLOOKUP(Q383&amp;"",對照表!$A:$B,2,FALSE),"")</f>
        <v/>
      </c>
    </row>
    <row r="384">
      <c r="A384" s="3" t="inlineStr">
        <is>
          <t>SF5116616188585</t>
        </is>
      </c>
      <c r="B384" s="3" t="n">
        <v>58424825741453</v>
      </c>
      <c r="C384" s="3" t="inlineStr">
        <is>
          <t>已簽收</t>
        </is>
      </c>
      <c r="D384" s="3" t="inlineStr">
        <is>
          <t>2026-07-03 13:49:23</t>
        </is>
      </c>
      <c r="E384" s="3" t="inlineStr">
        <is>
          <t>2026-07-04 17:22</t>
        </is>
      </c>
      <c r="F384" s="3" t="n">
        <v>34.8</v>
      </c>
      <c r="G384" s="3" t="n">
        <v>3</v>
      </c>
      <c r="H384" s="3" t="n"/>
      <c r="I384" s="3" t="inlineStr"/>
      <c r="J384" s="3" t="inlineStr">
        <is>
          <t>Keeta</t>
        </is>
      </c>
      <c r="K384" s="3" t="inlineStr">
        <is>
          <t>****9568</t>
        </is>
      </c>
      <c r="L384" s="3" t="n"/>
      <c r="M384" s="3" t="inlineStr">
        <is>
          <t>***** 物流中心5樓</t>
        </is>
      </c>
      <c r="N384" s="3" t="inlineStr">
        <is>
          <t>北区</t>
        </is>
      </c>
      <c r="O384" s="3" t="inlineStr">
        <is>
          <t>香港</t>
        </is>
      </c>
      <c r="P384" s="3" t="inlineStr">
        <is>
          <t>香港特别行政区</t>
        </is>
      </c>
      <c r="Q384" s="3" t="n">
        <v>721514309</v>
      </c>
      <c r="R384" s="3" t="inlineStr">
        <is>
          <t>SoupDay湯譜(西營盤店)</t>
        </is>
      </c>
      <c r="S384" s="3" t="inlineStr">
        <is>
          <t>****63864688</t>
        </is>
      </c>
      <c r="T384" s="3" t="inlineStr">
        <is>
          <t>****63864688</t>
        </is>
      </c>
      <c r="U384" s="3" t="inlineStr">
        <is>
          <t>***** 3號舖B部份</t>
        </is>
      </c>
      <c r="V384" s="3" t="inlineStr">
        <is>
          <t>香港</t>
        </is>
      </c>
      <c r="W384" s="3" t="inlineStr">
        <is>
          <t>无纺布【规格四大号】/ 箱出</t>
        </is>
      </c>
      <c r="X384" s="3" t="inlineStr">
        <is>
          <t>ESS-SFTS-OTMS</t>
        </is>
      </c>
      <c r="Y384" s="3" t="n"/>
      <c r="Z384" s="3" t="inlineStr"/>
      <c r="AA384" s="3" t="inlineStr">
        <is>
          <t>寄付月結</t>
        </is>
      </c>
      <c r="AB384">
        <f>IFERROR(VLOOKUP(Q384&amp;"",對照表!$A:$B,1,FALSE),"")</f>
        <v/>
      </c>
      <c r="AC384">
        <f>IFERROR(VLOOKUP(Q384&amp;"",對照表!$A:$B,2,FALSE),"")</f>
        <v/>
      </c>
    </row>
    <row r="385">
      <c r="A385" s="3" t="inlineStr">
        <is>
          <t>SF5116616188319</t>
        </is>
      </c>
      <c r="B385" s="3" t="n">
        <v>58424825741374</v>
      </c>
      <c r="C385" s="3" t="inlineStr">
        <is>
          <t>已簽收</t>
        </is>
      </c>
      <c r="D385" s="3" t="inlineStr">
        <is>
          <t>2026-07-03 16:45:51</t>
        </is>
      </c>
      <c r="E385" s="3" t="inlineStr">
        <is>
          <t>2026-07-04 12:13</t>
        </is>
      </c>
      <c r="F385" s="3" t="n">
        <v>189.44</v>
      </c>
      <c r="G385" s="3" t="n">
        <v>16</v>
      </c>
      <c r="H385" s="3" t="n"/>
      <c r="I385" s="3" t="inlineStr"/>
      <c r="J385" s="3" t="inlineStr">
        <is>
          <t>Keeta</t>
        </is>
      </c>
      <c r="K385" s="3" t="inlineStr">
        <is>
          <t>****9568</t>
        </is>
      </c>
      <c r="L385" s="3" t="n"/>
      <c r="M385" s="3" t="inlineStr">
        <is>
          <t>***** 物流中心5樓</t>
        </is>
      </c>
      <c r="N385" s="3" t="inlineStr">
        <is>
          <t>北区</t>
        </is>
      </c>
      <c r="O385" s="3" t="inlineStr">
        <is>
          <t>香港</t>
        </is>
      </c>
      <c r="P385" s="3" t="inlineStr">
        <is>
          <t>香港特别行政区</t>
        </is>
      </c>
      <c r="Q385" s="3" t="n">
        <v>721434353</v>
      </c>
      <c r="R385" s="3" t="inlineStr">
        <is>
          <t>YOLO遊樂人間一間搞掂晒</t>
        </is>
      </c>
      <c r="S385" s="3" t="inlineStr">
        <is>
          <t>****92934300</t>
        </is>
      </c>
      <c r="T385" s="3" t="inlineStr">
        <is>
          <t>****92934300</t>
        </is>
      </c>
      <c r="U385" s="3" t="inlineStr">
        <is>
          <t>***** 17樓A6室</t>
        </is>
      </c>
      <c r="V385" s="3" t="inlineStr">
        <is>
          <t>香港</t>
        </is>
      </c>
      <c r="W385" s="3" t="inlineStr">
        <is>
          <t>纸袋【Preminum黑】/ 箱出, 无纺布【Preminum黑】/ 箱出</t>
        </is>
      </c>
      <c r="X385" s="3" t="inlineStr">
        <is>
          <t>ESS-SFTS-OTMS</t>
        </is>
      </c>
      <c r="Y385" s="3" t="n"/>
      <c r="Z385" s="3" t="inlineStr"/>
      <c r="AA385" s="3" t="inlineStr">
        <is>
          <t>寄付月結</t>
        </is>
      </c>
      <c r="AB385">
        <f>IFERROR(VLOOKUP(Q385&amp;"",對照表!$A:$B,1,FALSE),"")</f>
        <v/>
      </c>
      <c r="AC385">
        <f>IFERROR(VLOOKUP(Q385&amp;"",對照表!$A:$B,2,FALSE),"")</f>
        <v/>
      </c>
    </row>
    <row r="386">
      <c r="A386" s="3" t="inlineStr">
        <is>
          <t>SF5116616188751</t>
        </is>
      </c>
      <c r="B386" s="3" t="n">
        <v>58424825741494</v>
      </c>
      <c r="C386" s="3" t="inlineStr">
        <is>
          <t>已簽收</t>
        </is>
      </c>
      <c r="D386" s="3" t="inlineStr">
        <is>
          <t>2026-07-03 13:49:37</t>
        </is>
      </c>
      <c r="E386" s="3" t="inlineStr">
        <is>
          <t>2026-07-04 09:37</t>
        </is>
      </c>
      <c r="F386" s="3" t="n">
        <v>34.8</v>
      </c>
      <c r="G386" s="3" t="n">
        <v>3</v>
      </c>
      <c r="H386" s="3" t="n"/>
      <c r="I386" s="3" t="inlineStr"/>
      <c r="J386" s="3" t="inlineStr">
        <is>
          <t>Keeta</t>
        </is>
      </c>
      <c r="K386" s="3" t="inlineStr">
        <is>
          <t>****9568</t>
        </is>
      </c>
      <c r="L386" s="3" t="n"/>
      <c r="M386" s="3" t="inlineStr">
        <is>
          <t>***** 物流中心5樓</t>
        </is>
      </c>
      <c r="N386" s="3" t="inlineStr">
        <is>
          <t>北区</t>
        </is>
      </c>
      <c r="O386" s="3" t="inlineStr">
        <is>
          <t>香港</t>
        </is>
      </c>
      <c r="P386" s="3" t="inlineStr">
        <is>
          <t>香港特别行政区</t>
        </is>
      </c>
      <c r="Q386" s="3" t="n">
        <v>721520360</v>
      </c>
      <c r="R386" s="3" t="inlineStr">
        <is>
          <t>鏡記粉面廠</t>
        </is>
      </c>
      <c r="S386" s="3" t="inlineStr">
        <is>
          <t>****65096026</t>
        </is>
      </c>
      <c r="T386" s="3" t="inlineStr">
        <is>
          <t>****65096026</t>
        </is>
      </c>
      <c r="U386" s="3" t="inlineStr">
        <is>
          <t>***** 咸街3號地下</t>
        </is>
      </c>
      <c r="V386" s="3" t="inlineStr">
        <is>
          <t>香港</t>
        </is>
      </c>
      <c r="W386" s="3" t="inlineStr">
        <is>
          <t>无纺布【规格四大号】/ 箱出</t>
        </is>
      </c>
      <c r="X386" s="3" t="inlineStr">
        <is>
          <t>ESS-SFTS-OTMS</t>
        </is>
      </c>
      <c r="Y386" s="3" t="n"/>
      <c r="Z386" s="3" t="inlineStr"/>
      <c r="AA386" s="3" t="inlineStr">
        <is>
          <t>寄付月結</t>
        </is>
      </c>
      <c r="AB386">
        <f>IFERROR(VLOOKUP(Q386&amp;"",對照表!$A:$B,1,FALSE),"")</f>
        <v/>
      </c>
      <c r="AC386">
        <f>IFERROR(VLOOKUP(Q386&amp;"",對照表!$A:$B,2,FALSE),"")</f>
        <v/>
      </c>
    </row>
    <row r="387">
      <c r="A387" s="3" t="inlineStr">
        <is>
          <t>SF5116616189059</t>
        </is>
      </c>
      <c r="B387" s="3" t="n">
        <v>58424825741558</v>
      </c>
      <c r="C387" s="3" t="inlineStr">
        <is>
          <t>已簽收</t>
        </is>
      </c>
      <c r="D387" s="3" t="inlineStr">
        <is>
          <t>2026-07-03 11:36:21</t>
        </is>
      </c>
      <c r="E387" s="3" t="inlineStr">
        <is>
          <t>2026-07-04 12:09</t>
        </is>
      </c>
      <c r="F387" s="3" t="n">
        <v>20.2</v>
      </c>
      <c r="G387" s="3" t="n">
        <v>2</v>
      </c>
      <c r="H387" s="3" t="n"/>
      <c r="I387" s="3" t="inlineStr"/>
      <c r="J387" s="3" t="inlineStr">
        <is>
          <t>Keeta</t>
        </is>
      </c>
      <c r="K387" s="3" t="inlineStr">
        <is>
          <t>****9568</t>
        </is>
      </c>
      <c r="L387" s="3" t="n"/>
      <c r="M387" s="3" t="inlineStr">
        <is>
          <t>***** 物流中心5樓</t>
        </is>
      </c>
      <c r="N387" s="3" t="inlineStr">
        <is>
          <t>北区</t>
        </is>
      </c>
      <c r="O387" s="3" t="inlineStr">
        <is>
          <t>香港</t>
        </is>
      </c>
      <c r="P387" s="3" t="inlineStr">
        <is>
          <t>香港特别行政区</t>
        </is>
      </c>
      <c r="Q387" s="3" t="n">
        <v>477980</v>
      </c>
      <c r="R387" s="3" t="inlineStr">
        <is>
          <t>三本目壽司(荃富街)外賣壽司刺身丼飯專門店</t>
        </is>
      </c>
      <c r="S387" s="3" t="inlineStr">
        <is>
          <t>****51785696</t>
        </is>
      </c>
      <c r="T387" s="3" t="inlineStr">
        <is>
          <t>****51785696</t>
        </is>
      </c>
      <c r="U387" s="3" t="inlineStr">
        <is>
          <t>***** G38A號舖</t>
        </is>
      </c>
      <c r="V387" s="3" t="inlineStr">
        <is>
          <t>香港</t>
        </is>
      </c>
      <c r="W387" s="3" t="inlineStr">
        <is>
          <t>无纺布【规格三中号】/ 箱出</t>
        </is>
      </c>
      <c r="X387" s="3" t="inlineStr">
        <is>
          <t>ESS-SFTS-OTMS</t>
        </is>
      </c>
      <c r="Y387" s="3" t="n"/>
      <c r="Z387" s="3" t="inlineStr"/>
      <c r="AA387" s="3" t="inlineStr">
        <is>
          <t>寄付月結</t>
        </is>
      </c>
      <c r="AB387">
        <f>IFERROR(VLOOKUP(Q387&amp;"",對照表!$A:$B,1,FALSE),"")</f>
        <v/>
      </c>
      <c r="AC387">
        <f>IFERROR(VLOOKUP(Q387&amp;"",對照表!$A:$B,2,FALSE),"")</f>
        <v/>
      </c>
    </row>
    <row r="388">
      <c r="A388" s="3" t="inlineStr">
        <is>
          <t>SF5116616188919</t>
        </is>
      </c>
      <c r="B388" s="3" t="n">
        <v>58424825741529</v>
      </c>
      <c r="C388" s="3" t="inlineStr">
        <is>
          <t>已簽收</t>
        </is>
      </c>
      <c r="D388" s="3" t="inlineStr">
        <is>
          <t>2026-07-03 10:26:05</t>
        </is>
      </c>
      <c r="E388" s="3" t="inlineStr">
        <is>
          <t>2026-07-04 12:21</t>
        </is>
      </c>
      <c r="F388" s="3" t="n">
        <v>1</v>
      </c>
      <c r="G388" s="3" t="n">
        <v>1</v>
      </c>
      <c r="H388" s="3" t="n"/>
      <c r="I388" s="3" t="inlineStr"/>
      <c r="J388" s="3" t="inlineStr">
        <is>
          <t>Keeta</t>
        </is>
      </c>
      <c r="K388" s="3" t="inlineStr">
        <is>
          <t>****9568</t>
        </is>
      </c>
      <c r="L388" s="3" t="n"/>
      <c r="M388" s="3" t="inlineStr">
        <is>
          <t>***** 物流中心5樓</t>
        </is>
      </c>
      <c r="N388" s="3" t="inlineStr">
        <is>
          <t>北区</t>
        </is>
      </c>
      <c r="O388" s="3" t="inlineStr">
        <is>
          <t>香港</t>
        </is>
      </c>
      <c r="P388" s="3" t="inlineStr">
        <is>
          <t>香港特别行政区</t>
        </is>
      </c>
      <c r="Q388" s="3" t="n">
        <v>474739</v>
      </c>
      <c r="R388" s="3" t="inlineStr">
        <is>
          <t>聚興樓(樂華商場)粵式秘製手撕雞</t>
        </is>
      </c>
      <c r="S388" s="3" t="inlineStr">
        <is>
          <t>****29482998</t>
        </is>
      </c>
      <c r="T388" s="3" t="inlineStr">
        <is>
          <t>****29482998</t>
        </is>
      </c>
      <c r="U388" s="3" t="inlineStr">
        <is>
          <t>***** 樓205號舖</t>
        </is>
      </c>
      <c r="V388" s="3" t="inlineStr">
        <is>
          <t>香港</t>
        </is>
      </c>
      <c r="W388" s="3" t="inlineStr">
        <is>
          <t>塑料袋【大】/ 扎出</t>
        </is>
      </c>
      <c r="X388" s="3" t="inlineStr">
        <is>
          <t>ESS-SFTS-OTMS</t>
        </is>
      </c>
      <c r="Y388" s="3" t="n"/>
      <c r="Z388" s="3" t="inlineStr"/>
      <c r="AA388" s="3" t="inlineStr">
        <is>
          <t>寄付月結</t>
        </is>
      </c>
      <c r="AB388">
        <f>IFERROR(VLOOKUP(Q388&amp;"",對照表!$A:$B,1,FALSE),"")</f>
        <v/>
      </c>
      <c r="AC388">
        <f>IFERROR(VLOOKUP(Q388&amp;"",對照表!$A:$B,2,FALSE),"")</f>
        <v/>
      </c>
    </row>
    <row r="389">
      <c r="A389" s="3" t="inlineStr">
        <is>
          <t>SF5116616188973</t>
        </is>
      </c>
      <c r="B389" s="3" t="n">
        <v>58424825741542</v>
      </c>
      <c r="C389" s="3" t="inlineStr">
        <is>
          <t>已簽收</t>
        </is>
      </c>
      <c r="D389" s="3" t="inlineStr">
        <is>
          <t>2026-07-03 11:45:50</t>
        </is>
      </c>
      <c r="E389" s="3" t="inlineStr">
        <is>
          <t>2026-07-04 12:46</t>
        </is>
      </c>
      <c r="F389" s="3" t="n">
        <v>11.9</v>
      </c>
      <c r="G389" s="3" t="n">
        <v>1</v>
      </c>
      <c r="H389" s="3" t="n"/>
      <c r="I389" s="3" t="inlineStr"/>
      <c r="J389" s="3" t="inlineStr">
        <is>
          <t>Keeta</t>
        </is>
      </c>
      <c r="K389" s="3" t="inlineStr">
        <is>
          <t>****9568</t>
        </is>
      </c>
      <c r="L389" s="3" t="n"/>
      <c r="M389" s="3" t="inlineStr">
        <is>
          <t>***** 物流中心5樓</t>
        </is>
      </c>
      <c r="N389" s="3" t="inlineStr">
        <is>
          <t>北区</t>
        </is>
      </c>
      <c r="O389" s="3" t="inlineStr">
        <is>
          <t>香港</t>
        </is>
      </c>
      <c r="P389" s="3" t="inlineStr">
        <is>
          <t>香港特别行政区</t>
        </is>
      </c>
      <c r="Q389" s="3" t="n">
        <v>612688</v>
      </c>
      <c r="R389" s="3" t="inlineStr">
        <is>
          <t>PizzaExpressPizzaPasta(香港科學園)</t>
        </is>
      </c>
      <c r="S389" s="3" t="inlineStr">
        <is>
          <t>****31641330</t>
        </is>
      </c>
      <c r="T389" s="3" t="inlineStr">
        <is>
          <t>****31641330</t>
        </is>
      </c>
      <c r="U389" s="3" t="inlineStr">
        <is>
          <t>***** S083號舖</t>
        </is>
      </c>
      <c r="V389" s="3" t="inlineStr">
        <is>
          <t>香港</t>
        </is>
      </c>
      <c r="W389" s="3" t="inlineStr">
        <is>
          <t>无纺布【Preminum黑】/ 箱出</t>
        </is>
      </c>
      <c r="X389" s="3" t="inlineStr">
        <is>
          <t>ESS-SFTS-OTMS</t>
        </is>
      </c>
      <c r="Y389" s="3" t="n"/>
      <c r="Z389" s="3" t="inlineStr"/>
      <c r="AA389" s="3" t="inlineStr">
        <is>
          <t>寄付月結</t>
        </is>
      </c>
      <c r="AB389">
        <f>IFERROR(VLOOKUP(Q389&amp;"",對照表!$A:$B,1,FALSE),"")</f>
        <v/>
      </c>
      <c r="AC389">
        <f>IFERROR(VLOOKUP(Q389&amp;"",對照表!$A:$B,2,FALSE),"")</f>
        <v/>
      </c>
    </row>
    <row r="390">
      <c r="A390" s="3" t="inlineStr">
        <is>
          <t>SF5116616188946</t>
        </is>
      </c>
      <c r="B390" s="3" t="n">
        <v>58424825741537</v>
      </c>
      <c r="C390" s="3" t="inlineStr">
        <is>
          <t>已簽收</t>
        </is>
      </c>
      <c r="D390" s="3" t="inlineStr">
        <is>
          <t>2026-07-03 10:29:10</t>
        </is>
      </c>
      <c r="E390" s="3" t="inlineStr">
        <is>
          <t>2026-07-04 12:26</t>
        </is>
      </c>
      <c r="F390" s="3" t="n">
        <v>0.67</v>
      </c>
      <c r="G390" s="3" t="n">
        <v>1</v>
      </c>
      <c r="H390" s="3" t="n"/>
      <c r="I390" s="3" t="inlineStr"/>
      <c r="J390" s="3" t="inlineStr">
        <is>
          <t>Keeta</t>
        </is>
      </c>
      <c r="K390" s="3" t="inlineStr">
        <is>
          <t>****9568</t>
        </is>
      </c>
      <c r="L390" s="3" t="n"/>
      <c r="M390" s="3" t="inlineStr">
        <is>
          <t>***** 物流中心5樓</t>
        </is>
      </c>
      <c r="N390" s="3" t="inlineStr">
        <is>
          <t>北区</t>
        </is>
      </c>
      <c r="O390" s="3" t="inlineStr">
        <is>
          <t>香港</t>
        </is>
      </c>
      <c r="P390" s="3" t="inlineStr">
        <is>
          <t>香港特别行政区</t>
        </is>
      </c>
      <c r="Q390" s="3" t="n">
        <v>462228</v>
      </c>
      <c r="R390" s="3" t="inlineStr">
        <is>
          <t>壽司駅SushiStation</t>
        </is>
      </c>
      <c r="S390" s="3" t="inlineStr">
        <is>
          <t>****61488524</t>
        </is>
      </c>
      <c r="T390" s="3" t="inlineStr">
        <is>
          <t>****61488524</t>
        </is>
      </c>
      <c r="U390" s="3" t="inlineStr">
        <is>
          <t>***** g Kong</t>
        </is>
      </c>
      <c r="V390" s="3" t="inlineStr">
        <is>
          <t>香港</t>
        </is>
      </c>
      <c r="W390" s="3" t="inlineStr">
        <is>
          <t>塑料袋【小】/ 扎出</t>
        </is>
      </c>
      <c r="X390" s="3" t="inlineStr">
        <is>
          <t>ESS-SFTS-OTMS</t>
        </is>
      </c>
      <c r="Y390" s="3" t="n"/>
      <c r="Z390" s="3" t="inlineStr"/>
      <c r="AA390" s="3" t="inlineStr">
        <is>
          <t>寄付月結</t>
        </is>
      </c>
      <c r="AB390">
        <f>IFERROR(VLOOKUP(Q390&amp;"",對照表!$A:$B,1,FALSE),"")</f>
        <v/>
      </c>
      <c r="AC390">
        <f>IFERROR(VLOOKUP(Q390&amp;"",對照表!$A:$B,2,FALSE),"")</f>
        <v/>
      </c>
    </row>
    <row r="391">
      <c r="A391" s="3" t="inlineStr">
        <is>
          <t>SF5116616188821</t>
        </is>
      </c>
      <c r="B391" s="3" t="n">
        <v>58424825741511</v>
      </c>
      <c r="C391" s="3" t="inlineStr">
        <is>
          <t>已簽收</t>
        </is>
      </c>
      <c r="D391" s="3" t="inlineStr">
        <is>
          <t>2026-07-03 10:50:53</t>
        </is>
      </c>
      <c r="E391" s="3" t="inlineStr">
        <is>
          <t>2026-07-04 10:22</t>
        </is>
      </c>
      <c r="F391" s="3" t="n">
        <v>4.6</v>
      </c>
      <c r="G391" s="3" t="n">
        <v>1</v>
      </c>
      <c r="H391" s="3" t="n"/>
      <c r="I391" s="3" t="inlineStr"/>
      <c r="J391" s="3" t="inlineStr">
        <is>
          <t>Keeta</t>
        </is>
      </c>
      <c r="K391" s="3" t="inlineStr">
        <is>
          <t>****9568</t>
        </is>
      </c>
      <c r="L391" s="3" t="n"/>
      <c r="M391" s="3" t="inlineStr">
        <is>
          <t>***** 物流中心5樓</t>
        </is>
      </c>
      <c r="N391" s="3" t="inlineStr">
        <is>
          <t>北区</t>
        </is>
      </c>
      <c r="O391" s="3" t="inlineStr">
        <is>
          <t>香港</t>
        </is>
      </c>
      <c r="P391" s="3" t="inlineStr">
        <is>
          <t>香港特别行政区</t>
        </is>
      </c>
      <c r="Q391" s="3" t="n">
        <v>448496</v>
      </c>
      <c r="R391" s="3" t="inlineStr">
        <is>
          <t>韓正屋韓國料理(韓國地道美食)</t>
        </is>
      </c>
      <c r="S391" s="3" t="inlineStr">
        <is>
          <t>****23283662</t>
        </is>
      </c>
      <c r="T391" s="3" t="inlineStr">
        <is>
          <t>****23283662</t>
        </is>
      </c>
      <c r="U391" s="3" t="inlineStr">
        <is>
          <t>***** 號地下4號舖</t>
        </is>
      </c>
      <c r="V391" s="3" t="inlineStr">
        <is>
          <t>香港</t>
        </is>
      </c>
      <c r="W391" s="3" t="inlineStr">
        <is>
          <t>塑料袋【大】/ 扎出</t>
        </is>
      </c>
      <c r="X391" s="3" t="inlineStr">
        <is>
          <t>ESS-SFTS-OTMS</t>
        </is>
      </c>
      <c r="Y391" s="3" t="n"/>
      <c r="Z391" s="3" t="inlineStr"/>
      <c r="AA391" s="3" t="inlineStr">
        <is>
          <t>寄付月結</t>
        </is>
      </c>
      <c r="AB391">
        <f>IFERROR(VLOOKUP(Q391&amp;"",對照表!$A:$B,1,FALSE),"")</f>
        <v/>
      </c>
      <c r="AC391">
        <f>IFERROR(VLOOKUP(Q391&amp;"",對照表!$A:$B,2,FALSE),"")</f>
        <v/>
      </c>
    </row>
    <row r="392">
      <c r="A392" s="3" t="inlineStr">
        <is>
          <t>SF5116616188964</t>
        </is>
      </c>
      <c r="B392" s="3" t="n">
        <v>58424825741541</v>
      </c>
      <c r="C392" s="3" t="inlineStr">
        <is>
          <t>已簽收</t>
        </is>
      </c>
      <c r="D392" s="3" t="inlineStr">
        <is>
          <t>2026-07-03 17:17:03</t>
        </is>
      </c>
      <c r="E392" s="3" t="inlineStr">
        <is>
          <t>2026-07-04 10:42</t>
        </is>
      </c>
      <c r="F392" s="3" t="n">
        <v>8</v>
      </c>
      <c r="G392" s="3" t="n">
        <v>2</v>
      </c>
      <c r="H392" s="3" t="n"/>
      <c r="I392" s="3" t="inlineStr"/>
      <c r="J392" s="3" t="inlineStr">
        <is>
          <t>Keeta</t>
        </is>
      </c>
      <c r="K392" s="3" t="inlineStr">
        <is>
          <t>****9568</t>
        </is>
      </c>
      <c r="L392" s="3" t="n"/>
      <c r="M392" s="3" t="inlineStr">
        <is>
          <t>***** 物流中心5樓</t>
        </is>
      </c>
      <c r="N392" s="3" t="inlineStr">
        <is>
          <t>北区</t>
        </is>
      </c>
      <c r="O392" s="3" t="inlineStr">
        <is>
          <t>香港</t>
        </is>
      </c>
      <c r="P392" s="3" t="inlineStr">
        <is>
          <t>香港特别行政区</t>
        </is>
      </c>
      <c r="Q392" s="3" t="n">
        <v>448592</v>
      </c>
      <c r="R392" s="3" t="inlineStr">
        <is>
          <t>阿元來了(堅尼地城)YuanIsHere(KennedyTown)</t>
        </is>
      </c>
      <c r="S392" s="3" t="inlineStr">
        <is>
          <t>****35792460</t>
        </is>
      </c>
      <c r="T392" s="3" t="inlineStr">
        <is>
          <t>****35792460</t>
        </is>
      </c>
      <c r="U392" s="3" t="inlineStr">
        <is>
          <t>***** 街31號地舖</t>
        </is>
      </c>
      <c r="V392" s="3" t="inlineStr">
        <is>
          <t>香港</t>
        </is>
      </c>
      <c r="W392" s="3" t="inlineStr">
        <is>
          <t>杯托【2托】/ 箱出</t>
        </is>
      </c>
      <c r="X392" s="3" t="inlineStr">
        <is>
          <t>ESS-SFTS-OTMS</t>
        </is>
      </c>
      <c r="Y392" s="3" t="n"/>
      <c r="Z392" s="3" t="inlineStr"/>
      <c r="AA392" s="3" t="inlineStr">
        <is>
          <t>寄付月結</t>
        </is>
      </c>
      <c r="AB392">
        <f>IFERROR(VLOOKUP(Q392&amp;"",對照表!$A:$B,1,FALSE),"")</f>
        <v/>
      </c>
      <c r="AC392">
        <f>IFERROR(VLOOKUP(Q392&amp;"",對照表!$A:$B,2,FALSE),"")</f>
        <v/>
      </c>
    </row>
    <row r="393">
      <c r="A393" s="3" t="inlineStr">
        <is>
          <t>SF5116616188885</t>
        </is>
      </c>
      <c r="B393" s="3" t="n">
        <v>58424825741523</v>
      </c>
      <c r="C393" s="3" t="inlineStr">
        <is>
          <t>已簽收</t>
        </is>
      </c>
      <c r="D393" s="3" t="inlineStr">
        <is>
          <t>2026-07-03 15:45:23</t>
        </is>
      </c>
      <c r="E393" s="3" t="inlineStr">
        <is>
          <t>2026-07-04 12:49</t>
        </is>
      </c>
      <c r="F393" s="3" t="n">
        <v>46.4</v>
      </c>
      <c r="G393" s="3" t="n">
        <v>4</v>
      </c>
      <c r="H393" s="3" t="n"/>
      <c r="I393" s="3" t="inlineStr"/>
      <c r="J393" s="3" t="inlineStr">
        <is>
          <t>Keeta</t>
        </is>
      </c>
      <c r="K393" s="3" t="inlineStr">
        <is>
          <t>****9568</t>
        </is>
      </c>
      <c r="L393" s="3" t="n"/>
      <c r="M393" s="3" t="inlineStr">
        <is>
          <t>***** 物流中心5樓</t>
        </is>
      </c>
      <c r="N393" s="3" t="inlineStr">
        <is>
          <t>北区</t>
        </is>
      </c>
      <c r="O393" s="3" t="inlineStr">
        <is>
          <t>香港</t>
        </is>
      </c>
      <c r="P393" s="3" t="inlineStr">
        <is>
          <t>香港特别行政区</t>
        </is>
      </c>
      <c r="Q393" s="3" t="n">
        <v>593883</v>
      </c>
      <c r="R393" s="3" t="inlineStr">
        <is>
          <t>何車車仔麵（太子大南街店）</t>
        </is>
      </c>
      <c r="S393" s="3" t="inlineStr">
        <is>
          <t>****95574102</t>
        </is>
      </c>
      <c r="T393" s="3" t="inlineStr">
        <is>
          <t>****95574102</t>
        </is>
      </c>
      <c r="U393" s="3" t="inlineStr">
        <is>
          <t>***** 大南街28號</t>
        </is>
      </c>
      <c r="V393" s="3" t="inlineStr">
        <is>
          <t>香港</t>
        </is>
      </c>
      <c r="W393" s="3" t="inlineStr">
        <is>
          <t>无纺布【规格四大号】/ 箱出</t>
        </is>
      </c>
      <c r="X393" s="3" t="inlineStr">
        <is>
          <t>ESS-SFTS-OTMS</t>
        </is>
      </c>
      <c r="Y393" s="3" t="n"/>
      <c r="Z393" s="3" t="inlineStr"/>
      <c r="AA393" s="3" t="inlineStr">
        <is>
          <t>寄付月結</t>
        </is>
      </c>
      <c r="AB393">
        <f>IFERROR(VLOOKUP(Q393&amp;"",對照表!$A:$B,1,FALSE),"")</f>
        <v/>
      </c>
      <c r="AC393">
        <f>IFERROR(VLOOKUP(Q393&amp;"",對照表!$A:$B,2,FALSE),"")</f>
        <v/>
      </c>
    </row>
    <row r="394">
      <c r="A394" s="3" t="inlineStr">
        <is>
          <t>SF5116616189183</t>
        </is>
      </c>
      <c r="B394" s="3" t="n">
        <v>58424825741587</v>
      </c>
      <c r="C394" s="3" t="inlineStr">
        <is>
          <t>已簽收</t>
        </is>
      </c>
      <c r="D394" s="3" t="inlineStr">
        <is>
          <t>2026-07-03 10:30:46</t>
        </is>
      </c>
      <c r="E394" s="3" t="inlineStr">
        <is>
          <t>2026-07-04 13:09</t>
        </is>
      </c>
      <c r="F394" s="3" t="n">
        <v>11.6</v>
      </c>
      <c r="G394" s="3" t="n">
        <v>1</v>
      </c>
      <c r="H394" s="3" t="n"/>
      <c r="I394" s="3" t="inlineStr"/>
      <c r="J394" s="3" t="inlineStr">
        <is>
          <t>Keeta</t>
        </is>
      </c>
      <c r="K394" s="3" t="inlineStr">
        <is>
          <t>****9568</t>
        </is>
      </c>
      <c r="L394" s="3" t="n"/>
      <c r="M394" s="3" t="inlineStr">
        <is>
          <t>***** 物流中心5樓</t>
        </is>
      </c>
      <c r="N394" s="3" t="inlineStr">
        <is>
          <t>北区</t>
        </is>
      </c>
      <c r="O394" s="3" t="inlineStr">
        <is>
          <t>香港</t>
        </is>
      </c>
      <c r="P394" s="3" t="inlineStr">
        <is>
          <t>香港特别行政区</t>
        </is>
      </c>
      <c r="Q394" s="3" t="n">
        <v>721441355</v>
      </c>
      <c r="R394" s="3" t="inlineStr">
        <is>
          <t>Omomo解饞小食(正宗東北烤冷麵全新套餐上架啦)</t>
        </is>
      </c>
      <c r="S394" s="3" t="inlineStr">
        <is>
          <t>****54245267</t>
        </is>
      </c>
      <c r="T394" s="3" t="inlineStr">
        <is>
          <t>****54245267</t>
        </is>
      </c>
      <c r="U394" s="3" t="inlineStr">
        <is>
          <t>***** 達利商業大廈</t>
        </is>
      </c>
      <c r="V394" s="3" t="inlineStr">
        <is>
          <t>香港</t>
        </is>
      </c>
      <c r="W394" s="3" t="inlineStr">
        <is>
          <t>无纺布【规格四大号】/ 箱出</t>
        </is>
      </c>
      <c r="X394" s="3" t="inlineStr">
        <is>
          <t>ESS-SFTS-OTMS</t>
        </is>
      </c>
      <c r="Y394" s="3" t="n"/>
      <c r="Z394" s="3" t="inlineStr"/>
      <c r="AA394" s="3" t="inlineStr">
        <is>
          <t>寄付月結</t>
        </is>
      </c>
      <c r="AB394">
        <f>IFERROR(VLOOKUP(Q394&amp;"",對照表!$A:$B,1,FALSE),"")</f>
        <v/>
      </c>
      <c r="AC394">
        <f>IFERROR(VLOOKUP(Q394&amp;"",對照表!$A:$B,2,FALSE),"")</f>
        <v/>
      </c>
    </row>
    <row r="395">
      <c r="A395" s="3" t="inlineStr">
        <is>
          <t>SF5116616188733</t>
        </is>
      </c>
      <c r="B395" s="3" t="n">
        <v>58424825741491</v>
      </c>
      <c r="C395" s="3" t="inlineStr">
        <is>
          <t>已簽收</t>
        </is>
      </c>
      <c r="D395" s="3" t="inlineStr">
        <is>
          <t>2026-07-03 14:15:12</t>
        </is>
      </c>
      <c r="E395" s="3" t="inlineStr">
        <is>
          <t>2026-07-04 11:35</t>
        </is>
      </c>
      <c r="F395" s="3" t="n">
        <v>40.4</v>
      </c>
      <c r="G395" s="3" t="n">
        <v>4</v>
      </c>
      <c r="H395" s="3" t="n"/>
      <c r="I395" s="3" t="inlineStr"/>
      <c r="J395" s="3" t="inlineStr">
        <is>
          <t>Keeta</t>
        </is>
      </c>
      <c r="K395" s="3" t="inlineStr">
        <is>
          <t>****9568</t>
        </is>
      </c>
      <c r="L395" s="3" t="n"/>
      <c r="M395" s="3" t="inlineStr">
        <is>
          <t>***** 物流中心5樓</t>
        </is>
      </c>
      <c r="N395" s="3" t="inlineStr">
        <is>
          <t>北区</t>
        </is>
      </c>
      <c r="O395" s="3" t="inlineStr">
        <is>
          <t>香港</t>
        </is>
      </c>
      <c r="P395" s="3" t="inlineStr">
        <is>
          <t>香港特别行政区</t>
        </is>
      </c>
      <c r="Q395" s="3" t="n">
        <v>721426320</v>
      </c>
      <c r="R395" s="3" t="inlineStr">
        <is>
          <t>TKOCreativeKitchen(意想廚房富康花園店)</t>
        </is>
      </c>
      <c r="S395" s="3" t="inlineStr">
        <is>
          <t>****63312876</t>
        </is>
      </c>
      <c r="T395" s="3" t="inlineStr">
        <is>
          <t>****63312876</t>
        </is>
      </c>
      <c r="U395" s="3" t="inlineStr">
        <is>
          <t>***** 地下28號鋪</t>
        </is>
      </c>
      <c r="V395" s="3" t="inlineStr">
        <is>
          <t>香港</t>
        </is>
      </c>
      <c r="W395" s="3" t="inlineStr">
        <is>
          <t>无纺布【规格三中号】/ 箱出</t>
        </is>
      </c>
      <c r="X395" s="3" t="inlineStr">
        <is>
          <t>ESS-SFTS-OTMS</t>
        </is>
      </c>
      <c r="Y395" s="3" t="n"/>
      <c r="Z395" s="3" t="inlineStr"/>
      <c r="AA395" s="3" t="inlineStr">
        <is>
          <t>寄付月結</t>
        </is>
      </c>
      <c r="AB395">
        <f>IFERROR(VLOOKUP(Q395&amp;"",對照表!$A:$B,1,FALSE),"")</f>
        <v/>
      </c>
      <c r="AC395">
        <f>IFERROR(VLOOKUP(Q395&amp;"",對照表!$A:$B,2,FALSE),"")</f>
        <v/>
      </c>
    </row>
    <row r="396">
      <c r="A396" s="3" t="inlineStr">
        <is>
          <t>SF5116616188900</t>
        </is>
      </c>
      <c r="B396" s="3" t="n">
        <v>58424825741526</v>
      </c>
      <c r="C396" s="3" t="inlineStr">
        <is>
          <t>已簽收</t>
        </is>
      </c>
      <c r="D396" s="3" t="inlineStr">
        <is>
          <t>2026-07-03 13:49:33</t>
        </is>
      </c>
      <c r="E396" s="3" t="inlineStr">
        <is>
          <t>2026-07-04 10:12</t>
        </is>
      </c>
      <c r="F396" s="3" t="n">
        <v>34.8</v>
      </c>
      <c r="G396" s="3" t="n">
        <v>3</v>
      </c>
      <c r="H396" s="3" t="n"/>
      <c r="I396" s="3" t="inlineStr"/>
      <c r="J396" s="3" t="inlineStr">
        <is>
          <t>Keeta</t>
        </is>
      </c>
      <c r="K396" s="3" t="inlineStr">
        <is>
          <t>****9568</t>
        </is>
      </c>
      <c r="L396" s="3" t="n"/>
      <c r="M396" s="3" t="inlineStr">
        <is>
          <t>***** 物流中心5樓</t>
        </is>
      </c>
      <c r="N396" s="3" t="inlineStr">
        <is>
          <t>北区</t>
        </is>
      </c>
      <c r="O396" s="3" t="inlineStr">
        <is>
          <t>香港</t>
        </is>
      </c>
      <c r="P396" s="3" t="inlineStr">
        <is>
          <t>香港特别行政区</t>
        </is>
      </c>
      <c r="Q396" s="3" t="n">
        <v>451612</v>
      </c>
      <c r="R396" s="3" t="inlineStr">
        <is>
          <t>忠記粥品(銅鑼灣)馳名生滾粥</t>
        </is>
      </c>
      <c r="S396" s="3" t="inlineStr">
        <is>
          <t>****67692338</t>
        </is>
      </c>
      <c r="T396" s="3" t="inlineStr">
        <is>
          <t>****67692338</t>
        </is>
      </c>
      <c r="U396" s="3" t="inlineStr">
        <is>
          <t>***** 廈地下7號舖</t>
        </is>
      </c>
      <c r="V396" s="3" t="inlineStr">
        <is>
          <t>香港</t>
        </is>
      </c>
      <c r="W396" s="3" t="inlineStr">
        <is>
          <t>无纺布【规格四大号】/ 箱出</t>
        </is>
      </c>
      <c r="X396" s="3" t="inlineStr">
        <is>
          <t>ESS-SFTS-OTMS</t>
        </is>
      </c>
      <c r="Y396" s="3" t="n"/>
      <c r="Z396" s="3" t="inlineStr"/>
      <c r="AA396" s="3" t="inlineStr">
        <is>
          <t>寄付月結</t>
        </is>
      </c>
      <c r="AB396">
        <f>IFERROR(VLOOKUP(Q396&amp;"",對照表!$A:$B,1,FALSE),"")</f>
        <v/>
      </c>
      <c r="AC396">
        <f>IFERROR(VLOOKUP(Q396&amp;"",對照表!$A:$B,2,FALSE),"")</f>
        <v/>
      </c>
    </row>
    <row r="397">
      <c r="A397" s="3" t="inlineStr">
        <is>
          <t>SF5116616189040</t>
        </is>
      </c>
      <c r="B397" s="3" t="n">
        <v>58424825741557</v>
      </c>
      <c r="C397" s="3" t="inlineStr">
        <is>
          <t>已簽收</t>
        </is>
      </c>
      <c r="D397" s="3" t="inlineStr">
        <is>
          <t>2026-07-03 13:45:08</t>
        </is>
      </c>
      <c r="E397" s="3" t="inlineStr">
        <is>
          <t>2026-07-04 11:22</t>
        </is>
      </c>
      <c r="F397" s="3" t="n">
        <v>23.2</v>
      </c>
      <c r="G397" s="3" t="n">
        <v>2</v>
      </c>
      <c r="H397" s="3" t="n"/>
      <c r="I397" s="3" t="inlineStr"/>
      <c r="J397" s="3" t="inlineStr">
        <is>
          <t>Keeta</t>
        </is>
      </c>
      <c r="K397" s="3" t="inlineStr">
        <is>
          <t>****9568</t>
        </is>
      </c>
      <c r="L397" s="3" t="n"/>
      <c r="M397" s="3" t="inlineStr">
        <is>
          <t>***** 物流中心5樓</t>
        </is>
      </c>
      <c r="N397" s="3" t="inlineStr">
        <is>
          <t>北区</t>
        </is>
      </c>
      <c r="O397" s="3" t="inlineStr">
        <is>
          <t>香港</t>
        </is>
      </c>
      <c r="P397" s="3" t="inlineStr">
        <is>
          <t>香港特别行政区</t>
        </is>
      </c>
      <c r="Q397" s="3" t="n">
        <v>721446400</v>
      </c>
      <c r="R397" s="3" t="inlineStr">
        <is>
          <t>綻咖啡銅鑼灣人氣香濃咖啡店</t>
        </is>
      </c>
      <c r="S397" s="3" t="inlineStr">
        <is>
          <t>****68480226</t>
        </is>
      </c>
      <c r="T397" s="3" t="inlineStr">
        <is>
          <t>****68480226</t>
        </is>
      </c>
      <c r="U397" s="3" t="inlineStr">
        <is>
          <t>***** 276北B鋪</t>
        </is>
      </c>
      <c r="V397" s="3" t="inlineStr">
        <is>
          <t>香港</t>
        </is>
      </c>
      <c r="W397" s="3" t="inlineStr">
        <is>
          <t>无纺布【规格四大号】/ 箱出</t>
        </is>
      </c>
      <c r="X397" s="3" t="inlineStr">
        <is>
          <t>ESS-SFTS-OTMS</t>
        </is>
      </c>
      <c r="Y397" s="3" t="n"/>
      <c r="Z397" s="3" t="inlineStr"/>
      <c r="AA397" s="3" t="inlineStr">
        <is>
          <t>寄付月結</t>
        </is>
      </c>
      <c r="AB397">
        <f>IFERROR(VLOOKUP(Q397&amp;"",對照表!$A:$B,1,FALSE),"")</f>
        <v/>
      </c>
      <c r="AC397">
        <f>IFERROR(VLOOKUP(Q397&amp;"",對照表!$A:$B,2,FALSE),"")</f>
        <v/>
      </c>
    </row>
    <row r="398">
      <c r="A398" s="3" t="inlineStr">
        <is>
          <t>SF5116616188982</t>
        </is>
      </c>
      <c r="B398" s="3" t="n">
        <v>58424825741544</v>
      </c>
      <c r="C398" s="3" t="inlineStr">
        <is>
          <t>已簽收</t>
        </is>
      </c>
      <c r="D398" s="3" t="inlineStr">
        <is>
          <t>2026-07-03 11:45:49</t>
        </is>
      </c>
      <c r="E398" s="3" t="inlineStr">
        <is>
          <t>2026-07-04 12:08</t>
        </is>
      </c>
      <c r="F398" s="3" t="n">
        <v>11.9</v>
      </c>
      <c r="G398" s="3" t="n">
        <v>1</v>
      </c>
      <c r="H398" s="3" t="n"/>
      <c r="I398" s="3" t="inlineStr"/>
      <c r="J398" s="3" t="inlineStr">
        <is>
          <t>Keeta</t>
        </is>
      </c>
      <c r="K398" s="3" t="inlineStr">
        <is>
          <t>****9568</t>
        </is>
      </c>
      <c r="L398" s="3" t="n"/>
      <c r="M398" s="3" t="inlineStr">
        <is>
          <t>***** 物流中心5樓</t>
        </is>
      </c>
      <c r="N398" s="3" t="inlineStr">
        <is>
          <t>北区</t>
        </is>
      </c>
      <c r="O398" s="3" t="inlineStr">
        <is>
          <t>香港</t>
        </is>
      </c>
      <c r="P398" s="3" t="inlineStr">
        <is>
          <t>香港特别行政区</t>
        </is>
      </c>
      <c r="Q398" s="3" t="n">
        <v>711269</v>
      </c>
      <c r="R398" s="3" t="inlineStr">
        <is>
          <t>PizzaExpressPizzaPasta(北角匯)</t>
        </is>
      </c>
      <c r="S398" s="3" t="inlineStr">
        <is>
          <t>****31641311</t>
        </is>
      </c>
      <c r="T398" s="3" t="inlineStr">
        <is>
          <t>****31641311</t>
        </is>
      </c>
      <c r="U398" s="3" t="inlineStr">
        <is>
          <t>***** -219號舖</t>
        </is>
      </c>
      <c r="V398" s="3" t="inlineStr">
        <is>
          <t>香港</t>
        </is>
      </c>
      <c r="W398" s="3" t="inlineStr">
        <is>
          <t>无纺布【Preminum黑】/ 箱出</t>
        </is>
      </c>
      <c r="X398" s="3" t="inlineStr">
        <is>
          <t>ESS-SFTS-OTMS</t>
        </is>
      </c>
      <c r="Y398" s="3" t="n"/>
      <c r="Z398" s="3" t="inlineStr"/>
      <c r="AA398" s="3" t="inlineStr">
        <is>
          <t>寄付月結</t>
        </is>
      </c>
      <c r="AB398">
        <f>IFERROR(VLOOKUP(Q398&amp;"",對照表!$A:$B,1,FALSE),"")</f>
        <v/>
      </c>
      <c r="AC398">
        <f>IFERROR(VLOOKUP(Q398&amp;"",對照表!$A:$B,2,FALSE),"")</f>
        <v/>
      </c>
    </row>
    <row r="399">
      <c r="A399" s="3" t="inlineStr">
        <is>
          <t>SF5116616188937</t>
        </is>
      </c>
      <c r="B399" s="3" t="n">
        <v>58424825741535</v>
      </c>
      <c r="C399" s="3" t="inlineStr">
        <is>
          <t>已簽收</t>
        </is>
      </c>
      <c r="D399" s="3" t="inlineStr">
        <is>
          <t>2026-07-03 10:25:58</t>
        </is>
      </c>
      <c r="E399" s="3" t="inlineStr">
        <is>
          <t>2026-07-04 15:56</t>
        </is>
      </c>
      <c r="F399" s="3" t="n">
        <v>1</v>
      </c>
      <c r="G399" s="3" t="n">
        <v>1</v>
      </c>
      <c r="H399" s="3" t="n"/>
      <c r="I399" s="3" t="inlineStr"/>
      <c r="J399" s="3" t="inlineStr">
        <is>
          <t>Keeta</t>
        </is>
      </c>
      <c r="K399" s="3" t="inlineStr">
        <is>
          <t>****9568</t>
        </is>
      </c>
      <c r="L399" s="3" t="n"/>
      <c r="M399" s="3" t="inlineStr">
        <is>
          <t>***** 物流中心5樓</t>
        </is>
      </c>
      <c r="N399" s="3" t="inlineStr">
        <is>
          <t>北区</t>
        </is>
      </c>
      <c r="O399" s="3" t="inlineStr">
        <is>
          <t>香港</t>
        </is>
      </c>
      <c r="P399" s="3" t="inlineStr">
        <is>
          <t>香港特别行政区</t>
        </is>
      </c>
      <c r="Q399" s="3" t="n">
        <v>579833</v>
      </c>
      <c r="R399" s="3" t="inlineStr">
        <is>
          <t>Bangkokbbq</t>
        </is>
      </c>
      <c r="S399" s="3" t="inlineStr">
        <is>
          <t>****51102621</t>
        </is>
      </c>
      <c r="T399" s="3" t="inlineStr">
        <is>
          <t>****51102621</t>
        </is>
      </c>
      <c r="U399" s="3" t="inlineStr">
        <is>
          <t>***** 村95號地下</t>
        </is>
      </c>
      <c r="V399" s="3" t="inlineStr">
        <is>
          <t>香港</t>
        </is>
      </c>
      <c r="W399" s="3" t="inlineStr">
        <is>
          <t>塑料袋【大】/ 扎出</t>
        </is>
      </c>
      <c r="X399" s="3" t="inlineStr">
        <is>
          <t>ESS-SFTS-OTMS</t>
        </is>
      </c>
      <c r="Y399" s="3" t="n"/>
      <c r="Z399" s="3" t="inlineStr"/>
      <c r="AA399" s="3" t="inlineStr">
        <is>
          <t>寄付月結</t>
        </is>
      </c>
      <c r="AB399">
        <f>IFERROR(VLOOKUP(Q399&amp;"",對照表!$A:$B,1,FALSE),"")</f>
        <v/>
      </c>
      <c r="AC399">
        <f>IFERROR(VLOOKUP(Q399&amp;"",對照表!$A:$B,2,FALSE),"")</f>
        <v/>
      </c>
    </row>
    <row r="400">
      <c r="A400" s="3" t="inlineStr">
        <is>
          <t>SF5116616189022</t>
        </is>
      </c>
      <c r="B400" s="3" t="n">
        <v>58424825741553</v>
      </c>
      <c r="C400" s="3" t="inlineStr">
        <is>
          <t>已簽收</t>
        </is>
      </c>
      <c r="D400" s="3" t="inlineStr">
        <is>
          <t>2026-07-03 13:52:22</t>
        </is>
      </c>
      <c r="E400" s="3" t="inlineStr">
        <is>
          <t>2026-07-04 11:30</t>
        </is>
      </c>
      <c r="F400" s="3" t="n">
        <v>15</v>
      </c>
      <c r="G400" s="3" t="n">
        <v>1</v>
      </c>
      <c r="H400" s="3" t="n"/>
      <c r="I400" s="3" t="inlineStr"/>
      <c r="J400" s="3" t="inlineStr">
        <is>
          <t>Keeta</t>
        </is>
      </c>
      <c r="K400" s="3" t="inlineStr">
        <is>
          <t>****9568</t>
        </is>
      </c>
      <c r="L400" s="3" t="n"/>
      <c r="M400" s="3" t="inlineStr">
        <is>
          <t>***** 物流中心5樓</t>
        </is>
      </c>
      <c r="N400" s="3" t="inlineStr">
        <is>
          <t>北区</t>
        </is>
      </c>
      <c r="O400" s="3" t="inlineStr">
        <is>
          <t>香港</t>
        </is>
      </c>
      <c r="P400" s="3" t="inlineStr">
        <is>
          <t>香港特别行政区</t>
        </is>
      </c>
      <c r="Q400" s="3" t="n">
        <v>721424370</v>
      </c>
      <c r="R400" s="3" t="inlineStr">
        <is>
          <t>BanhMiNho超美味正宗越南法包越式燒豬腩肉撈檬粉吃過包回頭</t>
        </is>
      </c>
      <c r="S400" s="3" t="inlineStr">
        <is>
          <t>****95528611</t>
        </is>
      </c>
      <c r="T400" s="3" t="inlineStr">
        <is>
          <t>****95528611</t>
        </is>
      </c>
      <c r="U400" s="3" t="inlineStr">
        <is>
          <t>***** 軒道2號地舖</t>
        </is>
      </c>
      <c r="V400" s="3" t="inlineStr">
        <is>
          <t>香港</t>
        </is>
      </c>
      <c r="W400" s="3" t="inlineStr">
        <is>
          <t>纸袋【通版】/ 箱出</t>
        </is>
      </c>
      <c r="X400" s="3" t="inlineStr">
        <is>
          <t>ESS-SFTS-OTMS</t>
        </is>
      </c>
      <c r="Y400" s="3" t="n"/>
      <c r="Z400" s="3" t="inlineStr"/>
      <c r="AA400" s="3" t="inlineStr">
        <is>
          <t>寄付月結</t>
        </is>
      </c>
      <c r="AB400">
        <f>IFERROR(VLOOKUP(Q400&amp;"",對照表!$A:$B,1,FALSE),"")</f>
        <v/>
      </c>
      <c r="AC400">
        <f>IFERROR(VLOOKUP(Q400&amp;"",對照表!$A:$B,2,FALSE),"")</f>
        <v/>
      </c>
    </row>
    <row r="401">
      <c r="A401" s="3" t="inlineStr">
        <is>
          <t>SF5116616189129</t>
        </is>
      </c>
      <c r="B401" s="3" t="n">
        <v>58424825741572</v>
      </c>
      <c r="C401" s="3" t="inlineStr">
        <is>
          <t>已簽收</t>
        </is>
      </c>
      <c r="D401" s="3" t="inlineStr">
        <is>
          <t>2026-07-03 11:36:26</t>
        </is>
      </c>
      <c r="E401" s="3" t="inlineStr">
        <is>
          <t>2026-07-07 13:17</t>
        </is>
      </c>
      <c r="F401" s="3" t="n">
        <v>20.2</v>
      </c>
      <c r="G401" s="3" t="n">
        <v>2</v>
      </c>
      <c r="H401" s="3" t="n"/>
      <c r="I401" s="3" t="inlineStr"/>
      <c r="J401" s="3" t="inlineStr">
        <is>
          <t>Keeta</t>
        </is>
      </c>
      <c r="K401" s="3" t="inlineStr">
        <is>
          <t>****9568</t>
        </is>
      </c>
      <c r="L401" s="3" t="n"/>
      <c r="M401" s="3" t="inlineStr">
        <is>
          <t>***** 物流中心5樓</t>
        </is>
      </c>
      <c r="N401" s="3" t="inlineStr">
        <is>
          <t>北区</t>
        </is>
      </c>
      <c r="O401" s="3" t="inlineStr">
        <is>
          <t>香港</t>
        </is>
      </c>
      <c r="P401" s="3" t="inlineStr">
        <is>
          <t>香港特别行政区</t>
        </is>
      </c>
      <c r="Q401" s="3" t="n">
        <v>608249</v>
      </c>
      <c r="R401" s="3" t="inlineStr">
        <is>
          <t>大叔拉麵OjisanRamen限時優惠(現凡惠顧任何食品或飲品滿150即可免費贈送指定小食)</t>
        </is>
      </c>
      <c r="S401" s="3" t="inlineStr">
        <is>
          <t>****7388</t>
        </is>
      </c>
      <c r="T401" s="3" t="inlineStr">
        <is>
          <t>****7388</t>
        </is>
      </c>
      <c r="U401" s="3" t="inlineStr">
        <is>
          <t>***** 楼3206铺</t>
        </is>
      </c>
      <c r="V401" s="3" t="inlineStr">
        <is>
          <t>香港</t>
        </is>
      </c>
      <c r="W401" s="3" t="inlineStr">
        <is>
          <t>无纺布【规格三中号】/ 箱出</t>
        </is>
      </c>
      <c r="X401" s="3" t="inlineStr">
        <is>
          <t>ESS-SFTS-OTMS</t>
        </is>
      </c>
      <c r="Y401" s="3" t="n"/>
      <c r="Z401" s="3" t="inlineStr"/>
      <c r="AA401" s="3" t="inlineStr">
        <is>
          <t>寄付月結</t>
        </is>
      </c>
      <c r="AB401">
        <f>IFERROR(VLOOKUP(Q401&amp;"",對照表!$A:$B,1,FALSE),"")</f>
        <v/>
      </c>
      <c r="AC401">
        <f>IFERROR(VLOOKUP(Q401&amp;"",對照表!$A:$B,2,FALSE),"")</f>
        <v/>
      </c>
    </row>
    <row r="402">
      <c r="A402" s="3" t="inlineStr">
        <is>
          <t>SF5116616188849</t>
        </is>
      </c>
      <c r="B402" s="3" t="n">
        <v>58424825741514</v>
      </c>
      <c r="C402" s="3" t="inlineStr">
        <is>
          <t>已簽收</t>
        </is>
      </c>
      <c r="D402" s="3" t="inlineStr">
        <is>
          <t>2026-07-03 11:41:06</t>
        </is>
      </c>
      <c r="E402" s="3" t="inlineStr">
        <is>
          <t>2026-07-04 09:47</t>
        </is>
      </c>
      <c r="F402" s="3" t="n">
        <v>23.64</v>
      </c>
      <c r="G402" s="3" t="n">
        <v>2</v>
      </c>
      <c r="H402" s="3" t="n"/>
      <c r="I402" s="3" t="inlineStr"/>
      <c r="J402" s="3" t="inlineStr">
        <is>
          <t>Keeta</t>
        </is>
      </c>
      <c r="K402" s="3" t="inlineStr">
        <is>
          <t>****9568</t>
        </is>
      </c>
      <c r="L402" s="3" t="n"/>
      <c r="M402" s="3" t="inlineStr">
        <is>
          <t>***** 物流中心5樓</t>
        </is>
      </c>
      <c r="N402" s="3" t="inlineStr">
        <is>
          <t>北区</t>
        </is>
      </c>
      <c r="O402" s="3" t="inlineStr">
        <is>
          <t>香港</t>
        </is>
      </c>
      <c r="P402" s="3" t="inlineStr">
        <is>
          <t>香港特别行政区</t>
        </is>
      </c>
      <c r="Q402" s="3" t="n">
        <v>478491</v>
      </c>
      <c r="R402" s="3" t="inlineStr">
        <is>
          <t>CrepeDelicious(灣仔)</t>
        </is>
      </c>
      <c r="S402" s="3" t="inlineStr">
        <is>
          <t>****62134396</t>
        </is>
      </c>
      <c r="T402" s="3" t="inlineStr">
        <is>
          <t>****62134396</t>
        </is>
      </c>
      <c r="U402" s="3" t="inlineStr">
        <is>
          <t>***** F26A號舖</t>
        </is>
      </c>
      <c r="V402" s="3" t="inlineStr">
        <is>
          <t>香港</t>
        </is>
      </c>
      <c r="W402" s="3" t="inlineStr">
        <is>
          <t>无纺布【Preminum黑】/ 箱出</t>
        </is>
      </c>
      <c r="X402" s="3" t="inlineStr">
        <is>
          <t>ESS-SFTS-OTMS</t>
        </is>
      </c>
      <c r="Y402" s="3" t="n"/>
      <c r="Z402" s="3" t="inlineStr"/>
      <c r="AA402" s="3" t="inlineStr">
        <is>
          <t>寄付月結</t>
        </is>
      </c>
      <c r="AB402">
        <f>IFERROR(VLOOKUP(Q402&amp;"",對照表!$A:$B,1,FALSE),"")</f>
        <v/>
      </c>
      <c r="AC402">
        <f>IFERROR(VLOOKUP(Q402&amp;"",對照表!$A:$B,2,FALSE),"")</f>
        <v/>
      </c>
    </row>
    <row r="403">
      <c r="A403" s="3" t="inlineStr">
        <is>
          <t>SF5116616188858</t>
        </is>
      </c>
      <c r="B403" s="3" t="n">
        <v>58424825741516</v>
      </c>
      <c r="C403" s="3" t="inlineStr">
        <is>
          <t>已簽收</t>
        </is>
      </c>
      <c r="D403" s="3" t="inlineStr">
        <is>
          <t>2026-07-03 13:49:32</t>
        </is>
      </c>
      <c r="E403" s="3" t="inlineStr">
        <is>
          <t>2026-07-04 12:07</t>
        </is>
      </c>
      <c r="F403" s="3" t="n">
        <v>34.8</v>
      </c>
      <c r="G403" s="3" t="n">
        <v>3</v>
      </c>
      <c r="H403" s="3" t="n"/>
      <c r="I403" s="3" t="inlineStr"/>
      <c r="J403" s="3" t="inlineStr">
        <is>
          <t>Keeta</t>
        </is>
      </c>
      <c r="K403" s="3" t="inlineStr">
        <is>
          <t>****9568</t>
        </is>
      </c>
      <c r="L403" s="3" t="n"/>
      <c r="M403" s="3" t="inlineStr">
        <is>
          <t>***** 物流中心5樓</t>
        </is>
      </c>
      <c r="N403" s="3" t="inlineStr">
        <is>
          <t>北区</t>
        </is>
      </c>
      <c r="O403" s="3" t="inlineStr">
        <is>
          <t>香港</t>
        </is>
      </c>
      <c r="P403" s="3" t="inlineStr">
        <is>
          <t>香港特别行政区</t>
        </is>
      </c>
      <c r="Q403" s="3" t="n">
        <v>458228</v>
      </c>
      <c r="R403" s="3" t="inlineStr">
        <is>
          <t>駒記海鮮大排檔鑊氣小炒KuiKeeSeafoodRestaurant</t>
        </is>
      </c>
      <c r="S403" s="3" t="inlineStr">
        <is>
          <t>****28388998</t>
        </is>
      </c>
      <c r="T403" s="3" t="inlineStr">
        <is>
          <t>****28388998</t>
        </is>
      </c>
      <c r="U403" s="3" t="inlineStr">
        <is>
          <t>***** 6號地下B舖</t>
        </is>
      </c>
      <c r="V403" s="3" t="inlineStr">
        <is>
          <t>香港</t>
        </is>
      </c>
      <c r="W403" s="3" t="inlineStr">
        <is>
          <t>无纺布【规格四大号】/ 箱出</t>
        </is>
      </c>
      <c r="X403" s="3" t="inlineStr">
        <is>
          <t>ESS-SFTS-OTMS</t>
        </is>
      </c>
      <c r="Y403" s="3" t="n"/>
      <c r="Z403" s="3" t="inlineStr"/>
      <c r="AA403" s="3" t="inlineStr">
        <is>
          <t>寄付月結</t>
        </is>
      </c>
      <c r="AB403">
        <f>IFERROR(VLOOKUP(Q403&amp;"",對照表!$A:$B,1,FALSE),"")</f>
        <v/>
      </c>
      <c r="AC403">
        <f>IFERROR(VLOOKUP(Q403&amp;"",對照表!$A:$B,2,FALSE),"")</f>
        <v/>
      </c>
    </row>
    <row r="404">
      <c r="A404" s="3" t="inlineStr">
        <is>
          <t>SF5116616189101</t>
        </is>
      </c>
      <c r="B404" s="3" t="n">
        <v>58424825741569</v>
      </c>
      <c r="C404" s="3" t="inlineStr">
        <is>
          <t>已簽收</t>
        </is>
      </c>
      <c r="D404" s="3" t="inlineStr">
        <is>
          <t>2026-07-03 13:45:08</t>
        </is>
      </c>
      <c r="E404" s="3" t="inlineStr">
        <is>
          <t>2026-07-04 15:26</t>
        </is>
      </c>
      <c r="F404" s="3" t="n">
        <v>23.2</v>
      </c>
      <c r="G404" s="3" t="n">
        <v>2</v>
      </c>
      <c r="H404" s="3" t="n"/>
      <c r="I404" s="3" t="inlineStr"/>
      <c r="J404" s="3" t="inlineStr">
        <is>
          <t>Keeta</t>
        </is>
      </c>
      <c r="K404" s="3" t="inlineStr">
        <is>
          <t>****9568</t>
        </is>
      </c>
      <c r="L404" s="3" t="n"/>
      <c r="M404" s="3" t="inlineStr">
        <is>
          <t>***** 物流中心5樓</t>
        </is>
      </c>
      <c r="N404" s="3" t="inlineStr">
        <is>
          <t>北区</t>
        </is>
      </c>
      <c r="O404" s="3" t="inlineStr">
        <is>
          <t>香港</t>
        </is>
      </c>
      <c r="P404" s="3" t="inlineStr">
        <is>
          <t>香港特别行政区</t>
        </is>
      </c>
      <c r="Q404" s="3" t="n">
        <v>488371</v>
      </c>
      <c r="R404" s="3" t="inlineStr">
        <is>
          <t>食鮮燒烤海鮮日式料理專門店</t>
        </is>
      </c>
      <c r="S404" s="3" t="inlineStr">
        <is>
          <t>****34622066</t>
        </is>
      </c>
      <c r="T404" s="3" t="inlineStr">
        <is>
          <t>****34622066</t>
        </is>
      </c>
      <c r="U404" s="3" t="inlineStr">
        <is>
          <t>***** 地下15號鋪</t>
        </is>
      </c>
      <c r="V404" s="3" t="inlineStr">
        <is>
          <t>香港</t>
        </is>
      </c>
      <c r="W404" s="3" t="inlineStr">
        <is>
          <t>无纺布【规格四大号】/ 箱出</t>
        </is>
      </c>
      <c r="X404" s="3" t="inlineStr">
        <is>
          <t>ESS-SFTS-OTMS</t>
        </is>
      </c>
      <c r="Y404" s="3" t="n"/>
      <c r="Z404" s="3" t="inlineStr"/>
      <c r="AA404" s="3" t="inlineStr">
        <is>
          <t>寄付月結</t>
        </is>
      </c>
      <c r="AB404">
        <f>IFERROR(VLOOKUP(Q404&amp;"",對照表!$A:$B,1,FALSE),"")</f>
        <v/>
      </c>
      <c r="AC404">
        <f>IFERROR(VLOOKUP(Q404&amp;"",對照表!$A:$B,2,FALSE),"")</f>
        <v/>
      </c>
    </row>
    <row r="405">
      <c r="A405" s="3" t="inlineStr">
        <is>
          <t>SF5116616188830</t>
        </is>
      </c>
      <c r="B405" s="3" t="n">
        <v>58424825741512</v>
      </c>
      <c r="C405" s="3" t="inlineStr">
        <is>
          <t>已簽收</t>
        </is>
      </c>
      <c r="D405" s="3" t="inlineStr">
        <is>
          <t>2026-07-03 13:45:09</t>
        </is>
      </c>
      <c r="E405" s="3" t="inlineStr">
        <is>
          <t>2026-07-07 10:14</t>
        </is>
      </c>
      <c r="F405" s="3" t="n">
        <v>23.2</v>
      </c>
      <c r="G405" s="3" t="n">
        <v>2</v>
      </c>
      <c r="H405" s="3" t="n"/>
      <c r="I405" s="3" t="inlineStr"/>
      <c r="J405" s="3" t="inlineStr">
        <is>
          <t>Keeta</t>
        </is>
      </c>
      <c r="K405" s="3" t="inlineStr">
        <is>
          <t>****9568</t>
        </is>
      </c>
      <c r="L405" s="3" t="n"/>
      <c r="M405" s="3" t="inlineStr">
        <is>
          <t>***** 物流中心5樓</t>
        </is>
      </c>
      <c r="N405" s="3" t="inlineStr">
        <is>
          <t>北区</t>
        </is>
      </c>
      <c r="O405" s="3" t="inlineStr">
        <is>
          <t>香港</t>
        </is>
      </c>
      <c r="P405" s="3" t="inlineStr">
        <is>
          <t>香港特别行政区</t>
        </is>
      </c>
      <c r="Q405" s="3" t="n">
        <v>721516372</v>
      </c>
      <c r="R405" s="3" t="inlineStr">
        <is>
          <t>大鬍子</t>
        </is>
      </c>
      <c r="S405" s="3" t="inlineStr">
        <is>
          <t>****59315572</t>
        </is>
      </c>
      <c r="T405" s="3" t="inlineStr">
        <is>
          <t>****59315572</t>
        </is>
      </c>
      <c r="U405" s="3" t="inlineStr">
        <is>
          <t>***** 廈33號地下</t>
        </is>
      </c>
      <c r="V405" s="3" t="inlineStr">
        <is>
          <t>香港</t>
        </is>
      </c>
      <c r="W405" s="3" t="inlineStr">
        <is>
          <t>无纺布【规格四大号】/ 箱出</t>
        </is>
      </c>
      <c r="X405" s="3" t="inlineStr">
        <is>
          <t>ESS-SFTS-OTMS</t>
        </is>
      </c>
      <c r="Y405" s="3" t="n"/>
      <c r="Z405" s="3" t="inlineStr"/>
      <c r="AA405" s="3" t="inlineStr">
        <is>
          <t>寄付月結</t>
        </is>
      </c>
      <c r="AB405">
        <f>IFERROR(VLOOKUP(Q405&amp;"",對照表!$A:$B,1,FALSE),"")</f>
        <v/>
      </c>
      <c r="AC405">
        <f>IFERROR(VLOOKUP(Q405&amp;"",對照表!$A:$B,2,FALSE),"")</f>
        <v/>
      </c>
    </row>
    <row r="406">
      <c r="A406" s="3" t="inlineStr">
        <is>
          <t>SF5116616188955</t>
        </is>
      </c>
      <c r="B406" s="3" t="n">
        <v>58424825741538</v>
      </c>
      <c r="C406" s="3" t="inlineStr">
        <is>
          <t>已簽收</t>
        </is>
      </c>
      <c r="D406" s="3" t="inlineStr">
        <is>
          <t>2026-07-03 14:37:46</t>
        </is>
      </c>
      <c r="E406" s="3" t="inlineStr">
        <is>
          <t>2026-07-04 12:54</t>
        </is>
      </c>
      <c r="F406" s="3" t="n">
        <v>24.44</v>
      </c>
      <c r="G406" s="3" t="n">
        <v>3</v>
      </c>
      <c r="H406" s="3" t="n"/>
      <c r="I406" s="3" t="inlineStr"/>
      <c r="J406" s="3" t="inlineStr">
        <is>
          <t>Keeta</t>
        </is>
      </c>
      <c r="K406" s="3" t="inlineStr">
        <is>
          <t>****9568</t>
        </is>
      </c>
      <c r="L406" s="3" t="n"/>
      <c r="M406" s="3" t="inlineStr">
        <is>
          <t>***** 物流中心5樓</t>
        </is>
      </c>
      <c r="N406" s="3" t="inlineStr">
        <is>
          <t>北区</t>
        </is>
      </c>
      <c r="O406" s="3" t="inlineStr">
        <is>
          <t>香港</t>
        </is>
      </c>
      <c r="P406" s="3" t="inlineStr">
        <is>
          <t>香港特别行政区</t>
        </is>
      </c>
      <c r="Q406" s="3" t="n">
        <v>721522404</v>
      </c>
      <c r="R406" s="3" t="inlineStr">
        <is>
          <t>娥姐美食坊</t>
        </is>
      </c>
      <c r="S406" s="3" t="inlineStr">
        <is>
          <t>****96051683</t>
        </is>
      </c>
      <c r="T406" s="3" t="inlineStr">
        <is>
          <t>****96051683</t>
        </is>
      </c>
      <c r="U406" s="3" t="inlineStr">
        <is>
          <t>***** 樓W04號鋪</t>
        </is>
      </c>
      <c r="V406" s="3" t="inlineStr">
        <is>
          <t>香港</t>
        </is>
      </c>
      <c r="W406" s="3" t="inlineStr">
        <is>
          <t>无纺布【规格四大号】/ 箱出, 塑料袋【大】/ 扎出</t>
        </is>
      </c>
      <c r="X406" s="3" t="inlineStr">
        <is>
          <t>ESS-SFTS-OTMS</t>
        </is>
      </c>
      <c r="Y406" s="3" t="n"/>
      <c r="Z406" s="3" t="inlineStr"/>
      <c r="AA406" s="3" t="inlineStr">
        <is>
          <t>寄付月結</t>
        </is>
      </c>
      <c r="AB406">
        <f>IFERROR(VLOOKUP(Q406&amp;"",對照表!$A:$B,1,FALSE),"")</f>
        <v/>
      </c>
      <c r="AC406">
        <f>IFERROR(VLOOKUP(Q406&amp;"",對照表!$A:$B,2,FALSE),"")</f>
        <v/>
      </c>
    </row>
    <row r="407">
      <c r="A407" s="3" t="inlineStr">
        <is>
          <t>SF5116616189077</t>
        </is>
      </c>
      <c r="B407" s="3" t="n">
        <v>58424825741560</v>
      </c>
      <c r="C407" s="3" t="inlineStr">
        <is>
          <t>已簽收</t>
        </is>
      </c>
      <c r="D407" s="3" t="inlineStr">
        <is>
          <t>2026-07-03 16:50:29</t>
        </is>
      </c>
      <c r="E407" s="3" t="inlineStr">
        <is>
          <t>2026-07-06 09:47</t>
        </is>
      </c>
      <c r="F407" s="3" t="n">
        <v>31.2</v>
      </c>
      <c r="G407" s="3" t="n">
        <v>3</v>
      </c>
      <c r="H407" s="3" t="n"/>
      <c r="I407" s="3" t="inlineStr"/>
      <c r="J407" s="3" t="inlineStr">
        <is>
          <t>Keeta</t>
        </is>
      </c>
      <c r="K407" s="3" t="inlineStr">
        <is>
          <t>****9568</t>
        </is>
      </c>
      <c r="L407" s="3" t="n"/>
      <c r="M407" s="3" t="inlineStr">
        <is>
          <t>***** 物流中心5樓</t>
        </is>
      </c>
      <c r="N407" s="3" t="inlineStr">
        <is>
          <t>北区</t>
        </is>
      </c>
      <c r="O407" s="3" t="inlineStr">
        <is>
          <t>香港</t>
        </is>
      </c>
      <c r="P407" s="3" t="inlineStr">
        <is>
          <t>香港特别行政区</t>
        </is>
      </c>
      <c r="Q407" s="3" t="n">
        <v>721522374</v>
      </c>
      <c r="R407" s="3" t="inlineStr">
        <is>
          <t>FITASTY</t>
        </is>
      </c>
      <c r="S407" s="3" t="inlineStr">
        <is>
          <t>****64986707</t>
        </is>
      </c>
      <c r="T407" s="3" t="inlineStr">
        <is>
          <t>****64986707</t>
        </is>
      </c>
      <c r="U407" s="3" t="inlineStr">
        <is>
          <t>***** 大廈7樓C室</t>
        </is>
      </c>
      <c r="V407" s="3" t="inlineStr">
        <is>
          <t>香港</t>
        </is>
      </c>
      <c r="W407" s="3" t="inlineStr">
        <is>
          <t>纸袋【通版】/ 箱出, 塑料袋【大】/ 扎出</t>
        </is>
      </c>
      <c r="X407" s="3" t="inlineStr">
        <is>
          <t>ESS-SFTS-OTMS</t>
        </is>
      </c>
      <c r="Y407" s="3" t="n"/>
      <c r="Z407" s="3" t="inlineStr"/>
      <c r="AA407" s="3" t="inlineStr">
        <is>
          <t>寄付月結</t>
        </is>
      </c>
      <c r="AB407">
        <f>IFERROR(VLOOKUP(Q407&amp;"",對照表!$A:$B,1,FALSE),"")</f>
        <v/>
      </c>
      <c r="AC407">
        <f>IFERROR(VLOOKUP(Q407&amp;"",對照表!$A:$B,2,FALSE),"")</f>
        <v/>
      </c>
    </row>
    <row r="408">
      <c r="A408" s="3" t="inlineStr">
        <is>
          <t>SF5116616189165</t>
        </is>
      </c>
      <c r="B408" s="3" t="n">
        <v>58424825741581</v>
      </c>
      <c r="C408" s="3" t="inlineStr">
        <is>
          <t>已簽收</t>
        </is>
      </c>
      <c r="D408" s="3" t="inlineStr">
        <is>
          <t>2026-07-03 11:36:14</t>
        </is>
      </c>
      <c r="E408" s="3" t="inlineStr">
        <is>
          <t>2026-07-04 12:55</t>
        </is>
      </c>
      <c r="F408" s="3" t="n">
        <v>30.3</v>
      </c>
      <c r="G408" s="3" t="n">
        <v>3</v>
      </c>
      <c r="H408" s="3" t="n"/>
      <c r="I408" s="3" t="inlineStr"/>
      <c r="J408" s="3" t="inlineStr">
        <is>
          <t>Keeta</t>
        </is>
      </c>
      <c r="K408" s="3" t="inlineStr">
        <is>
          <t>****9568</t>
        </is>
      </c>
      <c r="L408" s="3" t="n"/>
      <c r="M408" s="3" t="inlineStr">
        <is>
          <t>***** 物流中心5樓</t>
        </is>
      </c>
      <c r="N408" s="3" t="inlineStr">
        <is>
          <t>北区</t>
        </is>
      </c>
      <c r="O408" s="3" t="inlineStr">
        <is>
          <t>香港</t>
        </is>
      </c>
      <c r="P408" s="3" t="inlineStr">
        <is>
          <t>香港特别行政区</t>
        </is>
      </c>
      <c r="Q408" s="3" t="n">
        <v>482766</v>
      </c>
      <c r="R408" s="3" t="inlineStr">
        <is>
          <t>尚御地道潮州滷味菜</t>
        </is>
      </c>
      <c r="S408" s="3" t="inlineStr">
        <is>
          <t>****60108825</t>
        </is>
      </c>
      <c r="T408" s="3" t="inlineStr">
        <is>
          <t>****60108825</t>
        </is>
      </c>
      <c r="U408" s="3" t="inlineStr">
        <is>
          <t>***** 廈地下3號舖</t>
        </is>
      </c>
      <c r="V408" s="3" t="inlineStr">
        <is>
          <t>香港</t>
        </is>
      </c>
      <c r="W408" s="3" t="inlineStr">
        <is>
          <t>无纺布【规格三中号】/ 箱出</t>
        </is>
      </c>
      <c r="X408" s="3" t="inlineStr">
        <is>
          <t>ESS-SFTS-OTMS</t>
        </is>
      </c>
      <c r="Y408" s="3" t="n"/>
      <c r="Z408" s="3" t="inlineStr"/>
      <c r="AA408" s="3" t="inlineStr">
        <is>
          <t>寄付月結</t>
        </is>
      </c>
      <c r="AB408">
        <f>IFERROR(VLOOKUP(Q408&amp;"",對照表!$A:$B,1,FALSE),"")</f>
        <v/>
      </c>
      <c r="AC408">
        <f>IFERROR(VLOOKUP(Q408&amp;"",對照表!$A:$B,2,FALSE),"")</f>
        <v/>
      </c>
    </row>
    <row r="409">
      <c r="A409" s="3" t="inlineStr">
        <is>
          <t>SF5116616188876</t>
        </is>
      </c>
      <c r="B409" s="3" t="n">
        <v>58424825741521</v>
      </c>
      <c r="C409" s="3" t="inlineStr">
        <is>
          <t>已簽收</t>
        </is>
      </c>
      <c r="D409" s="3" t="inlineStr">
        <is>
          <t>2026-07-03 17:16:56</t>
        </is>
      </c>
      <c r="E409" s="3" t="inlineStr">
        <is>
          <t>2026-07-04 11:29</t>
        </is>
      </c>
      <c r="F409" s="3" t="n">
        <v>8</v>
      </c>
      <c r="G409" s="3" t="n">
        <v>2</v>
      </c>
      <c r="H409" s="3" t="n"/>
      <c r="I409" s="3" t="inlineStr"/>
      <c r="J409" s="3" t="inlineStr">
        <is>
          <t>Keeta</t>
        </is>
      </c>
      <c r="K409" s="3" t="inlineStr">
        <is>
          <t>****9568</t>
        </is>
      </c>
      <c r="L409" s="3" t="n"/>
      <c r="M409" s="3" t="inlineStr">
        <is>
          <t>***** 物流中心5樓</t>
        </is>
      </c>
      <c r="N409" s="3" t="inlineStr">
        <is>
          <t>北区</t>
        </is>
      </c>
      <c r="O409" s="3" t="inlineStr">
        <is>
          <t>香港</t>
        </is>
      </c>
      <c r="P409" s="3" t="inlineStr">
        <is>
          <t>香港特别行政区</t>
        </is>
      </c>
      <c r="Q409" s="3" t="n">
        <v>461747</v>
      </c>
      <c r="R409" s="3" t="inlineStr">
        <is>
          <t>阿元來了(米芝蓮推介)</t>
        </is>
      </c>
      <c r="S409" s="3" t="inlineStr">
        <is>
          <t>****37059848</t>
        </is>
      </c>
      <c r="T409" s="3" t="inlineStr">
        <is>
          <t>****37059848</t>
        </is>
      </c>
      <c r="U409" s="3" t="inlineStr">
        <is>
          <t>***** 8號地下後座</t>
        </is>
      </c>
      <c r="V409" s="3" t="inlineStr">
        <is>
          <t>香港</t>
        </is>
      </c>
      <c r="W409" s="3" t="inlineStr">
        <is>
          <t>杯托【2托】/ 箱出</t>
        </is>
      </c>
      <c r="X409" s="3" t="inlineStr">
        <is>
          <t>ESS-SFTS-OTMS</t>
        </is>
      </c>
      <c r="Y409" s="3" t="n"/>
      <c r="Z409" s="3" t="inlineStr"/>
      <c r="AA409" s="3" t="inlineStr">
        <is>
          <t>寄付月結</t>
        </is>
      </c>
      <c r="AB409">
        <f>IFERROR(VLOOKUP(Q409&amp;"",對照表!$A:$B,1,FALSE),"")</f>
        <v/>
      </c>
      <c r="AC409">
        <f>IFERROR(VLOOKUP(Q409&amp;"",對照表!$A:$B,2,FALSE),"")</f>
        <v/>
      </c>
    </row>
    <row r="410">
      <c r="A410" s="3" t="inlineStr">
        <is>
          <t>SF5116616189004</t>
        </is>
      </c>
      <c r="B410" s="3" t="n">
        <v>58424825741549</v>
      </c>
      <c r="C410" s="3" t="inlineStr">
        <is>
          <t>已簽收</t>
        </is>
      </c>
      <c r="D410" s="3" t="inlineStr">
        <is>
          <t>2026-07-03 17:02:03</t>
        </is>
      </c>
      <c r="E410" s="3" t="inlineStr">
        <is>
          <t>2026-07-04 13:13</t>
        </is>
      </c>
      <c r="F410" s="3" t="n">
        <v>24</v>
      </c>
      <c r="G410" s="3" t="n">
        <v>4</v>
      </c>
      <c r="H410" s="3" t="n"/>
      <c r="I410" s="3" t="inlineStr"/>
      <c r="J410" s="3" t="inlineStr">
        <is>
          <t>Keeta</t>
        </is>
      </c>
      <c r="K410" s="3" t="inlineStr">
        <is>
          <t>****9568</t>
        </is>
      </c>
      <c r="L410" s="3" t="n"/>
      <c r="M410" s="3" t="inlineStr">
        <is>
          <t>***** 物流中心5樓</t>
        </is>
      </c>
      <c r="N410" s="3" t="inlineStr">
        <is>
          <t>北区</t>
        </is>
      </c>
      <c r="O410" s="3" t="inlineStr">
        <is>
          <t>香港</t>
        </is>
      </c>
      <c r="P410" s="3" t="inlineStr">
        <is>
          <t>香港特别行政区</t>
        </is>
      </c>
      <c r="Q410" s="3" t="n">
        <v>465079</v>
      </c>
      <c r="R410" s="3" t="inlineStr">
        <is>
          <t>霖記糖水(台灣手造芋圓)</t>
        </is>
      </c>
      <c r="S410" s="3" t="inlineStr">
        <is>
          <t>****51991588</t>
        </is>
      </c>
      <c r="T410" s="3" t="inlineStr">
        <is>
          <t>****51991588</t>
        </is>
      </c>
      <c r="U410" s="3" t="inlineStr">
        <is>
          <t>***** 樓132號舖</t>
        </is>
      </c>
      <c r="V410" s="3" t="inlineStr">
        <is>
          <t>香港</t>
        </is>
      </c>
      <c r="W410" s="3" t="inlineStr">
        <is>
          <t>无纺布【规格一单杯】/ 箱出</t>
        </is>
      </c>
      <c r="X410" s="3" t="inlineStr">
        <is>
          <t>ESS-SFTS-OTMS</t>
        </is>
      </c>
      <c r="Y410" s="3" t="n"/>
      <c r="Z410" s="3" t="inlineStr"/>
      <c r="AA410" s="3" t="inlineStr">
        <is>
          <t>寄付月結</t>
        </is>
      </c>
      <c r="AB410">
        <f>IFERROR(VLOOKUP(Q410&amp;"",對照表!$A:$B,1,FALSE),"")</f>
        <v/>
      </c>
      <c r="AC410">
        <f>IFERROR(VLOOKUP(Q410&amp;"",對照表!$A:$B,2,FALSE),"")</f>
        <v/>
      </c>
    </row>
    <row r="411">
      <c r="A411" s="3" t="inlineStr">
        <is>
          <t>SF5116616189226</t>
        </is>
      </c>
      <c r="B411" s="3" t="n">
        <v>58424825741594</v>
      </c>
      <c r="C411" s="3" t="inlineStr">
        <is>
          <t>已簽收</t>
        </is>
      </c>
      <c r="D411" s="3" t="inlineStr">
        <is>
          <t>2026-07-03 10:22:55</t>
        </is>
      </c>
      <c r="E411" s="3" t="inlineStr">
        <is>
          <t>2026-07-04 11:00</t>
        </is>
      </c>
      <c r="F411" s="3" t="n">
        <v>2.3</v>
      </c>
      <c r="G411" s="3" t="n">
        <v>1</v>
      </c>
      <c r="H411" s="3" t="n"/>
      <c r="I411" s="3" t="inlineStr"/>
      <c r="J411" s="3" t="inlineStr">
        <is>
          <t>Keeta</t>
        </is>
      </c>
      <c r="K411" s="3" t="inlineStr">
        <is>
          <t>****9568</t>
        </is>
      </c>
      <c r="L411" s="3" t="n"/>
      <c r="M411" s="3" t="inlineStr">
        <is>
          <t>***** 物流中心5樓</t>
        </is>
      </c>
      <c r="N411" s="3" t="inlineStr">
        <is>
          <t>北区</t>
        </is>
      </c>
      <c r="O411" s="3" t="inlineStr">
        <is>
          <t>香港</t>
        </is>
      </c>
      <c r="P411" s="3" t="inlineStr">
        <is>
          <t>香港特别行政区</t>
        </is>
      </c>
      <c r="Q411" s="3" t="n">
        <v>721526296</v>
      </c>
      <c r="R411" s="3" t="inlineStr">
        <is>
          <t>潮順園（石籬店）（秘製惹味湯底粉麵專家）</t>
        </is>
      </c>
      <c r="S411" s="3" t="inlineStr">
        <is>
          <t>****26886760</t>
        </is>
      </c>
      <c r="T411" s="3" t="inlineStr">
        <is>
          <t>****26886760</t>
        </is>
      </c>
      <c r="U411" s="3" t="inlineStr">
        <is>
          <t>***** 109A號鋪</t>
        </is>
      </c>
      <c r="V411" s="3" t="inlineStr">
        <is>
          <t>香港</t>
        </is>
      </c>
      <c r="W411" s="3" t="inlineStr">
        <is>
          <t>塑料袋【大】/ 扎出</t>
        </is>
      </c>
      <c r="X411" s="3" t="inlineStr">
        <is>
          <t>ESS-SFTS-OTMS</t>
        </is>
      </c>
      <c r="Y411" s="3" t="n"/>
      <c r="Z411" s="3" t="inlineStr"/>
      <c r="AA411" s="3" t="inlineStr">
        <is>
          <t>寄付月結</t>
        </is>
      </c>
      <c r="AB411">
        <f>IFERROR(VLOOKUP(Q411&amp;"",對照表!$A:$B,1,FALSE),"")</f>
        <v/>
      </c>
      <c r="AC411">
        <f>IFERROR(VLOOKUP(Q411&amp;"",對照表!$A:$B,2,FALSE),"")</f>
        <v/>
      </c>
    </row>
    <row r="412">
      <c r="A412" s="3" t="inlineStr">
        <is>
          <t>SF5116616189174</t>
        </is>
      </c>
      <c r="B412" s="3" t="n">
        <v>58424825741585</v>
      </c>
      <c r="C412" s="3" t="inlineStr">
        <is>
          <t>已簽收</t>
        </is>
      </c>
      <c r="D412" s="3" t="inlineStr">
        <is>
          <t>2026-07-03 10:26:19</t>
        </is>
      </c>
      <c r="E412" s="3" t="inlineStr">
        <is>
          <t>2026-07-04 14:27</t>
        </is>
      </c>
      <c r="F412" s="3" t="n">
        <v>1</v>
      </c>
      <c r="G412" s="3" t="n">
        <v>1</v>
      </c>
      <c r="H412" s="3" t="n"/>
      <c r="I412" s="3" t="inlineStr"/>
      <c r="J412" s="3" t="inlineStr">
        <is>
          <t>Keeta</t>
        </is>
      </c>
      <c r="K412" s="3" t="inlineStr">
        <is>
          <t>****9568</t>
        </is>
      </c>
      <c r="L412" s="3" t="n"/>
      <c r="M412" s="3" t="inlineStr">
        <is>
          <t>***** 物流中心5樓</t>
        </is>
      </c>
      <c r="N412" s="3" t="inlineStr">
        <is>
          <t>北区</t>
        </is>
      </c>
      <c r="O412" s="3" t="inlineStr">
        <is>
          <t>香港</t>
        </is>
      </c>
      <c r="P412" s="3" t="inlineStr">
        <is>
          <t>香港特别行政区</t>
        </is>
      </c>
      <c r="Q412" s="3" t="n">
        <v>484841</v>
      </c>
      <c r="R412" s="3" t="inlineStr">
        <is>
          <t>聚興樓(嘉福商場)粵式秘製手撕雞</t>
        </is>
      </c>
      <c r="S412" s="3" t="inlineStr">
        <is>
          <t>****39969901</t>
        </is>
      </c>
      <c r="T412" s="3" t="inlineStr">
        <is>
          <t>****39969901</t>
        </is>
      </c>
      <c r="U412" s="3" t="inlineStr">
        <is>
          <t>***** 場地下7號舖</t>
        </is>
      </c>
      <c r="V412" s="3" t="inlineStr">
        <is>
          <t>香港</t>
        </is>
      </c>
      <c r="W412" s="3" t="inlineStr">
        <is>
          <t>塑料袋【大】/ 扎出</t>
        </is>
      </c>
      <c r="X412" s="3" t="inlineStr">
        <is>
          <t>ESS-SFTS-OTMS</t>
        </is>
      </c>
      <c r="Y412" s="3" t="n"/>
      <c r="Z412" s="3" t="inlineStr"/>
      <c r="AA412" s="3" t="inlineStr">
        <is>
          <t>寄付月結</t>
        </is>
      </c>
      <c r="AB412">
        <f>IFERROR(VLOOKUP(Q412&amp;"",對照表!$A:$B,1,FALSE),"")</f>
        <v/>
      </c>
      <c r="AC412">
        <f>IFERROR(VLOOKUP(Q412&amp;"",對照表!$A:$B,2,FALSE),"")</f>
        <v/>
      </c>
    </row>
    <row r="413">
      <c r="A413" s="3" t="inlineStr">
        <is>
          <t>SF5116616189156</t>
        </is>
      </c>
      <c r="B413" s="3" t="n">
        <v>58424825741579</v>
      </c>
      <c r="C413" s="3" t="inlineStr">
        <is>
          <t>已簽收</t>
        </is>
      </c>
      <c r="D413" s="3" t="inlineStr">
        <is>
          <t>2026-07-03 11:09:54</t>
        </is>
      </c>
      <c r="E413" s="3" t="inlineStr">
        <is>
          <t>2026-07-04 13:53</t>
        </is>
      </c>
      <c r="F413" s="3" t="n">
        <v>45</v>
      </c>
      <c r="G413" s="3" t="n">
        <v>3</v>
      </c>
      <c r="H413" s="3" t="n"/>
      <c r="I413" s="3" t="inlineStr"/>
      <c r="J413" s="3" t="inlineStr">
        <is>
          <t>Keeta</t>
        </is>
      </c>
      <c r="K413" s="3" t="inlineStr">
        <is>
          <t>****9568</t>
        </is>
      </c>
      <c r="L413" s="3" t="n"/>
      <c r="M413" s="3" t="inlineStr">
        <is>
          <t>***** 物流中心5樓</t>
        </is>
      </c>
      <c r="N413" s="3" t="inlineStr">
        <is>
          <t>北区</t>
        </is>
      </c>
      <c r="O413" s="3" t="inlineStr">
        <is>
          <t>香港</t>
        </is>
      </c>
      <c r="P413" s="3" t="inlineStr">
        <is>
          <t>香港特别行政区</t>
        </is>
      </c>
      <c r="Q413" s="3" t="n">
        <v>612674</v>
      </c>
      <c r="R413" s="3" t="inlineStr">
        <is>
          <t>十二味(青衣)</t>
        </is>
      </c>
      <c r="S413" s="3" t="inlineStr">
        <is>
          <t>****67900569</t>
        </is>
      </c>
      <c r="T413" s="3" t="inlineStr">
        <is>
          <t>****67900569</t>
        </is>
      </c>
      <c r="U413" s="3" t="inlineStr">
        <is>
          <t>***** 樓224號舖</t>
        </is>
      </c>
      <c r="V413" s="3" t="inlineStr">
        <is>
          <t>香港</t>
        </is>
      </c>
      <c r="W413" s="3" t="inlineStr">
        <is>
          <t>纸袋【通版】/ 箱出</t>
        </is>
      </c>
      <c r="X413" s="3" t="inlineStr">
        <is>
          <t>ESS-SFTS-OTMS</t>
        </is>
      </c>
      <c r="Y413" s="3" t="n"/>
      <c r="Z413" s="3" t="inlineStr"/>
      <c r="AA413" s="3" t="inlineStr">
        <is>
          <t>寄付月結</t>
        </is>
      </c>
      <c r="AB413">
        <f>IFERROR(VLOOKUP(Q413&amp;"",對照表!$A:$B,1,FALSE),"")</f>
        <v/>
      </c>
      <c r="AC413">
        <f>IFERROR(VLOOKUP(Q413&amp;"",對照表!$A:$B,2,FALSE),"")</f>
        <v/>
      </c>
    </row>
    <row r="414">
      <c r="A414" s="3" t="inlineStr">
        <is>
          <t>SF5116616189244</t>
        </is>
      </c>
      <c r="B414" s="3" t="n">
        <v>58424825741599</v>
      </c>
      <c r="C414" s="3" t="inlineStr">
        <is>
          <t>已簽收</t>
        </is>
      </c>
      <c r="D414" s="3" t="inlineStr">
        <is>
          <t>2026-07-03 11:09:55</t>
        </is>
      </c>
      <c r="E414" s="3" t="inlineStr">
        <is>
          <t>2026-07-04 09:29</t>
        </is>
      </c>
      <c r="F414" s="3" t="n">
        <v>45</v>
      </c>
      <c r="G414" s="3" t="n">
        <v>3</v>
      </c>
      <c r="H414" s="3" t="n"/>
      <c r="I414" s="3" t="inlineStr"/>
      <c r="J414" s="3" t="inlineStr">
        <is>
          <t>Keeta</t>
        </is>
      </c>
      <c r="K414" s="3" t="inlineStr">
        <is>
          <t>****9568</t>
        </is>
      </c>
      <c r="L414" s="3" t="n"/>
      <c r="M414" s="3" t="inlineStr">
        <is>
          <t>***** 物流中心5樓</t>
        </is>
      </c>
      <c r="N414" s="3" t="inlineStr">
        <is>
          <t>北区</t>
        </is>
      </c>
      <c r="O414" s="3" t="inlineStr">
        <is>
          <t>香港</t>
        </is>
      </c>
      <c r="P414" s="3" t="inlineStr">
        <is>
          <t>香港特别行政区</t>
        </is>
      </c>
      <c r="Q414" s="3" t="n">
        <v>488483</v>
      </c>
      <c r="R414" s="3" t="inlineStr">
        <is>
          <t>十二味(冒菜麻辣燙下午茶粉麵小吃)</t>
        </is>
      </c>
      <c r="S414" s="3" t="inlineStr">
        <is>
          <t>****65023560</t>
        </is>
      </c>
      <c r="T414" s="3" t="inlineStr">
        <is>
          <t>****65023560</t>
        </is>
      </c>
      <c r="U414" s="3" t="inlineStr">
        <is>
          <t>***** 幸福大廈5樓</t>
        </is>
      </c>
      <c r="V414" s="3" t="inlineStr">
        <is>
          <t>香港</t>
        </is>
      </c>
      <c r="W414" s="3" t="inlineStr">
        <is>
          <t>纸袋【通版】/ 箱出</t>
        </is>
      </c>
      <c r="X414" s="3" t="inlineStr">
        <is>
          <t>ESS-SFTS-OTMS</t>
        </is>
      </c>
      <c r="Y414" s="3" t="n"/>
      <c r="Z414" s="3" t="inlineStr"/>
      <c r="AA414" s="3" t="inlineStr">
        <is>
          <t>寄付月結</t>
        </is>
      </c>
      <c r="AB414">
        <f>IFERROR(VLOOKUP(Q414&amp;"",對照表!$A:$B,1,FALSE),"")</f>
        <v/>
      </c>
      <c r="AC414">
        <f>IFERROR(VLOOKUP(Q414&amp;"",對照表!$A:$B,2,FALSE),"")</f>
        <v/>
      </c>
    </row>
    <row r="415">
      <c r="A415" s="3" t="inlineStr">
        <is>
          <t>SF5116616188779</t>
        </is>
      </c>
      <c r="B415" s="3" t="n">
        <v>58424825741501</v>
      </c>
      <c r="C415" s="3" t="inlineStr">
        <is>
          <t>已簽收</t>
        </is>
      </c>
      <c r="D415" s="3" t="inlineStr">
        <is>
          <t>2026-07-03 15:18:09</t>
        </is>
      </c>
      <c r="E415" s="3" t="inlineStr">
        <is>
          <t>2026-07-04 12:16</t>
        </is>
      </c>
      <c r="F415" s="3" t="n">
        <v>13</v>
      </c>
      <c r="G415" s="3" t="n">
        <v>2</v>
      </c>
      <c r="H415" s="3" t="n"/>
      <c r="I415" s="3" t="inlineStr"/>
      <c r="J415" s="3" t="inlineStr">
        <is>
          <t>Keeta</t>
        </is>
      </c>
      <c r="K415" s="3" t="inlineStr">
        <is>
          <t>****9568</t>
        </is>
      </c>
      <c r="L415" s="3" t="n"/>
      <c r="M415" s="3" t="inlineStr">
        <is>
          <t>***** 物流中心5樓</t>
        </is>
      </c>
      <c r="N415" s="3" t="inlineStr">
        <is>
          <t>北区</t>
        </is>
      </c>
      <c r="O415" s="3" t="inlineStr">
        <is>
          <t>香港</t>
        </is>
      </c>
      <c r="P415" s="3" t="inlineStr">
        <is>
          <t>香港特别行政区</t>
        </is>
      </c>
      <c r="Q415" s="3" t="n">
        <v>584807</v>
      </c>
      <c r="R415" s="3" t="inlineStr">
        <is>
          <t>川味美食(佐敦)必食秘制紅薯粉</t>
        </is>
      </c>
      <c r="S415" s="3" t="inlineStr">
        <is>
          <t>****21520793</t>
        </is>
      </c>
      <c r="T415" s="3" t="inlineStr">
        <is>
          <t>****21520793</t>
        </is>
      </c>
      <c r="U415" s="3" t="inlineStr">
        <is>
          <t>***** 街56號地舖</t>
        </is>
      </c>
      <c r="V415" s="3" t="inlineStr">
        <is>
          <t>香港</t>
        </is>
      </c>
      <c r="W415" s="3" t="inlineStr">
        <is>
          <t>塑料袋【大】/ 扎出</t>
        </is>
      </c>
      <c r="X415" s="3" t="inlineStr">
        <is>
          <t>ESS-SFTS-OTMS</t>
        </is>
      </c>
      <c r="Y415" s="3" t="n"/>
      <c r="Z415" s="3" t="inlineStr"/>
      <c r="AA415" s="3" t="inlineStr">
        <is>
          <t>寄付月結</t>
        </is>
      </c>
      <c r="AB415">
        <f>IFERROR(VLOOKUP(Q415&amp;"",對照表!$A:$B,1,FALSE),"")</f>
        <v/>
      </c>
      <c r="AC415">
        <f>IFERROR(VLOOKUP(Q415&amp;"",對照表!$A:$B,2,FALSE),"")</f>
        <v/>
      </c>
    </row>
    <row r="416">
      <c r="A416" s="3" t="inlineStr">
        <is>
          <t>SF5116616189192</t>
        </is>
      </c>
      <c r="B416" s="3" t="n">
        <v>58424825741589</v>
      </c>
      <c r="C416" s="3" t="inlineStr">
        <is>
          <t>已簽收</t>
        </is>
      </c>
      <c r="D416" s="3" t="inlineStr">
        <is>
          <t>2026-07-03 11:51:59</t>
        </is>
      </c>
      <c r="E416" s="3" t="inlineStr">
        <is>
          <t>2026-07-04 13:01</t>
        </is>
      </c>
      <c r="F416" s="3" t="n">
        <v>10.1</v>
      </c>
      <c r="G416" s="3" t="n">
        <v>1</v>
      </c>
      <c r="H416" s="3" t="n"/>
      <c r="I416" s="3" t="inlineStr"/>
      <c r="J416" s="3" t="inlineStr">
        <is>
          <t>Keeta</t>
        </is>
      </c>
      <c r="K416" s="3" t="inlineStr">
        <is>
          <t>****9568</t>
        </is>
      </c>
      <c r="L416" s="3" t="n"/>
      <c r="M416" s="3" t="inlineStr">
        <is>
          <t>***** 物流中心5樓</t>
        </is>
      </c>
      <c r="N416" s="3" t="inlineStr">
        <is>
          <t>北区</t>
        </is>
      </c>
      <c r="O416" s="3" t="inlineStr">
        <is>
          <t>香港</t>
        </is>
      </c>
      <c r="P416" s="3" t="inlineStr">
        <is>
          <t>香港特别行政区</t>
        </is>
      </c>
      <c r="Q416" s="3" t="n">
        <v>573232</v>
      </c>
      <c r="R416" s="3" t="inlineStr">
        <is>
          <t>大少燒味茶餐廳(新康街)</t>
        </is>
      </c>
      <c r="S416" s="3" t="inlineStr">
        <is>
          <t>****24131288</t>
        </is>
      </c>
      <c r="T416" s="3" t="inlineStr">
        <is>
          <t>****24131288</t>
        </is>
      </c>
      <c r="U416" s="3" t="inlineStr">
        <is>
          <t>***** 街74號地舖</t>
        </is>
      </c>
      <c r="V416" s="3" t="inlineStr">
        <is>
          <t>香港</t>
        </is>
      </c>
      <c r="W416" s="3" t="inlineStr">
        <is>
          <t>无纺布【规格三中号】/ 箱出</t>
        </is>
      </c>
      <c r="X416" s="3" t="inlineStr">
        <is>
          <t>ESS-SFTS-OTMS</t>
        </is>
      </c>
      <c r="Y416" s="3" t="n"/>
      <c r="Z416" s="3" t="inlineStr"/>
      <c r="AA416" s="3" t="inlineStr">
        <is>
          <t>寄付月結</t>
        </is>
      </c>
      <c r="AB416">
        <f>IFERROR(VLOOKUP(Q416&amp;"",對照表!$A:$B,1,FALSE),"")</f>
        <v/>
      </c>
      <c r="AC416">
        <f>IFERROR(VLOOKUP(Q416&amp;"",對照表!$A:$B,2,FALSE),"")</f>
        <v/>
      </c>
    </row>
    <row r="417">
      <c r="A417" s="3" t="inlineStr">
        <is>
          <t>SF5116616188991</t>
        </is>
      </c>
      <c r="B417" s="3" t="n">
        <v>58424825741546</v>
      </c>
      <c r="C417" s="3" t="inlineStr">
        <is>
          <t>已簽收</t>
        </is>
      </c>
      <c r="D417" s="3" t="inlineStr">
        <is>
          <t>2026-07-03 10:31:18</t>
        </is>
      </c>
      <c r="E417" s="3" t="inlineStr">
        <is>
          <t>2026-07-04 15:11</t>
        </is>
      </c>
      <c r="F417" s="3" t="n">
        <v>11.6</v>
      </c>
      <c r="G417" s="3" t="n">
        <v>1</v>
      </c>
      <c r="H417" s="3" t="n"/>
      <c r="I417" s="3" t="inlineStr"/>
      <c r="J417" s="3" t="inlineStr">
        <is>
          <t>Keeta</t>
        </is>
      </c>
      <c r="K417" s="3" t="inlineStr">
        <is>
          <t>****9568</t>
        </is>
      </c>
      <c r="L417" s="3" t="n"/>
      <c r="M417" s="3" t="inlineStr">
        <is>
          <t>***** 物流中心5樓</t>
        </is>
      </c>
      <c r="N417" s="3" t="inlineStr">
        <is>
          <t>北区</t>
        </is>
      </c>
      <c r="O417" s="3" t="inlineStr">
        <is>
          <t>香港</t>
        </is>
      </c>
      <c r="P417" s="3" t="inlineStr">
        <is>
          <t>香港特别行政区</t>
        </is>
      </c>
      <c r="Q417" s="3" t="n">
        <v>478699</v>
      </c>
      <c r="R417" s="3" t="inlineStr">
        <is>
          <t>溢進茶餐廳SunRiseRestaurant</t>
        </is>
      </c>
      <c r="S417" s="3" t="inlineStr">
        <is>
          <t>****26577770</t>
        </is>
      </c>
      <c r="T417" s="3" t="inlineStr">
        <is>
          <t>****26577770</t>
        </is>
      </c>
      <c r="U417" s="3" t="inlineStr">
        <is>
          <t>***** 仁街5號地舖</t>
        </is>
      </c>
      <c r="V417" s="3" t="inlineStr">
        <is>
          <t>香港</t>
        </is>
      </c>
      <c r="W417" s="3" t="inlineStr">
        <is>
          <t>无纺布【规格四大号】/ 箱出</t>
        </is>
      </c>
      <c r="X417" s="3" t="inlineStr">
        <is>
          <t>ESS-SFTS-OTMS</t>
        </is>
      </c>
      <c r="Y417" s="3" t="n"/>
      <c r="Z417" s="3" t="inlineStr"/>
      <c r="AA417" s="3" t="inlineStr">
        <is>
          <t>寄付月結</t>
        </is>
      </c>
      <c r="AB417">
        <f>IFERROR(VLOOKUP(Q417&amp;"",對照表!$A:$B,1,FALSE),"")</f>
        <v/>
      </c>
      <c r="AC417">
        <f>IFERROR(VLOOKUP(Q417&amp;"",對照表!$A:$B,2,FALSE),"")</f>
        <v/>
      </c>
    </row>
    <row r="418">
      <c r="A418" s="3" t="inlineStr">
        <is>
          <t>SF5116616188894</t>
        </is>
      </c>
      <c r="B418" s="3" t="n">
        <v>58424825741525</v>
      </c>
      <c r="C418" s="3" t="inlineStr">
        <is>
          <t>已簽收</t>
        </is>
      </c>
      <c r="D418" s="3" t="inlineStr">
        <is>
          <t>2026-07-03 11:10:26</t>
        </is>
      </c>
      <c r="E418" s="3" t="inlineStr">
        <is>
          <t>2026-07-04 14:30</t>
        </is>
      </c>
      <c r="F418" s="3" t="n">
        <v>30</v>
      </c>
      <c r="G418" s="3" t="n">
        <v>2</v>
      </c>
      <c r="H418" s="3" t="n"/>
      <c r="I418" s="3" t="inlineStr"/>
      <c r="J418" s="3" t="inlineStr">
        <is>
          <t>Keeta</t>
        </is>
      </c>
      <c r="K418" s="3" t="inlineStr">
        <is>
          <t>****9568</t>
        </is>
      </c>
      <c r="L418" s="3" t="n"/>
      <c r="M418" s="3" t="inlineStr">
        <is>
          <t>***** 物流中心5樓</t>
        </is>
      </c>
      <c r="N418" s="3" t="inlineStr">
        <is>
          <t>北区</t>
        </is>
      </c>
      <c r="O418" s="3" t="inlineStr">
        <is>
          <t>香港</t>
        </is>
      </c>
      <c r="P418" s="3" t="inlineStr">
        <is>
          <t>香港特别行政区</t>
        </is>
      </c>
      <c r="Q418" s="3" t="n">
        <v>463043</v>
      </c>
      <c r="R418" s="3" t="inlineStr">
        <is>
          <t>SOCoffeeGin（超高質咖啡飲品）</t>
        </is>
      </c>
      <c r="S418" s="3" t="inlineStr">
        <is>
          <t>****55955756</t>
        </is>
      </c>
      <c r="T418" s="3" t="inlineStr">
        <is>
          <t>****55955756</t>
        </is>
      </c>
      <c r="U418" s="3" t="inlineStr">
        <is>
          <t>***** 221號地舖</t>
        </is>
      </c>
      <c r="V418" s="3" t="inlineStr">
        <is>
          <t>香港</t>
        </is>
      </c>
      <c r="W418" s="3" t="inlineStr">
        <is>
          <t>纸袋【通版】/ 箱出</t>
        </is>
      </c>
      <c r="X418" s="3" t="inlineStr">
        <is>
          <t>ESS-SFTS-OTMS</t>
        </is>
      </c>
      <c r="Y418" s="3" t="n"/>
      <c r="Z418" s="3" t="inlineStr"/>
      <c r="AA418" s="3" t="inlineStr">
        <is>
          <t>寄付月結</t>
        </is>
      </c>
      <c r="AB418">
        <f>IFERROR(VLOOKUP(Q418&amp;"",對照表!$A:$B,1,FALSE),"")</f>
        <v/>
      </c>
      <c r="AC418">
        <f>IFERROR(VLOOKUP(Q418&amp;"",對照表!$A:$B,2,FALSE),"")</f>
        <v/>
      </c>
    </row>
    <row r="419">
      <c r="A419" s="3" t="inlineStr">
        <is>
          <t>SF5116616189095</t>
        </is>
      </c>
      <c r="B419" s="3" t="n">
        <v>58424825741566</v>
      </c>
      <c r="C419" s="3" t="inlineStr">
        <is>
          <t>已簽收</t>
        </is>
      </c>
      <c r="D419" s="3" t="inlineStr">
        <is>
          <t>2026-07-03 10:52:15</t>
        </is>
      </c>
      <c r="E419" s="3" t="inlineStr">
        <is>
          <t>2026-07-04 12:34</t>
        </is>
      </c>
      <c r="F419" s="3" t="n">
        <v>4.81</v>
      </c>
      <c r="G419" s="3" t="n">
        <v>1</v>
      </c>
      <c r="H419" s="3" t="n"/>
      <c r="I419" s="3" t="inlineStr"/>
      <c r="J419" s="3" t="inlineStr">
        <is>
          <t>Keeta</t>
        </is>
      </c>
      <c r="K419" s="3" t="inlineStr">
        <is>
          <t>****9568</t>
        </is>
      </c>
      <c r="L419" s="3" t="n"/>
      <c r="M419" s="3" t="inlineStr">
        <is>
          <t>***** 物流中心5樓</t>
        </is>
      </c>
      <c r="N419" s="3" t="inlineStr">
        <is>
          <t>北区</t>
        </is>
      </c>
      <c r="O419" s="3" t="inlineStr">
        <is>
          <t>香港</t>
        </is>
      </c>
      <c r="P419" s="3" t="inlineStr">
        <is>
          <t>香港特别行政区</t>
        </is>
      </c>
      <c r="Q419" s="3" t="n">
        <v>721425366</v>
      </c>
      <c r="R419" s="3" t="inlineStr">
        <is>
          <t>川流百味(彩明)祖傳炸醬麵酸辣川味鹹香過癮</t>
        </is>
      </c>
      <c r="S419" s="3" t="inlineStr">
        <is>
          <t>****66197880</t>
        </is>
      </c>
      <c r="T419" s="3" t="inlineStr">
        <is>
          <t>****66197880</t>
        </is>
      </c>
      <c r="U419" s="3" t="inlineStr">
        <is>
          <t>***** CM64號鋪</t>
        </is>
      </c>
      <c r="V419" s="3" t="inlineStr">
        <is>
          <t>香港</t>
        </is>
      </c>
      <c r="W419" s="3" t="inlineStr">
        <is>
          <t>塑料袋【大】/ 扎出</t>
        </is>
      </c>
      <c r="X419" s="3" t="inlineStr">
        <is>
          <t>ESS-SFTS-OTMS</t>
        </is>
      </c>
      <c r="Y419" s="3" t="n"/>
      <c r="Z419" s="3" t="inlineStr"/>
      <c r="AA419" s="3" t="inlineStr">
        <is>
          <t>寄付月結</t>
        </is>
      </c>
      <c r="AB419">
        <f>IFERROR(VLOOKUP(Q419&amp;"",對照表!$A:$B,1,FALSE),"")</f>
        <v/>
      </c>
      <c r="AC419">
        <f>IFERROR(VLOOKUP(Q419&amp;"",對照表!$A:$B,2,FALSE),"")</f>
        <v/>
      </c>
    </row>
    <row r="420">
      <c r="A420" s="3" t="inlineStr">
        <is>
          <t>SF5116616189013</t>
        </is>
      </c>
      <c r="B420" s="3" t="n">
        <v>58424825741550</v>
      </c>
      <c r="C420" s="3" t="inlineStr">
        <is>
          <t>已簽收</t>
        </is>
      </c>
      <c r="D420" s="3" t="inlineStr">
        <is>
          <t>2026-07-03 10:26:11</t>
        </is>
      </c>
      <c r="E420" s="3" t="inlineStr">
        <is>
          <t>2026-07-04 13:08</t>
        </is>
      </c>
      <c r="F420" s="3" t="n">
        <v>1</v>
      </c>
      <c r="G420" s="3" t="n">
        <v>1</v>
      </c>
      <c r="H420" s="3" t="n"/>
      <c r="I420" s="3" t="inlineStr"/>
      <c r="J420" s="3" t="inlineStr">
        <is>
          <t>Keeta</t>
        </is>
      </c>
      <c r="K420" s="3" t="inlineStr">
        <is>
          <t>****9568</t>
        </is>
      </c>
      <c r="L420" s="3" t="n"/>
      <c r="M420" s="3" t="inlineStr">
        <is>
          <t>***** 物流中心5樓</t>
        </is>
      </c>
      <c r="N420" s="3" t="inlineStr">
        <is>
          <t>北区</t>
        </is>
      </c>
      <c r="O420" s="3" t="inlineStr">
        <is>
          <t>香港</t>
        </is>
      </c>
      <c r="P420" s="3" t="inlineStr">
        <is>
          <t>香港特别行政区</t>
        </is>
      </c>
      <c r="Q420" s="3" t="n">
        <v>474026</v>
      </c>
      <c r="R420" s="3" t="inlineStr">
        <is>
          <t>聚興樓(鳳德)粵式秘製手撕雞</t>
        </is>
      </c>
      <c r="S420" s="3" t="inlineStr">
        <is>
          <t>****26171998</t>
        </is>
      </c>
      <c r="T420" s="3" t="inlineStr">
        <is>
          <t>****26171998</t>
        </is>
      </c>
      <c r="U420" s="3" t="inlineStr">
        <is>
          <t>***** 樓225號舖</t>
        </is>
      </c>
      <c r="V420" s="3" t="inlineStr">
        <is>
          <t>香港</t>
        </is>
      </c>
      <c r="W420" s="3" t="inlineStr">
        <is>
          <t>塑料袋【大】/ 扎出</t>
        </is>
      </c>
      <c r="X420" s="3" t="inlineStr">
        <is>
          <t>ESS-SFTS-OTMS</t>
        </is>
      </c>
      <c r="Y420" s="3" t="n"/>
      <c r="Z420" s="3" t="inlineStr"/>
      <c r="AA420" s="3" t="inlineStr">
        <is>
          <t>寄付月結</t>
        </is>
      </c>
      <c r="AB420">
        <f>IFERROR(VLOOKUP(Q420&amp;"",對照表!$A:$B,1,FALSE),"")</f>
        <v/>
      </c>
      <c r="AC420">
        <f>IFERROR(VLOOKUP(Q420&amp;"",對照表!$A:$B,2,FALSE),"")</f>
        <v/>
      </c>
    </row>
    <row r="421">
      <c r="A421" s="3" t="inlineStr">
        <is>
          <t>SF5116616189271</t>
        </is>
      </c>
      <c r="B421" s="3" t="n">
        <v>58424825741605</v>
      </c>
      <c r="C421" s="3" t="inlineStr">
        <is>
          <t>已簽收</t>
        </is>
      </c>
      <c r="D421" s="3" t="inlineStr">
        <is>
          <t>2026-07-03 10:30:48</t>
        </is>
      </c>
      <c r="E421" s="3" t="inlineStr">
        <is>
          <t>2026-07-04 15:30</t>
        </is>
      </c>
      <c r="F421" s="3" t="n">
        <v>11.6</v>
      </c>
      <c r="G421" s="3" t="n">
        <v>1</v>
      </c>
      <c r="H421" s="3" t="n"/>
      <c r="I421" s="3" t="inlineStr"/>
      <c r="J421" s="3" t="inlineStr">
        <is>
          <t>Keeta</t>
        </is>
      </c>
      <c r="K421" s="3" t="inlineStr">
        <is>
          <t>****9568</t>
        </is>
      </c>
      <c r="L421" s="3" t="n"/>
      <c r="M421" s="3" t="inlineStr">
        <is>
          <t>***** 物流中心5樓</t>
        </is>
      </c>
      <c r="N421" s="3" t="inlineStr">
        <is>
          <t>北区</t>
        </is>
      </c>
      <c r="O421" s="3" t="inlineStr">
        <is>
          <t>香港</t>
        </is>
      </c>
      <c r="P421" s="3" t="inlineStr">
        <is>
          <t>香港特别行政区</t>
        </is>
      </c>
      <c r="Q421" s="3" t="n">
        <v>475276</v>
      </c>
      <c r="R421" s="3" t="inlineStr">
        <is>
          <t>甜館SweetAvenue</t>
        </is>
      </c>
      <c r="S421" s="3" t="inlineStr">
        <is>
          <t>****26330893</t>
        </is>
      </c>
      <c r="T421" s="3" t="inlineStr">
        <is>
          <t>****26330893</t>
        </is>
      </c>
      <c r="U421" s="3" t="inlineStr">
        <is>
          <t>***** 地下25號舖</t>
        </is>
      </c>
      <c r="V421" s="3" t="inlineStr">
        <is>
          <t>香港</t>
        </is>
      </c>
      <c r="W421" s="3" t="inlineStr">
        <is>
          <t>无纺布【规格四大号】/ 箱出</t>
        </is>
      </c>
      <c r="X421" s="3" t="inlineStr">
        <is>
          <t>ESS-SFTS-OTMS</t>
        </is>
      </c>
      <c r="Y421" s="3" t="n"/>
      <c r="Z421" s="3" t="inlineStr"/>
      <c r="AA421" s="3" t="inlineStr">
        <is>
          <t>寄付月結</t>
        </is>
      </c>
      <c r="AB421">
        <f>IFERROR(VLOOKUP(Q421&amp;"",對照表!$A:$B,1,FALSE),"")</f>
        <v/>
      </c>
      <c r="AC421">
        <f>IFERROR(VLOOKUP(Q421&amp;"",對照表!$A:$B,2,FALSE),"")</f>
        <v/>
      </c>
    </row>
    <row r="422">
      <c r="A422" s="3" t="inlineStr">
        <is>
          <t>SF5116616189110</t>
        </is>
      </c>
      <c r="B422" s="3" t="n">
        <v>58424825741571</v>
      </c>
      <c r="C422" s="3" t="inlineStr">
        <is>
          <t>已簽收</t>
        </is>
      </c>
      <c r="D422" s="3" t="inlineStr">
        <is>
          <t>2026-07-03 12:20:09</t>
        </is>
      </c>
      <c r="E422" s="3" t="inlineStr">
        <is>
          <t>2026-07-04 12:58</t>
        </is>
      </c>
      <c r="F422" s="3" t="n">
        <v>46.4</v>
      </c>
      <c r="G422" s="3" t="n">
        <v>4</v>
      </c>
      <c r="H422" s="3" t="n"/>
      <c r="I422" s="3" t="inlineStr"/>
      <c r="J422" s="3" t="inlineStr">
        <is>
          <t>Keeta</t>
        </is>
      </c>
      <c r="K422" s="3" t="inlineStr">
        <is>
          <t>****9568</t>
        </is>
      </c>
      <c r="L422" s="3" t="n"/>
      <c r="M422" s="3" t="inlineStr">
        <is>
          <t>***** 物流中心5樓</t>
        </is>
      </c>
      <c r="N422" s="3" t="inlineStr">
        <is>
          <t>北区</t>
        </is>
      </c>
      <c r="O422" s="3" t="inlineStr">
        <is>
          <t>香港</t>
        </is>
      </c>
      <c r="P422" s="3" t="inlineStr">
        <is>
          <t>香港特别行政区</t>
        </is>
      </c>
      <c r="Q422" s="3" t="n">
        <v>721449324</v>
      </c>
      <c r="R422" s="3" t="inlineStr">
        <is>
          <t>串燒兄妹（黃埔）</t>
        </is>
      </c>
      <c r="S422" s="3" t="inlineStr">
        <is>
          <t>****64189275</t>
        </is>
      </c>
      <c r="T422" s="3" t="inlineStr">
        <is>
          <t>****64189275</t>
        </is>
      </c>
      <c r="U422" s="3" t="inlineStr">
        <is>
          <t>***** 樓地下B2舖</t>
        </is>
      </c>
      <c r="V422" s="3" t="inlineStr">
        <is>
          <t>香港</t>
        </is>
      </c>
      <c r="W422" s="3" t="inlineStr">
        <is>
          <t>无纺布【规格四大号】/ 箱出</t>
        </is>
      </c>
      <c r="X422" s="3" t="inlineStr">
        <is>
          <t>ESS-SFTS-OTMS</t>
        </is>
      </c>
      <c r="Y422" s="3" t="n"/>
      <c r="Z422" s="3" t="inlineStr"/>
      <c r="AA422" s="3" t="inlineStr">
        <is>
          <t>寄付月結</t>
        </is>
      </c>
      <c r="AB422">
        <f>IFERROR(VLOOKUP(Q422&amp;"",對照表!$A:$B,1,FALSE),"")</f>
        <v/>
      </c>
      <c r="AC422">
        <f>IFERROR(VLOOKUP(Q422&amp;"",對照表!$A:$B,2,FALSE),"")</f>
        <v/>
      </c>
    </row>
    <row r="423">
      <c r="A423" s="3" t="inlineStr">
        <is>
          <t>SF5116616189299</t>
        </is>
      </c>
      <c r="B423" s="3" t="n">
        <v>58424825741611</v>
      </c>
      <c r="C423" s="3" t="inlineStr">
        <is>
          <t>已簽收</t>
        </is>
      </c>
      <c r="D423" s="3" t="inlineStr">
        <is>
          <t>2026-07-03 12:20:13</t>
        </is>
      </c>
      <c r="E423" s="3" t="inlineStr">
        <is>
          <t>2026-07-04 14:45</t>
        </is>
      </c>
      <c r="F423" s="3" t="n">
        <v>46.4</v>
      </c>
      <c r="G423" s="3" t="n">
        <v>4</v>
      </c>
      <c r="H423" s="3" t="n"/>
      <c r="I423" s="3" t="inlineStr"/>
      <c r="J423" s="3" t="inlineStr">
        <is>
          <t>Keeta</t>
        </is>
      </c>
      <c r="K423" s="3" t="inlineStr">
        <is>
          <t>****9568</t>
        </is>
      </c>
      <c r="L423" s="3" t="n"/>
      <c r="M423" s="3" t="inlineStr">
        <is>
          <t>***** 物流中心5樓</t>
        </is>
      </c>
      <c r="N423" s="3" t="inlineStr">
        <is>
          <t>北区</t>
        </is>
      </c>
      <c r="O423" s="3" t="inlineStr">
        <is>
          <t>香港</t>
        </is>
      </c>
      <c r="P423" s="3" t="inlineStr">
        <is>
          <t>香港特别行政区</t>
        </is>
      </c>
      <c r="Q423" s="3" t="n">
        <v>467626</v>
      </c>
      <c r="R423" s="3" t="inlineStr">
        <is>
          <t>串燒兄妹(佐敦)</t>
        </is>
      </c>
      <c r="S423" s="3" t="inlineStr">
        <is>
          <t>****64189275</t>
        </is>
      </c>
      <c r="T423" s="3" t="inlineStr">
        <is>
          <t>****64189275</t>
        </is>
      </c>
      <c r="U423" s="3" t="inlineStr">
        <is>
          <t>***** 號文英樓地下</t>
        </is>
      </c>
      <c r="V423" s="3" t="inlineStr">
        <is>
          <t>香港</t>
        </is>
      </c>
      <c r="W423" s="3" t="inlineStr">
        <is>
          <t>无纺布【规格四大号】/ 箱出</t>
        </is>
      </c>
      <c r="X423" s="3" t="inlineStr">
        <is>
          <t>ESS-SFTS-OTMS</t>
        </is>
      </c>
      <c r="Y423" s="3" t="n"/>
      <c r="Z423" s="3" t="inlineStr"/>
      <c r="AA423" s="3" t="inlineStr">
        <is>
          <t>寄付月結</t>
        </is>
      </c>
      <c r="AB423">
        <f>IFERROR(VLOOKUP(Q423&amp;"",對照表!$A:$B,1,FALSE),"")</f>
        <v/>
      </c>
      <c r="AC423">
        <f>IFERROR(VLOOKUP(Q423&amp;"",對照表!$A:$B,2,FALSE),"")</f>
        <v/>
      </c>
    </row>
    <row r="424">
      <c r="A424" s="3" t="inlineStr">
        <is>
          <t>SF5116616189208</t>
        </is>
      </c>
      <c r="B424" s="3" t="n">
        <v>58424825741590</v>
      </c>
      <c r="C424" s="3" t="inlineStr">
        <is>
          <t>派送中</t>
        </is>
      </c>
      <c r="D424" s="3" t="inlineStr">
        <is>
          <t>2026-07-03 17:08:11</t>
        </is>
      </c>
      <c r="E424" s="3" t="n"/>
      <c r="F424" s="3" t="n">
        <v>19.8</v>
      </c>
      <c r="G424" s="3" t="n">
        <v>2</v>
      </c>
      <c r="H424" s="3" t="n"/>
      <c r="I424" s="3" t="inlineStr"/>
      <c r="J424" s="3" t="inlineStr">
        <is>
          <t>Keeta</t>
        </is>
      </c>
      <c r="K424" s="3" t="inlineStr">
        <is>
          <t>****9568</t>
        </is>
      </c>
      <c r="L424" s="3" t="n"/>
      <c r="M424" s="3" t="inlineStr">
        <is>
          <t>***** 物流中心5樓</t>
        </is>
      </c>
      <c r="N424" s="3" t="inlineStr">
        <is>
          <t>北区</t>
        </is>
      </c>
      <c r="O424" s="3" t="inlineStr">
        <is>
          <t>香港</t>
        </is>
      </c>
      <c r="P424" s="3" t="inlineStr">
        <is>
          <t>香港特别行政区</t>
        </is>
      </c>
      <c r="Q424" s="3" t="n">
        <v>458529</v>
      </c>
      <c r="R424" s="3" t="inlineStr">
        <is>
          <t>茶點輕食</t>
        </is>
      </c>
      <c r="S424" s="3" t="inlineStr">
        <is>
          <t>****91353228</t>
        </is>
      </c>
      <c r="T424" s="3" t="inlineStr">
        <is>
          <t>****91353228</t>
        </is>
      </c>
      <c r="U424" s="3" t="inlineStr">
        <is>
          <t>***** G07B號舖</t>
        </is>
      </c>
      <c r="V424" s="3" t="inlineStr">
        <is>
          <t>香港</t>
        </is>
      </c>
      <c r="W424" s="3" t="inlineStr">
        <is>
          <t>无纺布【规格三中号】/ 箱出</t>
        </is>
      </c>
      <c r="X424" s="3" t="inlineStr">
        <is>
          <t>ESS-SFTS-OTMS</t>
        </is>
      </c>
      <c r="Y424" s="3" t="n"/>
      <c r="Z424" s="3" t="inlineStr"/>
      <c r="AA424" s="3" t="inlineStr">
        <is>
          <t>寄付月結</t>
        </is>
      </c>
      <c r="AB424">
        <f>IFERROR(VLOOKUP(Q424&amp;"",對照表!$A:$B,1,FALSE),"")</f>
        <v/>
      </c>
      <c r="AC424">
        <f>IFERROR(VLOOKUP(Q424&amp;"",對照表!$A:$B,2,FALSE),"")</f>
        <v/>
      </c>
    </row>
    <row r="425">
      <c r="A425" s="3" t="inlineStr">
        <is>
          <t>SF5116616189332</t>
        </is>
      </c>
      <c r="B425" s="3" t="n">
        <v>58424825741618</v>
      </c>
      <c r="C425" s="3" t="inlineStr">
        <is>
          <t>已簽收</t>
        </is>
      </c>
      <c r="D425" s="3" t="inlineStr">
        <is>
          <t>2026-07-03 13:45:06</t>
        </is>
      </c>
      <c r="E425" s="3" t="inlineStr">
        <is>
          <t>2026-07-04 10:17</t>
        </is>
      </c>
      <c r="F425" s="3" t="n">
        <v>23.2</v>
      </c>
      <c r="G425" s="3" t="n">
        <v>2</v>
      </c>
      <c r="H425" s="3" t="n"/>
      <c r="I425" s="3" t="inlineStr"/>
      <c r="J425" s="3" t="inlineStr">
        <is>
          <t>Keeta</t>
        </is>
      </c>
      <c r="K425" s="3" t="inlineStr">
        <is>
          <t>****9568</t>
        </is>
      </c>
      <c r="L425" s="3" t="n"/>
      <c r="M425" s="3" t="inlineStr">
        <is>
          <t>***** 物流中心5樓</t>
        </is>
      </c>
      <c r="N425" s="3" t="inlineStr">
        <is>
          <t>北区</t>
        </is>
      </c>
      <c r="O425" s="3" t="inlineStr">
        <is>
          <t>香港</t>
        </is>
      </c>
      <c r="P425" s="3" t="inlineStr">
        <is>
          <t>香港特别行政区</t>
        </is>
      </c>
      <c r="Q425" s="3" t="n">
        <v>721516363</v>
      </c>
      <c r="R425" s="3" t="inlineStr">
        <is>
          <t>大門炸雞真正韓廚主理香港連鎖品牌（將軍澳）</t>
        </is>
      </c>
      <c r="S425" s="3" t="inlineStr">
        <is>
          <t>****54695438</t>
        </is>
      </c>
      <c r="T425" s="3" t="inlineStr">
        <is>
          <t>****54695438</t>
        </is>
      </c>
      <c r="U425" s="3" t="inlineStr">
        <is>
          <t>***** 下325號鋪</t>
        </is>
      </c>
      <c r="V425" s="3" t="inlineStr">
        <is>
          <t>香港</t>
        </is>
      </c>
      <c r="W425" s="3" t="inlineStr">
        <is>
          <t>无纺布【规格四大号】/ 箱出</t>
        </is>
      </c>
      <c r="X425" s="3" t="inlineStr">
        <is>
          <t>ESS-SFTS-OTMS</t>
        </is>
      </c>
      <c r="Y425" s="3" t="n"/>
      <c r="Z425" s="3" t="inlineStr"/>
      <c r="AA425" s="3" t="inlineStr">
        <is>
          <t>寄付月結</t>
        </is>
      </c>
      <c r="AB425">
        <f>IFERROR(VLOOKUP(Q425&amp;"",對照表!$A:$B,1,FALSE),"")</f>
        <v/>
      </c>
      <c r="AC425">
        <f>IFERROR(VLOOKUP(Q425&amp;"",對照表!$A:$B,2,FALSE),"")</f>
        <v/>
      </c>
    </row>
    <row r="426">
      <c r="A426" s="3" t="inlineStr">
        <is>
          <t>SF5116616189253</t>
        </is>
      </c>
      <c r="B426" s="3" t="n">
        <v>58424825741600</v>
      </c>
      <c r="C426" s="3" t="inlineStr">
        <is>
          <t>已簽收</t>
        </is>
      </c>
      <c r="D426" s="3" t="inlineStr">
        <is>
          <t>2026-07-03 11:09:53</t>
        </is>
      </c>
      <c r="E426" s="3" t="inlineStr">
        <is>
          <t>2026-07-04 11:18</t>
        </is>
      </c>
      <c r="F426" s="3" t="n">
        <v>45</v>
      </c>
      <c r="G426" s="3" t="n">
        <v>3</v>
      </c>
      <c r="H426" s="3" t="n"/>
      <c r="I426" s="3" t="inlineStr"/>
      <c r="J426" s="3" t="inlineStr">
        <is>
          <t>Keeta</t>
        </is>
      </c>
      <c r="K426" s="3" t="inlineStr">
        <is>
          <t>****9568</t>
        </is>
      </c>
      <c r="L426" s="3" t="n"/>
      <c r="M426" s="3" t="inlineStr">
        <is>
          <t>***** 物流中心5樓</t>
        </is>
      </c>
      <c r="N426" s="3" t="inlineStr">
        <is>
          <t>北区</t>
        </is>
      </c>
      <c r="O426" s="3" t="inlineStr">
        <is>
          <t>香港</t>
        </is>
      </c>
      <c r="P426" s="3" t="inlineStr">
        <is>
          <t>香港特别行政区</t>
        </is>
      </c>
      <c r="Q426" s="3" t="n">
        <v>612675</v>
      </c>
      <c r="R426" s="3" t="inlineStr">
        <is>
          <t>十二味(西營盤)</t>
        </is>
      </c>
      <c r="S426" s="3" t="inlineStr">
        <is>
          <t>****54984845</t>
        </is>
      </c>
      <c r="T426" s="3" t="inlineStr">
        <is>
          <t>****54984845</t>
        </is>
      </c>
      <c r="U426" s="3" t="inlineStr">
        <is>
          <t>***** 舖及地下高層</t>
        </is>
      </c>
      <c r="V426" s="3" t="inlineStr">
        <is>
          <t>香港</t>
        </is>
      </c>
      <c r="W426" s="3" t="inlineStr">
        <is>
          <t>纸袋【通版】/ 箱出</t>
        </is>
      </c>
      <c r="X426" s="3" t="inlineStr">
        <is>
          <t>ESS-SFTS-OTMS</t>
        </is>
      </c>
      <c r="Y426" s="3" t="n"/>
      <c r="Z426" s="3" t="inlineStr"/>
      <c r="AA426" s="3" t="inlineStr">
        <is>
          <t>寄付月結</t>
        </is>
      </c>
      <c r="AB426">
        <f>IFERROR(VLOOKUP(Q426&amp;"",對照表!$A:$B,1,FALSE),"")</f>
        <v/>
      </c>
      <c r="AC426">
        <f>IFERROR(VLOOKUP(Q426&amp;"",對照表!$A:$B,2,FALSE),"")</f>
        <v/>
      </c>
    </row>
    <row r="427">
      <c r="A427" s="3" t="inlineStr">
        <is>
          <t>SF5116616188715</t>
        </is>
      </c>
      <c r="B427" s="3" t="n">
        <v>58424825741487</v>
      </c>
      <c r="C427" s="3" t="inlineStr">
        <is>
          <t>已簽收</t>
        </is>
      </c>
      <c r="D427" s="3" t="inlineStr">
        <is>
          <t>2026-07-03 12:16:17</t>
        </is>
      </c>
      <c r="E427" s="3" t="inlineStr">
        <is>
          <t>2026-07-04 15:45</t>
        </is>
      </c>
      <c r="F427" s="3" t="n">
        <v>69.59999999999999</v>
      </c>
      <c r="G427" s="3" t="n">
        <v>6</v>
      </c>
      <c r="H427" s="3" t="n"/>
      <c r="I427" s="3" t="inlineStr"/>
      <c r="J427" s="3" t="inlineStr">
        <is>
          <t>Keeta</t>
        </is>
      </c>
      <c r="K427" s="3" t="inlineStr">
        <is>
          <t>****9568</t>
        </is>
      </c>
      <c r="L427" s="3" t="n"/>
      <c r="M427" s="3" t="inlineStr">
        <is>
          <t>***** 物流中心5樓</t>
        </is>
      </c>
      <c r="N427" s="3" t="inlineStr">
        <is>
          <t>北区</t>
        </is>
      </c>
      <c r="O427" s="3" t="inlineStr">
        <is>
          <t>香港</t>
        </is>
      </c>
      <c r="P427" s="3" t="inlineStr">
        <is>
          <t>香港特别行政区</t>
        </is>
      </c>
      <c r="Q427" s="3" t="n">
        <v>721490294</v>
      </c>
      <c r="R427" s="3" t="inlineStr">
        <is>
          <t>金鼎小籠手工爆汁生煎包鍋貼129優惠加配韭菜鍋貼兩件</t>
        </is>
      </c>
      <c r="S427" s="3" t="inlineStr">
        <is>
          <t>****97926819</t>
        </is>
      </c>
      <c r="T427" s="3" t="inlineStr">
        <is>
          <t>****97926819</t>
        </is>
      </c>
      <c r="U427" s="3" t="inlineStr">
        <is>
          <t>***** 10號舖地下</t>
        </is>
      </c>
      <c r="V427" s="3" t="inlineStr">
        <is>
          <t>香港</t>
        </is>
      </c>
      <c r="W427" s="3" t="inlineStr">
        <is>
          <t>无纺布【规格四大号】/ 箱出</t>
        </is>
      </c>
      <c r="X427" s="3" t="inlineStr">
        <is>
          <t>ESS-SFTS-OTMS</t>
        </is>
      </c>
      <c r="Y427" s="3" t="n"/>
      <c r="Z427" s="3" t="inlineStr"/>
      <c r="AA427" s="3" t="inlineStr">
        <is>
          <t>寄付月結</t>
        </is>
      </c>
      <c r="AB427">
        <f>IFERROR(VLOOKUP(Q427&amp;"",對照表!$A:$B,1,FALSE),"")</f>
        <v/>
      </c>
      <c r="AC427">
        <f>IFERROR(VLOOKUP(Q427&amp;"",對照表!$A:$B,2,FALSE),"")</f>
        <v/>
      </c>
    </row>
    <row r="428">
      <c r="A428" s="3" t="inlineStr">
        <is>
          <t>SF5116616189410</t>
        </is>
      </c>
      <c r="B428" s="3" t="n">
        <v>58424825741636</v>
      </c>
      <c r="C428" s="3" t="inlineStr">
        <is>
          <t>已簽收</t>
        </is>
      </c>
      <c r="D428" s="3" t="inlineStr">
        <is>
          <t>2026-07-03 11:51:56</t>
        </is>
      </c>
      <c r="E428" s="3" t="inlineStr">
        <is>
          <t>2026-07-04 13:52</t>
        </is>
      </c>
      <c r="F428" s="3" t="n">
        <v>10.1</v>
      </c>
      <c r="G428" s="3" t="n">
        <v>1</v>
      </c>
      <c r="H428" s="3" t="n"/>
      <c r="I428" s="3" t="inlineStr"/>
      <c r="J428" s="3" t="inlineStr">
        <is>
          <t>Keeta</t>
        </is>
      </c>
      <c r="K428" s="3" t="inlineStr">
        <is>
          <t>****9568</t>
        </is>
      </c>
      <c r="L428" s="3" t="n"/>
      <c r="M428" s="3" t="inlineStr">
        <is>
          <t>***** 物流中心5樓</t>
        </is>
      </c>
      <c r="N428" s="3" t="inlineStr">
        <is>
          <t>北区</t>
        </is>
      </c>
      <c r="O428" s="3" t="inlineStr">
        <is>
          <t>香港</t>
        </is>
      </c>
      <c r="P428" s="3" t="inlineStr">
        <is>
          <t>香港特别行政区</t>
        </is>
      </c>
      <c r="Q428" s="3" t="n">
        <v>599565</v>
      </c>
      <c r="R428" s="3" t="inlineStr">
        <is>
          <t>鬼金棒(銅鑼灣)</t>
        </is>
      </c>
      <c r="S428" s="3" t="inlineStr">
        <is>
          <t>****24813383</t>
        </is>
      </c>
      <c r="T428" s="3" t="inlineStr">
        <is>
          <t>****24813383</t>
        </is>
      </c>
      <c r="U428" s="3" t="inlineStr">
        <is>
          <t>***** 530號地舖</t>
        </is>
      </c>
      <c r="V428" s="3" t="inlineStr">
        <is>
          <t>香港</t>
        </is>
      </c>
      <c r="W428" s="3" t="inlineStr">
        <is>
          <t>无纺布【规格三中号】/ 箱出</t>
        </is>
      </c>
      <c r="X428" s="3" t="inlineStr">
        <is>
          <t>ESS-SFTS-OTMS</t>
        </is>
      </c>
      <c r="Y428" s="3" t="n"/>
      <c r="Z428" s="3" t="inlineStr"/>
      <c r="AA428" s="3" t="inlineStr">
        <is>
          <t>寄付月結</t>
        </is>
      </c>
      <c r="AB428">
        <f>IFERROR(VLOOKUP(Q428&amp;"",對照表!$A:$B,1,FALSE),"")</f>
        <v/>
      </c>
      <c r="AC428">
        <f>IFERROR(VLOOKUP(Q428&amp;"",對照表!$A:$B,2,FALSE),"")</f>
        <v/>
      </c>
    </row>
    <row r="429">
      <c r="A429" s="3" t="inlineStr">
        <is>
          <t>SF5116616188742</t>
        </is>
      </c>
      <c r="B429" s="3" t="n">
        <v>58424825741497</v>
      </c>
      <c r="C429" s="3" t="inlineStr">
        <is>
          <t>已簽收</t>
        </is>
      </c>
      <c r="D429" s="3" t="inlineStr">
        <is>
          <t>2026-07-03 11:45:42</t>
        </is>
      </c>
      <c r="E429" s="3" t="inlineStr">
        <is>
          <t>2026-07-04 11:51</t>
        </is>
      </c>
      <c r="F429" s="3" t="n">
        <v>11.9</v>
      </c>
      <c r="G429" s="3" t="n">
        <v>1</v>
      </c>
      <c r="H429" s="3" t="n"/>
      <c r="I429" s="3" t="inlineStr"/>
      <c r="J429" s="3" t="inlineStr">
        <is>
          <t>Keeta</t>
        </is>
      </c>
      <c r="K429" s="3" t="inlineStr">
        <is>
          <t>****9568</t>
        </is>
      </c>
      <c r="L429" s="3" t="n"/>
      <c r="M429" s="3" t="inlineStr">
        <is>
          <t>***** 物流中心5樓</t>
        </is>
      </c>
      <c r="N429" s="3" t="inlineStr">
        <is>
          <t>北区</t>
        </is>
      </c>
      <c r="O429" s="3" t="inlineStr">
        <is>
          <t>香港</t>
        </is>
      </c>
      <c r="P429" s="3" t="inlineStr">
        <is>
          <t>香港特别行政区</t>
        </is>
      </c>
      <c r="Q429" s="3" t="n">
        <v>495096</v>
      </c>
      <c r="R429" s="3" t="inlineStr">
        <is>
          <t>PizzaExpressPizzaPasta(上水廣場)</t>
        </is>
      </c>
      <c r="S429" s="3" t="inlineStr">
        <is>
          <t>****31641367</t>
        </is>
      </c>
      <c r="T429" s="3" t="inlineStr">
        <is>
          <t>****31641367</t>
        </is>
      </c>
      <c r="U429" s="3" t="inlineStr">
        <is>
          <t>***** 樓501號舖</t>
        </is>
      </c>
      <c r="V429" s="3" t="inlineStr">
        <is>
          <t>香港</t>
        </is>
      </c>
      <c r="W429" s="3" t="inlineStr">
        <is>
          <t>无纺布【Preminum黑】/ 箱出</t>
        </is>
      </c>
      <c r="X429" s="3" t="inlineStr">
        <is>
          <t>ESS-SFTS-OTMS</t>
        </is>
      </c>
      <c r="Y429" s="3" t="n"/>
      <c r="Z429" s="3" t="inlineStr"/>
      <c r="AA429" s="3" t="inlineStr">
        <is>
          <t>寄付月結</t>
        </is>
      </c>
      <c r="AB429">
        <f>IFERROR(VLOOKUP(Q429&amp;"",對照表!$A:$B,1,FALSE),"")</f>
        <v/>
      </c>
      <c r="AC429">
        <f>IFERROR(VLOOKUP(Q429&amp;"",對照表!$A:$B,2,FALSE),"")</f>
        <v/>
      </c>
    </row>
    <row r="430">
      <c r="A430" s="3" t="inlineStr">
        <is>
          <t>SF5116616189280</t>
        </is>
      </c>
      <c r="B430" s="3" t="n">
        <v>58424825741606</v>
      </c>
      <c r="C430" s="3" t="inlineStr">
        <is>
          <t>已簽收</t>
        </is>
      </c>
      <c r="D430" s="3" t="inlineStr">
        <is>
          <t>2026-07-03 10:26:50</t>
        </is>
      </c>
      <c r="E430" s="3" t="inlineStr">
        <is>
          <t>2026-07-04 12:22</t>
        </is>
      </c>
      <c r="F430" s="3" t="n">
        <v>1</v>
      </c>
      <c r="G430" s="3" t="n">
        <v>1</v>
      </c>
      <c r="H430" s="3" t="n"/>
      <c r="I430" s="3" t="inlineStr"/>
      <c r="J430" s="3" t="inlineStr">
        <is>
          <t>Keeta</t>
        </is>
      </c>
      <c r="K430" s="3" t="inlineStr">
        <is>
          <t>****9568</t>
        </is>
      </c>
      <c r="L430" s="3" t="n"/>
      <c r="M430" s="3" t="inlineStr">
        <is>
          <t>***** 物流中心5樓</t>
        </is>
      </c>
      <c r="N430" s="3" t="inlineStr">
        <is>
          <t>北区</t>
        </is>
      </c>
      <c r="O430" s="3" t="inlineStr">
        <is>
          <t>香港</t>
        </is>
      </c>
      <c r="P430" s="3" t="inlineStr">
        <is>
          <t>香港特别行政区</t>
        </is>
      </c>
      <c r="Q430" s="3" t="n">
        <v>478308</v>
      </c>
      <c r="R430" s="3" t="inlineStr">
        <is>
          <t>聚興樓(將軍澳)粵式秘製手撕雞</t>
        </is>
      </c>
      <c r="S430" s="3" t="inlineStr">
        <is>
          <t>****27809998</t>
        </is>
      </c>
      <c r="T430" s="3" t="inlineStr">
        <is>
          <t>****27809998</t>
        </is>
      </c>
      <c r="U430" s="3" t="inlineStr">
        <is>
          <t>***** 樓114號舖</t>
        </is>
      </c>
      <c r="V430" s="3" t="inlineStr">
        <is>
          <t>香港</t>
        </is>
      </c>
      <c r="W430" s="3" t="inlineStr">
        <is>
          <t>塑料袋【大】/ 扎出</t>
        </is>
      </c>
      <c r="X430" s="3" t="inlineStr">
        <is>
          <t>ESS-SFTS-OTMS</t>
        </is>
      </c>
      <c r="Y430" s="3" t="n"/>
      <c r="Z430" s="3" t="inlineStr"/>
      <c r="AA430" s="3" t="inlineStr">
        <is>
          <t>寄付月結</t>
        </is>
      </c>
      <c r="AB430">
        <f>IFERROR(VLOOKUP(Q430&amp;"",對照表!$A:$B,1,FALSE),"")</f>
        <v/>
      </c>
      <c r="AC430">
        <f>IFERROR(VLOOKUP(Q430&amp;"",對照表!$A:$B,2,FALSE),"")</f>
        <v/>
      </c>
    </row>
    <row r="431">
      <c r="A431" s="3" t="inlineStr">
        <is>
          <t>SF5116616188797</t>
        </is>
      </c>
      <c r="B431" s="3" t="n">
        <v>58424825741505</v>
      </c>
      <c r="C431" s="3" t="inlineStr">
        <is>
          <t>已簽收</t>
        </is>
      </c>
      <c r="D431" s="3" t="inlineStr">
        <is>
          <t>2026-07-03 10:52:10</t>
        </is>
      </c>
      <c r="E431" s="3" t="inlineStr">
        <is>
          <t>2026-07-04 11:25</t>
        </is>
      </c>
      <c r="F431" s="3" t="n">
        <v>4.81</v>
      </c>
      <c r="G431" s="3" t="n">
        <v>1</v>
      </c>
      <c r="H431" s="3" t="n"/>
      <c r="I431" s="3" t="inlineStr"/>
      <c r="J431" s="3" t="inlineStr">
        <is>
          <t>Keeta</t>
        </is>
      </c>
      <c r="K431" s="3" t="inlineStr">
        <is>
          <t>****9568</t>
        </is>
      </c>
      <c r="L431" s="3" t="n"/>
      <c r="M431" s="3" t="inlineStr">
        <is>
          <t>***** 物流中心5樓</t>
        </is>
      </c>
      <c r="N431" s="3" t="inlineStr">
        <is>
          <t>北区</t>
        </is>
      </c>
      <c r="O431" s="3" t="inlineStr">
        <is>
          <t>香港</t>
        </is>
      </c>
      <c r="P431" s="3" t="inlineStr">
        <is>
          <t>香港特别行政区</t>
        </is>
      </c>
      <c r="Q431" s="3" t="n">
        <v>448832</v>
      </c>
      <c r="R431" s="3" t="inlineStr">
        <is>
          <t>為食海南雞(啓業店)</t>
        </is>
      </c>
      <c r="S431" s="3" t="inlineStr">
        <is>
          <t>****93873226</t>
        </is>
      </c>
      <c r="T431" s="3" t="inlineStr">
        <is>
          <t>****93873226</t>
        </is>
      </c>
      <c r="U431" s="3" t="inlineStr">
        <is>
          <t>***** 下KY6號舖</t>
        </is>
      </c>
      <c r="V431" s="3" t="inlineStr">
        <is>
          <t>香港</t>
        </is>
      </c>
      <c r="W431" s="3" t="inlineStr">
        <is>
          <t>塑料袋【大】/ 扎出</t>
        </is>
      </c>
      <c r="X431" s="3" t="inlineStr">
        <is>
          <t>ESS-SFTS-OTMS</t>
        </is>
      </c>
      <c r="Y431" s="3" t="n"/>
      <c r="Z431" s="3" t="inlineStr"/>
      <c r="AA431" s="3" t="inlineStr">
        <is>
          <t>寄付月結</t>
        </is>
      </c>
      <c r="AB431">
        <f>IFERROR(VLOOKUP(Q431&amp;"",對照表!$A:$B,1,FALSE),"")</f>
        <v/>
      </c>
      <c r="AC431">
        <f>IFERROR(VLOOKUP(Q431&amp;"",對照表!$A:$B,2,FALSE),"")</f>
        <v/>
      </c>
    </row>
    <row r="432">
      <c r="A432" s="3" t="inlineStr">
        <is>
          <t>SF5116616188788</t>
        </is>
      </c>
      <c r="B432" s="3" t="n">
        <v>58424825741503</v>
      </c>
      <c r="C432" s="3" t="inlineStr">
        <is>
          <t>已簽收</t>
        </is>
      </c>
      <c r="D432" s="3" t="inlineStr">
        <is>
          <t>2026-07-03 13:45:07</t>
        </is>
      </c>
      <c r="E432" s="3" t="inlineStr">
        <is>
          <t>2026-07-04 14:59</t>
        </is>
      </c>
      <c r="F432" s="3" t="n">
        <v>23.2</v>
      </c>
      <c r="G432" s="3" t="n">
        <v>2</v>
      </c>
      <c r="H432" s="3" t="n"/>
      <c r="I432" s="3" t="inlineStr"/>
      <c r="J432" s="3" t="inlineStr">
        <is>
          <t>Keeta</t>
        </is>
      </c>
      <c r="K432" s="3" t="inlineStr">
        <is>
          <t>****9568</t>
        </is>
      </c>
      <c r="L432" s="3" t="n"/>
      <c r="M432" s="3" t="inlineStr">
        <is>
          <t>***** 物流中心5樓</t>
        </is>
      </c>
      <c r="N432" s="3" t="inlineStr">
        <is>
          <t>北区</t>
        </is>
      </c>
      <c r="O432" s="3" t="inlineStr">
        <is>
          <t>香港</t>
        </is>
      </c>
      <c r="P432" s="3" t="inlineStr">
        <is>
          <t>香港特别行政区</t>
        </is>
      </c>
      <c r="Q432" s="3" t="n">
        <v>721433319</v>
      </c>
      <c r="R432" s="3" t="inlineStr">
        <is>
          <t>翠湖金閣（大角咀）</t>
        </is>
      </c>
      <c r="S432" s="3" t="inlineStr">
        <is>
          <t>****26811668</t>
        </is>
      </c>
      <c r="T432" s="3" t="inlineStr">
        <is>
          <t>****26811668</t>
        </is>
      </c>
      <c r="U432" s="3" t="inlineStr">
        <is>
          <t>***** 地下C/L)</t>
        </is>
      </c>
      <c r="V432" s="3" t="inlineStr">
        <is>
          <t>香港</t>
        </is>
      </c>
      <c r="W432" s="3" t="inlineStr">
        <is>
          <t>无纺布【规格四大号】/ 箱出</t>
        </is>
      </c>
      <c r="X432" s="3" t="inlineStr">
        <is>
          <t>ESS-SFTS-OTMS</t>
        </is>
      </c>
      <c r="Y432" s="3" t="n"/>
      <c r="Z432" s="3" t="inlineStr"/>
      <c r="AA432" s="3" t="inlineStr">
        <is>
          <t>寄付月結</t>
        </is>
      </c>
      <c r="AB432">
        <f>IFERROR(VLOOKUP(Q432&amp;"",對照表!$A:$B,1,FALSE),"")</f>
        <v/>
      </c>
      <c r="AC432">
        <f>IFERROR(VLOOKUP(Q432&amp;"",對照表!$A:$B,2,FALSE),"")</f>
        <v/>
      </c>
    </row>
    <row r="433">
      <c r="A433" s="3" t="inlineStr">
        <is>
          <t>SF5116616189341</t>
        </is>
      </c>
      <c r="B433" s="3" t="n">
        <v>58424825741622</v>
      </c>
      <c r="C433" s="3" t="inlineStr">
        <is>
          <t>已簽收</t>
        </is>
      </c>
      <c r="D433" s="3" t="inlineStr">
        <is>
          <t>2026-07-03 15:11:22</t>
        </is>
      </c>
      <c r="E433" s="3" t="inlineStr">
        <is>
          <t>2026-07-04 12:33</t>
        </is>
      </c>
      <c r="F433" s="3" t="n">
        <v>5.2</v>
      </c>
      <c r="G433" s="3" t="n">
        <v>1</v>
      </c>
      <c r="H433" s="3" t="n"/>
      <c r="I433" s="3" t="inlineStr"/>
      <c r="J433" s="3" t="inlineStr">
        <is>
          <t>Keeta</t>
        </is>
      </c>
      <c r="K433" s="3" t="inlineStr">
        <is>
          <t>****9568</t>
        </is>
      </c>
      <c r="L433" s="3" t="n"/>
      <c r="M433" s="3" t="inlineStr">
        <is>
          <t>***** 物流中心5樓</t>
        </is>
      </c>
      <c r="N433" s="3" t="inlineStr">
        <is>
          <t>北区</t>
        </is>
      </c>
      <c r="O433" s="3" t="inlineStr">
        <is>
          <t>香港</t>
        </is>
      </c>
      <c r="P433" s="3" t="inlineStr">
        <is>
          <t>香港特别行政区</t>
        </is>
      </c>
      <c r="Q433" s="3" t="n">
        <v>472838</v>
      </c>
      <c r="R433" s="3" t="inlineStr">
        <is>
          <t>西城東北菜</t>
        </is>
      </c>
      <c r="S433" s="3" t="inlineStr">
        <is>
          <t>****67491075</t>
        </is>
      </c>
      <c r="T433" s="3" t="inlineStr">
        <is>
          <t>****67491075</t>
        </is>
      </c>
      <c r="U433" s="3" t="inlineStr">
        <is>
          <t>***** 下A-C號鋪</t>
        </is>
      </c>
      <c r="V433" s="3" t="inlineStr">
        <is>
          <t>香港</t>
        </is>
      </c>
      <c r="W433" s="3" t="inlineStr">
        <is>
          <t>塑料袋【大】/ 扎出, 塑料袋【小】/ 扎出</t>
        </is>
      </c>
      <c r="X433" s="3" t="inlineStr">
        <is>
          <t>ESS-SFTS-OTMS</t>
        </is>
      </c>
      <c r="Y433" s="3" t="n"/>
      <c r="Z433" s="3" t="inlineStr"/>
      <c r="AA433" s="3" t="inlineStr">
        <is>
          <t>寄付月結</t>
        </is>
      </c>
      <c r="AB433">
        <f>IFERROR(VLOOKUP(Q433&amp;"",對照表!$A:$B,1,FALSE),"")</f>
        <v/>
      </c>
      <c r="AC433">
        <f>IFERROR(VLOOKUP(Q433&amp;"",對照表!$A:$B,2,FALSE),"")</f>
        <v/>
      </c>
    </row>
    <row r="434">
      <c r="A434" s="3" t="inlineStr">
        <is>
          <t>SF5116616189086</t>
        </is>
      </c>
      <c r="B434" s="3" t="n">
        <v>58424825741564</v>
      </c>
      <c r="C434" s="3" t="inlineStr">
        <is>
          <t>已簽收</t>
        </is>
      </c>
      <c r="D434" s="3" t="inlineStr">
        <is>
          <t>2026-07-03 13:49:36</t>
        </is>
      </c>
      <c r="E434" s="3" t="inlineStr">
        <is>
          <t>2026-07-04 12:45</t>
        </is>
      </c>
      <c r="F434" s="3" t="n">
        <v>34.8</v>
      </c>
      <c r="G434" s="3" t="n">
        <v>3</v>
      </c>
      <c r="H434" s="3" t="n"/>
      <c r="I434" s="3" t="inlineStr"/>
      <c r="J434" s="3" t="inlineStr">
        <is>
          <t>Keeta</t>
        </is>
      </c>
      <c r="K434" s="3" t="inlineStr">
        <is>
          <t>****9568</t>
        </is>
      </c>
      <c r="L434" s="3" t="n"/>
      <c r="M434" s="3" t="inlineStr">
        <is>
          <t>***** 物流中心5樓</t>
        </is>
      </c>
      <c r="N434" s="3" t="inlineStr">
        <is>
          <t>北区</t>
        </is>
      </c>
      <c r="O434" s="3" t="inlineStr">
        <is>
          <t>香港</t>
        </is>
      </c>
      <c r="P434" s="3" t="inlineStr">
        <is>
          <t>香港特别行政区</t>
        </is>
      </c>
      <c r="Q434" s="3" t="n">
        <v>721421393</v>
      </c>
      <c r="R434" s="3" t="inlineStr">
        <is>
          <t>阿媽家姐蝦醬通菜薯仔牛粒蒜蓉菜心</t>
        </is>
      </c>
      <c r="S434" s="3" t="inlineStr">
        <is>
          <t>****91003928</t>
        </is>
      </c>
      <c r="T434" s="3" t="inlineStr">
        <is>
          <t>****91003928</t>
        </is>
      </c>
      <c r="U434" s="3" t="inlineStr">
        <is>
          <t>***** 渣甸街42號</t>
        </is>
      </c>
      <c r="V434" s="3" t="inlineStr">
        <is>
          <t>香港</t>
        </is>
      </c>
      <c r="W434" s="3" t="inlineStr">
        <is>
          <t>无纺布【规格四大号】/ 箱出</t>
        </is>
      </c>
      <c r="X434" s="3" t="inlineStr">
        <is>
          <t>ESS-SFTS-OTMS</t>
        </is>
      </c>
      <c r="Y434" s="3" t="n"/>
      <c r="Z434" s="3" t="inlineStr"/>
      <c r="AA434" s="3" t="inlineStr">
        <is>
          <t>寄付月結</t>
        </is>
      </c>
      <c r="AB434">
        <f>IFERROR(VLOOKUP(Q434&amp;"",對照表!$A:$B,1,FALSE),"")</f>
        <v/>
      </c>
      <c r="AC434">
        <f>IFERROR(VLOOKUP(Q434&amp;"",對照表!$A:$B,2,FALSE),"")</f>
        <v/>
      </c>
    </row>
    <row r="435">
      <c r="A435" s="3" t="inlineStr">
        <is>
          <t>SF5116616189147</t>
        </is>
      </c>
      <c r="B435" s="3" t="n">
        <v>58424825741577</v>
      </c>
      <c r="C435" s="3" t="inlineStr">
        <is>
          <t>已簽收</t>
        </is>
      </c>
      <c r="D435" s="3" t="inlineStr">
        <is>
          <t>2026-07-03 15:32:19</t>
        </is>
      </c>
      <c r="E435" s="3" t="inlineStr">
        <is>
          <t>2026-07-04 13:28</t>
        </is>
      </c>
      <c r="F435" s="3" t="n">
        <v>21.7</v>
      </c>
      <c r="G435" s="3" t="n">
        <v>2</v>
      </c>
      <c r="H435" s="3" t="n"/>
      <c r="I435" s="3" t="inlineStr"/>
      <c r="J435" s="3" t="inlineStr">
        <is>
          <t>Keeta</t>
        </is>
      </c>
      <c r="K435" s="3" t="inlineStr">
        <is>
          <t>****9568</t>
        </is>
      </c>
      <c r="L435" s="3" t="n"/>
      <c r="M435" s="3" t="inlineStr">
        <is>
          <t>***** 物流中心5樓</t>
        </is>
      </c>
      <c r="N435" s="3" t="inlineStr">
        <is>
          <t>北区</t>
        </is>
      </c>
      <c r="O435" s="3" t="inlineStr">
        <is>
          <t>香港</t>
        </is>
      </c>
      <c r="P435" s="3" t="inlineStr">
        <is>
          <t>香港特别行政区</t>
        </is>
      </c>
      <c r="Q435" s="3" t="n">
        <v>478213</v>
      </c>
      <c r="R435" s="3" t="inlineStr">
        <is>
          <t>JOM(灣仔)必食喇沙海南雞</t>
        </is>
      </c>
      <c r="S435" s="3" t="inlineStr">
        <is>
          <t>****64263084</t>
        </is>
      </c>
      <c r="T435" s="3" t="inlineStr">
        <is>
          <t>****64263084</t>
        </is>
      </c>
      <c r="U435" s="3" t="inlineStr">
        <is>
          <t>***** 樓地下A號舖</t>
        </is>
      </c>
      <c r="V435" s="3" t="inlineStr">
        <is>
          <t>香港</t>
        </is>
      </c>
      <c r="W435" s="3" t="inlineStr">
        <is>
          <t>无纺布【规格三中号】/ 箱出, 无纺布【规格四大号】/ 箱出</t>
        </is>
      </c>
      <c r="X435" s="3" t="inlineStr">
        <is>
          <t>ESS-SFTS-OTMS</t>
        </is>
      </c>
      <c r="Y435" s="3" t="n"/>
      <c r="Z435" s="3" t="inlineStr"/>
      <c r="AA435" s="3" t="inlineStr">
        <is>
          <t>寄付月結</t>
        </is>
      </c>
      <c r="AB435">
        <f>IFERROR(VLOOKUP(Q435&amp;"",對照表!$A:$B,1,FALSE),"")</f>
        <v/>
      </c>
      <c r="AC435">
        <f>IFERROR(VLOOKUP(Q435&amp;"",對照表!$A:$B,2,FALSE),"")</f>
        <v/>
      </c>
    </row>
    <row r="436">
      <c r="A436" s="3" t="inlineStr">
        <is>
          <t>SF5116616189429</t>
        </is>
      </c>
      <c r="B436" s="3" t="n">
        <v>58424825741638</v>
      </c>
      <c r="C436" s="3" t="inlineStr">
        <is>
          <t>已簽收</t>
        </is>
      </c>
      <c r="D436" s="3" t="inlineStr">
        <is>
          <t>2026-07-03 11:36:28</t>
        </is>
      </c>
      <c r="E436" s="3" t="inlineStr">
        <is>
          <t>2026-07-04 11:22</t>
        </is>
      </c>
      <c r="F436" s="3" t="n">
        <v>20.2</v>
      </c>
      <c r="G436" s="3" t="n">
        <v>2</v>
      </c>
      <c r="H436" s="3" t="n"/>
      <c r="I436" s="3" t="inlineStr"/>
      <c r="J436" s="3" t="inlineStr">
        <is>
          <t>Keeta</t>
        </is>
      </c>
      <c r="K436" s="3" t="inlineStr">
        <is>
          <t>****9568</t>
        </is>
      </c>
      <c r="L436" s="3" t="n"/>
      <c r="M436" s="3" t="inlineStr">
        <is>
          <t>***** 物流中心5樓</t>
        </is>
      </c>
      <c r="N436" s="3" t="inlineStr">
        <is>
          <t>北区</t>
        </is>
      </c>
      <c r="O436" s="3" t="inlineStr">
        <is>
          <t>香港</t>
        </is>
      </c>
      <c r="P436" s="3" t="inlineStr">
        <is>
          <t>香港特别行政区</t>
        </is>
      </c>
      <c r="Q436" s="3" t="n">
        <v>721443374</v>
      </c>
      <c r="R436" s="3" t="inlineStr">
        <is>
          <t>一碗飯香正宗湖南菜（銅鑼灣店）</t>
        </is>
      </c>
      <c r="S436" s="3" t="inlineStr">
        <is>
          <t>****55041133</t>
        </is>
      </c>
      <c r="T436" s="3" t="inlineStr">
        <is>
          <t>****55041133</t>
        </is>
      </c>
      <c r="U436" s="3" t="inlineStr">
        <is>
          <t>***** 大廈地下D鋪</t>
        </is>
      </c>
      <c r="V436" s="3" t="inlineStr">
        <is>
          <t>香港</t>
        </is>
      </c>
      <c r="W436" s="3" t="inlineStr">
        <is>
          <t>无纺布【规格三中号】/ 箱出</t>
        </is>
      </c>
      <c r="X436" s="3" t="inlineStr">
        <is>
          <t>ESS-SFTS-OTMS</t>
        </is>
      </c>
      <c r="Y436" s="3" t="n"/>
      <c r="Z436" s="3" t="inlineStr"/>
      <c r="AA436" s="3" t="inlineStr">
        <is>
          <t>寄付月結</t>
        </is>
      </c>
      <c r="AB436">
        <f>IFERROR(VLOOKUP(Q436&amp;"",對照表!$A:$B,1,FALSE),"")</f>
        <v/>
      </c>
      <c r="AC436">
        <f>IFERROR(VLOOKUP(Q436&amp;"",對照表!$A:$B,2,FALSE),"")</f>
        <v/>
      </c>
    </row>
    <row r="437">
      <c r="A437" s="3" t="inlineStr">
        <is>
          <t>SF5116616188760</t>
        </is>
      </c>
      <c r="B437" s="3" t="n">
        <v>58424825741498</v>
      </c>
      <c r="C437" s="3" t="inlineStr">
        <is>
          <t>運送中</t>
        </is>
      </c>
      <c r="D437" s="3" t="inlineStr">
        <is>
          <t>2026-07-03 14:33:48</t>
        </is>
      </c>
      <c r="E437" s="3" t="n"/>
      <c r="F437" s="3" t="n">
        <v>123.1</v>
      </c>
      <c r="G437" s="3" t="n">
        <v>20</v>
      </c>
      <c r="H437" s="3" t="n"/>
      <c r="I437" s="3" t="inlineStr"/>
      <c r="J437" s="3" t="inlineStr">
        <is>
          <t>Keeta</t>
        </is>
      </c>
      <c r="K437" s="3" t="inlineStr">
        <is>
          <t>****9568</t>
        </is>
      </c>
      <c r="L437" s="3" t="n"/>
      <c r="M437" s="3" t="inlineStr">
        <is>
          <t>***** 物流中心5樓</t>
        </is>
      </c>
      <c r="N437" s="3" t="inlineStr">
        <is>
          <t>北区</t>
        </is>
      </c>
      <c r="O437" s="3" t="inlineStr">
        <is>
          <t>香港</t>
        </is>
      </c>
      <c r="P437" s="3" t="inlineStr">
        <is>
          <t>香港特别行政区</t>
        </is>
      </c>
      <c r="Q437" s="3" t="n">
        <v>478641</v>
      </c>
      <c r="R437" s="3" t="inlineStr">
        <is>
          <t>為食海南雞(上水最受歡迎海南雞店)</t>
        </is>
      </c>
      <c r="S437" s="3" t="inlineStr">
        <is>
          <t>****61344628</t>
        </is>
      </c>
      <c r="T437" s="3" t="inlineStr">
        <is>
          <t>****61344628</t>
        </is>
      </c>
      <c r="U437" s="3" t="inlineStr">
        <is>
          <t>***** 2-03號鋪</t>
        </is>
      </c>
      <c r="V437" s="3" t="inlineStr">
        <is>
          <t>香港</t>
        </is>
      </c>
      <c r="W437" s="3" t="inlineStr">
        <is>
          <t>杯托【2托】/ 箱出, 无纺布【规格二双杯】/ 箱出</t>
        </is>
      </c>
      <c r="X437" s="3" t="inlineStr">
        <is>
          <t>ESS-SFTS-OTMS</t>
        </is>
      </c>
      <c r="Y437" s="3" t="n"/>
      <c r="Z437" s="3" t="inlineStr"/>
      <c r="AA437" s="3" t="inlineStr">
        <is>
          <t>寄付月結</t>
        </is>
      </c>
      <c r="AB437">
        <f>IFERROR(VLOOKUP(Q437&amp;"",對照表!$A:$B,1,FALSE),"")</f>
        <v/>
      </c>
      <c r="AC437">
        <f>IFERROR(VLOOKUP(Q437&amp;"",對照表!$A:$B,2,FALSE),"")</f>
        <v/>
      </c>
    </row>
    <row r="438">
      <c r="A438" s="3" t="inlineStr">
        <is>
          <t>SF5116616189483</t>
        </is>
      </c>
      <c r="B438" s="3" t="n">
        <v>58424825741653</v>
      </c>
      <c r="C438" s="3" t="inlineStr">
        <is>
          <t>已簽收</t>
        </is>
      </c>
      <c r="D438" s="3" t="inlineStr">
        <is>
          <t>2026-07-03 13:45:04</t>
        </is>
      </c>
      <c r="E438" s="3" t="inlineStr">
        <is>
          <t>2026-07-04 11:38</t>
        </is>
      </c>
      <c r="F438" s="3" t="n">
        <v>23.2</v>
      </c>
      <c r="G438" s="3" t="n">
        <v>2</v>
      </c>
      <c r="H438" s="3" t="n"/>
      <c r="I438" s="3" t="inlineStr"/>
      <c r="J438" s="3" t="inlineStr">
        <is>
          <t>Keeta</t>
        </is>
      </c>
      <c r="K438" s="3" t="inlineStr">
        <is>
          <t>****9568</t>
        </is>
      </c>
      <c r="L438" s="3" t="n"/>
      <c r="M438" s="3" t="inlineStr">
        <is>
          <t>***** 物流中心5樓</t>
        </is>
      </c>
      <c r="N438" s="3" t="inlineStr">
        <is>
          <t>北区</t>
        </is>
      </c>
      <c r="O438" s="3" t="inlineStr">
        <is>
          <t>香港</t>
        </is>
      </c>
      <c r="P438" s="3" t="inlineStr">
        <is>
          <t>香港特别行政区</t>
        </is>
      </c>
      <c r="Q438" s="3" t="n">
        <v>671865</v>
      </c>
      <c r="R438" s="3" t="inlineStr">
        <is>
          <t>福來居(牛記)海鮮飯店</t>
        </is>
      </c>
      <c r="S438" s="3" t="inlineStr">
        <is>
          <t>****23944418</t>
        </is>
      </c>
      <c r="T438" s="3" t="inlineStr">
        <is>
          <t>****23944418</t>
        </is>
      </c>
      <c r="U438" s="3" t="inlineStr">
        <is>
          <t>***** 街4至6 號</t>
        </is>
      </c>
      <c r="V438" s="3" t="inlineStr">
        <is>
          <t>香港</t>
        </is>
      </c>
      <c r="W438" s="3" t="inlineStr">
        <is>
          <t>无纺布【规格四大号】/ 箱出</t>
        </is>
      </c>
      <c r="X438" s="3" t="inlineStr">
        <is>
          <t>ESS-SFTS-OTMS</t>
        </is>
      </c>
      <c r="Y438" s="3" t="n"/>
      <c r="Z438" s="3" t="inlineStr"/>
      <c r="AA438" s="3" t="inlineStr">
        <is>
          <t>寄付月結</t>
        </is>
      </c>
      <c r="AB438">
        <f>IFERROR(VLOOKUP(Q438&amp;"",對照表!$A:$B,1,FALSE),"")</f>
        <v/>
      </c>
      <c r="AC438">
        <f>IFERROR(VLOOKUP(Q438&amp;"",對照表!$A:$B,2,FALSE),"")</f>
        <v/>
      </c>
    </row>
    <row r="439">
      <c r="A439" s="3" t="inlineStr">
        <is>
          <t>SF5116616189138</t>
        </is>
      </c>
      <c r="B439" s="3" t="n">
        <v>58424825741575</v>
      </c>
      <c r="C439" s="3" t="inlineStr">
        <is>
          <t>已簽收</t>
        </is>
      </c>
      <c r="D439" s="3" t="inlineStr">
        <is>
          <t>2026-07-03 16:49:48</t>
        </is>
      </c>
      <c r="E439" s="3" t="inlineStr">
        <is>
          <t>2026-07-04 11:16</t>
        </is>
      </c>
      <c r="F439" s="3" t="n">
        <v>62.3</v>
      </c>
      <c r="G439" s="3" t="n">
        <v>5</v>
      </c>
      <c r="H439" s="3" t="n"/>
      <c r="I439" s="3" t="inlineStr"/>
      <c r="J439" s="3" t="inlineStr">
        <is>
          <t>Keeta</t>
        </is>
      </c>
      <c r="K439" s="3" t="inlineStr">
        <is>
          <t>****9568</t>
        </is>
      </c>
      <c r="L439" s="3" t="n"/>
      <c r="M439" s="3" t="inlineStr">
        <is>
          <t>***** 物流中心5樓</t>
        </is>
      </c>
      <c r="N439" s="3" t="inlineStr">
        <is>
          <t>北区</t>
        </is>
      </c>
      <c r="O439" s="3" t="inlineStr">
        <is>
          <t>香港</t>
        </is>
      </c>
      <c r="P439" s="3" t="inlineStr">
        <is>
          <t>香港特别行政区</t>
        </is>
      </c>
      <c r="Q439" s="3" t="n">
        <v>721534401</v>
      </c>
      <c r="R439" s="3" t="inlineStr">
        <is>
          <t>新蒲會館 【 新店強勢登陸新蒲崗】</t>
        </is>
      </c>
      <c r="S439" s="3" t="inlineStr">
        <is>
          <t>****60373395</t>
        </is>
      </c>
      <c r="T439" s="3" t="inlineStr">
        <is>
          <t>****60373395</t>
        </is>
      </c>
      <c r="U439" s="3" t="inlineStr">
        <is>
          <t>***** 7樓 d2室</t>
        </is>
      </c>
      <c r="V439" s="3" t="inlineStr">
        <is>
          <t>香港</t>
        </is>
      </c>
      <c r="W439" s="3" t="inlineStr">
        <is>
          <t>纸袋【通版】/ 箱出, 塑料袋【大】/ 扎出</t>
        </is>
      </c>
      <c r="X439" s="3" t="inlineStr">
        <is>
          <t>ESS-SFTS-OTMS</t>
        </is>
      </c>
      <c r="Y439" s="3" t="n"/>
      <c r="Z439" s="3" t="inlineStr"/>
      <c r="AA439" s="3" t="inlineStr">
        <is>
          <t>寄付月結</t>
        </is>
      </c>
      <c r="AB439">
        <f>IFERROR(VLOOKUP(Q439&amp;"",對照表!$A:$B,1,FALSE),"")</f>
        <v/>
      </c>
      <c r="AC439">
        <f>IFERROR(VLOOKUP(Q439&amp;"",對照表!$A:$B,2,FALSE),"")</f>
        <v/>
      </c>
    </row>
    <row r="440">
      <c r="A440" s="3" t="inlineStr">
        <is>
          <t>SF5116616189068</t>
        </is>
      </c>
      <c r="B440" s="3" t="n">
        <v>58424825741563</v>
      </c>
      <c r="C440" s="3" t="inlineStr">
        <is>
          <t>已簽收</t>
        </is>
      </c>
      <c r="D440" s="3" t="inlineStr">
        <is>
          <t>2026-07-03 17:01:59</t>
        </is>
      </c>
      <c r="E440" s="3" t="inlineStr">
        <is>
          <t>2026-07-04 10:44</t>
        </is>
      </c>
      <c r="F440" s="3" t="n">
        <v>11.9</v>
      </c>
      <c r="G440" s="3" t="n">
        <v>1</v>
      </c>
      <c r="H440" s="3" t="n"/>
      <c r="I440" s="3" t="inlineStr"/>
      <c r="J440" s="3" t="inlineStr">
        <is>
          <t>Keeta</t>
        </is>
      </c>
      <c r="K440" s="3" t="inlineStr">
        <is>
          <t>****9568</t>
        </is>
      </c>
      <c r="L440" s="3" t="n"/>
      <c r="M440" s="3" t="inlineStr">
        <is>
          <t>***** 物流中心5樓</t>
        </is>
      </c>
      <c r="N440" s="3" t="inlineStr">
        <is>
          <t>北区</t>
        </is>
      </c>
      <c r="O440" s="3" t="inlineStr">
        <is>
          <t>香港</t>
        </is>
      </c>
      <c r="P440" s="3" t="inlineStr">
        <is>
          <t>香港特别行政区</t>
        </is>
      </c>
      <c r="Q440" s="3" t="n">
        <v>496922</v>
      </c>
      <c r="R440" s="3" t="inlineStr">
        <is>
          <t>IndigoCoffee(上環)</t>
        </is>
      </c>
      <c r="S440" s="3" t="inlineStr">
        <is>
          <t>****66896331</t>
        </is>
      </c>
      <c r="T440" s="3" t="inlineStr">
        <is>
          <t>****66896331</t>
        </is>
      </c>
      <c r="U440" s="3" t="inlineStr">
        <is>
          <t>***** 地下1A號舖</t>
        </is>
      </c>
      <c r="V440" s="3" t="inlineStr">
        <is>
          <t>香港</t>
        </is>
      </c>
      <c r="W440" s="3" t="inlineStr">
        <is>
          <t>纸袋【Preminum黑】/ 箱出</t>
        </is>
      </c>
      <c r="X440" s="3" t="inlineStr">
        <is>
          <t>ESS-SFTS-OTMS</t>
        </is>
      </c>
      <c r="Y440" s="3" t="n"/>
      <c r="Z440" s="3" t="inlineStr"/>
      <c r="AA440" s="3" t="inlineStr">
        <is>
          <t>寄付月結</t>
        </is>
      </c>
      <c r="AB440">
        <f>IFERROR(VLOOKUP(Q440&amp;"",對照表!$A:$B,1,FALSE),"")</f>
        <v/>
      </c>
      <c r="AC440">
        <f>IFERROR(VLOOKUP(Q440&amp;"",對照表!$A:$B,2,FALSE),"")</f>
        <v/>
      </c>
    </row>
    <row r="441">
      <c r="A441" s="3" t="inlineStr">
        <is>
          <t>SF5116616189535</t>
        </is>
      </c>
      <c r="B441" s="3" t="n">
        <v>58424825741662</v>
      </c>
      <c r="C441" s="3" t="inlineStr">
        <is>
          <t>已簽收</t>
        </is>
      </c>
      <c r="D441" s="3" t="inlineStr">
        <is>
          <t>2026-07-03 10:27:01</t>
        </is>
      </c>
      <c r="E441" s="3" t="inlineStr">
        <is>
          <t>2026-07-04 11:48</t>
        </is>
      </c>
      <c r="F441" s="3" t="n">
        <v>1</v>
      </c>
      <c r="G441" s="3" t="n">
        <v>1</v>
      </c>
      <c r="H441" s="3" t="n"/>
      <c r="I441" s="3" t="inlineStr"/>
      <c r="J441" s="3" t="inlineStr">
        <is>
          <t>Keeta</t>
        </is>
      </c>
      <c r="K441" s="3" t="inlineStr">
        <is>
          <t>****9568</t>
        </is>
      </c>
      <c r="L441" s="3" t="n"/>
      <c r="M441" s="3" t="inlineStr">
        <is>
          <t>***** 物流中心5樓</t>
        </is>
      </c>
      <c r="N441" s="3" t="inlineStr">
        <is>
          <t>北区</t>
        </is>
      </c>
      <c r="O441" s="3" t="inlineStr">
        <is>
          <t>香港</t>
        </is>
      </c>
      <c r="P441" s="3" t="inlineStr">
        <is>
          <t>香港特别行政区</t>
        </is>
      </c>
      <c r="Q441" s="3" t="n">
        <v>458916</v>
      </c>
      <c r="R441" s="3" t="inlineStr">
        <is>
          <t>花月冰廳（三週年優惠所有商品大減價）</t>
        </is>
      </c>
      <c r="S441" s="3" t="inlineStr">
        <is>
          <t>****84037144</t>
        </is>
      </c>
      <c r="T441" s="3" t="inlineStr">
        <is>
          <t>****84037144</t>
        </is>
      </c>
      <c r="U441" s="3" t="inlineStr">
        <is>
          <t>***** 1樓13號舖</t>
        </is>
      </c>
      <c r="V441" s="3" t="inlineStr">
        <is>
          <t>香港</t>
        </is>
      </c>
      <c r="W441" s="3" t="inlineStr">
        <is>
          <t>塑料袋【大】/ 扎出</t>
        </is>
      </c>
      <c r="X441" s="3" t="inlineStr">
        <is>
          <t>ESS-SFTS-OTMS</t>
        </is>
      </c>
      <c r="Y441" s="3" t="n"/>
      <c r="Z441" s="3" t="inlineStr"/>
      <c r="AA441" s="3" t="inlineStr">
        <is>
          <t>寄付月結</t>
        </is>
      </c>
      <c r="AB441">
        <f>IFERROR(VLOOKUP(Q441&amp;"",對照表!$A:$B,1,FALSE),"")</f>
        <v/>
      </c>
      <c r="AC441">
        <f>IFERROR(VLOOKUP(Q441&amp;"",對照表!$A:$B,2,FALSE),"")</f>
        <v/>
      </c>
    </row>
    <row r="442">
      <c r="A442" s="3" t="inlineStr">
        <is>
          <t>SF5116616189323</t>
        </is>
      </c>
      <c r="B442" s="3" t="n">
        <v>58424825741617</v>
      </c>
      <c r="C442" s="3" t="inlineStr">
        <is>
          <t>已簽收</t>
        </is>
      </c>
      <c r="D442" s="3" t="inlineStr">
        <is>
          <t>2026-07-03 15:20:08</t>
        </is>
      </c>
      <c r="E442" s="3" t="inlineStr">
        <is>
          <t>2026-07-04 12:29</t>
        </is>
      </c>
      <c r="F442" s="3" t="n">
        <v>1.94</v>
      </c>
      <c r="G442" s="3" t="n">
        <v>1</v>
      </c>
      <c r="H442" s="3" t="n"/>
      <c r="I442" s="3" t="inlineStr"/>
      <c r="J442" s="3" t="inlineStr">
        <is>
          <t>Keeta</t>
        </is>
      </c>
      <c r="K442" s="3" t="inlineStr">
        <is>
          <t>****9568</t>
        </is>
      </c>
      <c r="L442" s="3" t="n"/>
      <c r="M442" s="3" t="inlineStr">
        <is>
          <t>***** 物流中心5樓</t>
        </is>
      </c>
      <c r="N442" s="3" t="inlineStr">
        <is>
          <t>北区</t>
        </is>
      </c>
      <c r="O442" s="3" t="inlineStr">
        <is>
          <t>香港</t>
        </is>
      </c>
      <c r="P442" s="3" t="inlineStr">
        <is>
          <t>香港特别行政区</t>
        </is>
      </c>
      <c r="Q442" s="3" t="n">
        <v>711283</v>
      </c>
      <c r="R442" s="3" t="inlineStr">
        <is>
          <t>上海坊（招牌擔擔麵小籠包）</t>
        </is>
      </c>
      <c r="S442" s="3" t="inlineStr">
        <is>
          <t>****23863466</t>
        </is>
      </c>
      <c r="T442" s="3" t="inlineStr">
        <is>
          <t>****23863466</t>
        </is>
      </c>
      <c r="U442" s="3" t="inlineStr">
        <is>
          <t>***** 地下H1號鋪</t>
        </is>
      </c>
      <c r="V442" s="3" t="inlineStr">
        <is>
          <t>香港</t>
        </is>
      </c>
      <c r="W442" s="3" t="inlineStr">
        <is>
          <t>塑料袋【大】/ 扎出</t>
        </is>
      </c>
      <c r="X442" s="3" t="inlineStr">
        <is>
          <t>ESS-SFTS-OTMS</t>
        </is>
      </c>
      <c r="Y442" s="3" t="n"/>
      <c r="Z442" s="3" t="inlineStr"/>
      <c r="AA442" s="3" t="inlineStr">
        <is>
          <t>寄付月結</t>
        </is>
      </c>
      <c r="AB442">
        <f>IFERROR(VLOOKUP(Q442&amp;"",對照表!$A:$B,1,FALSE),"")</f>
        <v/>
      </c>
      <c r="AC442">
        <f>IFERROR(VLOOKUP(Q442&amp;"",對照表!$A:$B,2,FALSE),"")</f>
        <v/>
      </c>
    </row>
    <row r="443">
      <c r="A443" s="3" t="inlineStr">
        <is>
          <t>SF5116616189262</t>
        </is>
      </c>
      <c r="B443" s="3" t="n">
        <v>58424825741603</v>
      </c>
      <c r="C443" s="3" t="inlineStr">
        <is>
          <t>已簽收</t>
        </is>
      </c>
      <c r="D443" s="3" t="inlineStr">
        <is>
          <t>2026-07-03 17:01:56</t>
        </is>
      </c>
      <c r="E443" s="3" t="inlineStr">
        <is>
          <t>2026-07-04 11:16</t>
        </is>
      </c>
      <c r="F443" s="3" t="n">
        <v>11.9</v>
      </c>
      <c r="G443" s="3" t="n">
        <v>1</v>
      </c>
      <c r="H443" s="3" t="n"/>
      <c r="I443" s="3" t="inlineStr"/>
      <c r="J443" s="3" t="inlineStr">
        <is>
          <t>Keeta</t>
        </is>
      </c>
      <c r="K443" s="3" t="inlineStr">
        <is>
          <t>****9568</t>
        </is>
      </c>
      <c r="L443" s="3" t="n"/>
      <c r="M443" s="3" t="inlineStr">
        <is>
          <t>***** 物流中心5樓</t>
        </is>
      </c>
      <c r="N443" s="3" t="inlineStr">
        <is>
          <t>北区</t>
        </is>
      </c>
      <c r="O443" s="3" t="inlineStr">
        <is>
          <t>香港</t>
        </is>
      </c>
      <c r="P443" s="3" t="inlineStr">
        <is>
          <t>香港特别行政区</t>
        </is>
      </c>
      <c r="Q443" s="3" t="n">
        <v>487069</v>
      </c>
      <c r="R443" s="3" t="inlineStr">
        <is>
          <t>IndigoCoffee(西營盤)</t>
        </is>
      </c>
      <c r="S443" s="3" t="inlineStr">
        <is>
          <t>****64436809</t>
        </is>
      </c>
      <c r="T443" s="3" t="inlineStr">
        <is>
          <t>****64436809</t>
        </is>
      </c>
      <c r="U443" s="3" t="inlineStr">
        <is>
          <t>***** 街49號地舖</t>
        </is>
      </c>
      <c r="V443" s="3" t="inlineStr">
        <is>
          <t>香港</t>
        </is>
      </c>
      <c r="W443" s="3" t="inlineStr">
        <is>
          <t>纸袋【Preminum黑】/ 箱出</t>
        </is>
      </c>
      <c r="X443" s="3" t="inlineStr">
        <is>
          <t>ESS-SFTS-OTMS</t>
        </is>
      </c>
      <c r="Y443" s="3" t="n"/>
      <c r="Z443" s="3" t="inlineStr"/>
      <c r="AA443" s="3" t="inlineStr">
        <is>
          <t>寄付月結</t>
        </is>
      </c>
      <c r="AB443">
        <f>IFERROR(VLOOKUP(Q443&amp;"",對照表!$A:$B,1,FALSE),"")</f>
        <v/>
      </c>
      <c r="AC443">
        <f>IFERROR(VLOOKUP(Q443&amp;"",對照表!$A:$B,2,FALSE),"")</f>
        <v/>
      </c>
    </row>
    <row r="444">
      <c r="A444" s="3" t="inlineStr">
        <is>
          <t>SF5116616189235</t>
        </is>
      </c>
      <c r="B444" s="3" t="n">
        <v>58424825741597</v>
      </c>
      <c r="C444" s="3" t="inlineStr">
        <is>
          <t>已簽收</t>
        </is>
      </c>
      <c r="D444" s="3" t="inlineStr">
        <is>
          <t>2026-07-03 15:32:58</t>
        </is>
      </c>
      <c r="E444" s="3" t="inlineStr">
        <is>
          <t>2026-07-06 15:28</t>
        </is>
      </c>
      <c r="F444" s="3" t="n">
        <v>43.4</v>
      </c>
      <c r="G444" s="3" t="n">
        <v>4</v>
      </c>
      <c r="H444" s="3" t="n"/>
      <c r="I444" s="3" t="inlineStr"/>
      <c r="J444" s="3" t="inlineStr">
        <is>
          <t>Keeta</t>
        </is>
      </c>
      <c r="K444" s="3" t="inlineStr">
        <is>
          <t>****9568</t>
        </is>
      </c>
      <c r="L444" s="3" t="n"/>
      <c r="M444" s="3" t="inlineStr">
        <is>
          <t>***** 物流中心5樓</t>
        </is>
      </c>
      <c r="N444" s="3" t="inlineStr">
        <is>
          <t>北区</t>
        </is>
      </c>
      <c r="O444" s="3" t="inlineStr">
        <is>
          <t>香港</t>
        </is>
      </c>
      <c r="P444" s="3" t="inlineStr">
        <is>
          <t>香港特别行政区</t>
        </is>
      </c>
      <c r="Q444" s="3" t="n">
        <v>721445317</v>
      </c>
      <c r="R444" s="3" t="inlineStr">
        <is>
          <t>朝啡晚茶（鴻圖道）自家烘焙咖啡豆高質原葉手搖茶</t>
        </is>
      </c>
      <c r="S444" s="3" t="inlineStr">
        <is>
          <t>****44522418</t>
        </is>
      </c>
      <c r="T444" s="3" t="inlineStr">
        <is>
          <t>****44522418</t>
        </is>
      </c>
      <c r="U444" s="3" t="inlineStr">
        <is>
          <t>***** 下1A 3舗</t>
        </is>
      </c>
      <c r="V444" s="3" t="inlineStr">
        <is>
          <t>香港</t>
        </is>
      </c>
      <c r="W444" s="3" t="inlineStr">
        <is>
          <t>无纺布【规格四大号】/ 箱出, 无纺布【规格三中号】/ 箱出</t>
        </is>
      </c>
      <c r="X444" s="3" t="inlineStr">
        <is>
          <t>ESS-SFTS-OTMS</t>
        </is>
      </c>
      <c r="Y444" s="3" t="n"/>
      <c r="Z444" s="3" t="inlineStr"/>
      <c r="AA444" s="3" t="inlineStr">
        <is>
          <t>寄付月結</t>
        </is>
      </c>
      <c r="AB444">
        <f>IFERROR(VLOOKUP(Q444&amp;"",對照表!$A:$B,1,FALSE),"")</f>
        <v/>
      </c>
      <c r="AC444">
        <f>IFERROR(VLOOKUP(Q444&amp;"",對照表!$A:$B,2,FALSE),"")</f>
        <v/>
      </c>
    </row>
    <row r="445">
      <c r="A445" s="3" t="inlineStr">
        <is>
          <t>SF5116616189378</t>
        </is>
      </c>
      <c r="B445" s="3" t="n">
        <v>58424825741629</v>
      </c>
      <c r="C445" s="3" t="inlineStr">
        <is>
          <t>已簽收</t>
        </is>
      </c>
      <c r="D445" s="3" t="inlineStr">
        <is>
          <t>2026-07-03 12:20:20</t>
        </is>
      </c>
      <c r="E445" s="3" t="inlineStr">
        <is>
          <t>2026-07-04 18:28</t>
        </is>
      </c>
      <c r="F445" s="3" t="n">
        <v>46.4</v>
      </c>
      <c r="G445" s="3" t="n">
        <v>4</v>
      </c>
      <c r="H445" s="3" t="n"/>
      <c r="I445" s="3" t="inlineStr"/>
      <c r="J445" s="3" t="inlineStr">
        <is>
          <t>Keeta</t>
        </is>
      </c>
      <c r="K445" s="3" t="inlineStr">
        <is>
          <t>****9568</t>
        </is>
      </c>
      <c r="L445" s="3" t="n"/>
      <c r="M445" s="3" t="inlineStr">
        <is>
          <t>***** 物流中心5樓</t>
        </is>
      </c>
      <c r="N445" s="3" t="inlineStr">
        <is>
          <t>北区</t>
        </is>
      </c>
      <c r="O445" s="3" t="inlineStr">
        <is>
          <t>香港</t>
        </is>
      </c>
      <c r="P445" s="3" t="inlineStr">
        <is>
          <t>香港特别行政区</t>
        </is>
      </c>
      <c r="Q445" s="3" t="n">
        <v>448340</v>
      </c>
      <c r="R445" s="3" t="inlineStr">
        <is>
          <t>串燒兄妹(土瓜灣)</t>
        </is>
      </c>
      <c r="S445" s="3" t="inlineStr">
        <is>
          <t>****54451550</t>
        </is>
      </c>
      <c r="T445" s="3" t="inlineStr">
        <is>
          <t>****54451550</t>
        </is>
      </c>
      <c r="U445" s="3" t="inlineStr">
        <is>
          <t>***** 地下G2號舖</t>
        </is>
      </c>
      <c r="V445" s="3" t="inlineStr">
        <is>
          <t>香港</t>
        </is>
      </c>
      <c r="W445" s="3" t="inlineStr">
        <is>
          <t>无纺布【规格四大号】/ 箱出</t>
        </is>
      </c>
      <c r="X445" s="3" t="inlineStr">
        <is>
          <t>ESS-SFTS-OTMS</t>
        </is>
      </c>
      <c r="Y445" s="3" t="n"/>
      <c r="Z445" s="3" t="inlineStr"/>
      <c r="AA445" s="3" t="inlineStr">
        <is>
          <t>寄付月結</t>
        </is>
      </c>
      <c r="AB445">
        <f>IFERROR(VLOOKUP(Q445&amp;"",對照表!$A:$B,1,FALSE),"")</f>
        <v/>
      </c>
      <c r="AC445">
        <f>IFERROR(VLOOKUP(Q445&amp;"",對照表!$A:$B,2,FALSE),"")</f>
        <v/>
      </c>
    </row>
    <row r="446">
      <c r="A446" s="3" t="inlineStr">
        <is>
          <t>SF5116616189305</t>
        </is>
      </c>
      <c r="B446" s="3" t="n">
        <v>58424825741613</v>
      </c>
      <c r="C446" s="3" t="inlineStr">
        <is>
          <t>已簽收</t>
        </is>
      </c>
      <c r="D446" s="3" t="inlineStr">
        <is>
          <t>2026-07-03 11:41:07</t>
        </is>
      </c>
      <c r="E446" s="3" t="inlineStr">
        <is>
          <t>2026-07-04 11:51</t>
        </is>
      </c>
      <c r="F446" s="3" t="n">
        <v>23.64</v>
      </c>
      <c r="G446" s="3" t="n">
        <v>2</v>
      </c>
      <c r="H446" s="3" t="n"/>
      <c r="I446" s="3" t="inlineStr"/>
      <c r="J446" s="3" t="inlineStr">
        <is>
          <t>Keeta</t>
        </is>
      </c>
      <c r="K446" s="3" t="inlineStr">
        <is>
          <t>****9568</t>
        </is>
      </c>
      <c r="L446" s="3" t="n"/>
      <c r="M446" s="3" t="inlineStr">
        <is>
          <t>***** 物流中心5樓</t>
        </is>
      </c>
      <c r="N446" s="3" t="inlineStr">
        <is>
          <t>北区</t>
        </is>
      </c>
      <c r="O446" s="3" t="inlineStr">
        <is>
          <t>香港</t>
        </is>
      </c>
      <c r="P446" s="3" t="inlineStr">
        <is>
          <t>香港特别行政区</t>
        </is>
      </c>
      <c r="Q446" s="3" t="n">
        <v>609449</v>
      </c>
      <c r="R446" s="3" t="inlineStr">
        <is>
          <t>牧羊少年咖啡館(K11購物藝術館)</t>
        </is>
      </c>
      <c r="S446" s="3" t="inlineStr">
        <is>
          <t>****27419371</t>
        </is>
      </c>
      <c r="T446" s="3" t="inlineStr">
        <is>
          <t>****27419371</t>
        </is>
      </c>
      <c r="U446" s="3" t="inlineStr">
        <is>
          <t>***** 站D3出口)</t>
        </is>
      </c>
      <c r="V446" s="3" t="inlineStr">
        <is>
          <t>香港</t>
        </is>
      </c>
      <c r="W446" s="3" t="inlineStr">
        <is>
          <t>无纺布【Preminum黑】/ 箱出</t>
        </is>
      </c>
      <c r="X446" s="3" t="inlineStr">
        <is>
          <t>ESS-SFTS-OTMS</t>
        </is>
      </c>
      <c r="Y446" s="3" t="n"/>
      <c r="Z446" s="3" t="inlineStr"/>
      <c r="AA446" s="3" t="inlineStr">
        <is>
          <t>寄付月結</t>
        </is>
      </c>
      <c r="AB446">
        <f>IFERROR(VLOOKUP(Q446&amp;"",對照表!$A:$B,1,FALSE),"")</f>
        <v/>
      </c>
      <c r="AC446">
        <f>IFERROR(VLOOKUP(Q446&amp;"",對照表!$A:$B,2,FALSE),"")</f>
        <v/>
      </c>
    </row>
    <row r="447">
      <c r="A447" s="3" t="inlineStr">
        <is>
          <t>SF5116616189350</t>
        </is>
      </c>
      <c r="B447" s="3" t="n">
        <v>58424825741620</v>
      </c>
      <c r="C447" s="3" t="inlineStr">
        <is>
          <t>已簽收</t>
        </is>
      </c>
      <c r="D447" s="3" t="inlineStr">
        <is>
          <t>2026-07-03 11:51:59</t>
        </is>
      </c>
      <c r="E447" s="3" t="inlineStr">
        <is>
          <t>2026-07-04 14:00</t>
        </is>
      </c>
      <c r="F447" s="3" t="n">
        <v>10.1</v>
      </c>
      <c r="G447" s="3" t="n">
        <v>1</v>
      </c>
      <c r="H447" s="3" t="n"/>
      <c r="I447" s="3" t="inlineStr"/>
      <c r="J447" s="3" t="inlineStr">
        <is>
          <t>Keeta</t>
        </is>
      </c>
      <c r="K447" s="3" t="inlineStr">
        <is>
          <t>****9568</t>
        </is>
      </c>
      <c r="L447" s="3" t="n"/>
      <c r="M447" s="3" t="inlineStr">
        <is>
          <t>***** 物流中心5樓</t>
        </is>
      </c>
      <c r="N447" s="3" t="inlineStr">
        <is>
          <t>北区</t>
        </is>
      </c>
      <c r="O447" s="3" t="inlineStr">
        <is>
          <t>香港</t>
        </is>
      </c>
      <c r="P447" s="3" t="inlineStr">
        <is>
          <t>香港特别行政区</t>
        </is>
      </c>
      <c r="Q447" s="3" t="n">
        <v>475196</v>
      </c>
      <c r="R447" s="3" t="inlineStr">
        <is>
          <t>客家碌鵝甘旨</t>
        </is>
      </c>
      <c r="S447" s="3" t="inlineStr">
        <is>
          <t>****62660485</t>
        </is>
      </c>
      <c r="T447" s="3" t="inlineStr">
        <is>
          <t>****62660485</t>
        </is>
      </c>
      <c r="U447" s="3" t="inlineStr">
        <is>
          <t>***** 2樓15號舖</t>
        </is>
      </c>
      <c r="V447" s="3" t="inlineStr">
        <is>
          <t>香港</t>
        </is>
      </c>
      <c r="W447" s="3" t="inlineStr">
        <is>
          <t>无纺布【规格三中号】/ 箱出</t>
        </is>
      </c>
      <c r="X447" s="3" t="inlineStr">
        <is>
          <t>ESS-SFTS-OTMS</t>
        </is>
      </c>
      <c r="Y447" s="3" t="n"/>
      <c r="Z447" s="3" t="inlineStr"/>
      <c r="AA447" s="3" t="inlineStr">
        <is>
          <t>寄付月結</t>
        </is>
      </c>
      <c r="AB447">
        <f>IFERROR(VLOOKUP(Q447&amp;"",對照表!$A:$B,1,FALSE),"")</f>
        <v/>
      </c>
      <c r="AC447">
        <f>IFERROR(VLOOKUP(Q447&amp;"",對照表!$A:$B,2,FALSE),"")</f>
        <v/>
      </c>
    </row>
    <row r="448">
      <c r="A448" s="3" t="inlineStr">
        <is>
          <t>SF5116616189465</t>
        </is>
      </c>
      <c r="B448" s="3" t="n">
        <v>58424825741646</v>
      </c>
      <c r="C448" s="3" t="inlineStr">
        <is>
          <t>已簽收</t>
        </is>
      </c>
      <c r="D448" s="3" t="inlineStr">
        <is>
          <t>2026-07-03 11:51:57</t>
        </is>
      </c>
      <c r="E448" s="3" t="inlineStr">
        <is>
          <t>2026-07-04 13:24</t>
        </is>
      </c>
      <c r="F448" s="3" t="n">
        <v>10.1</v>
      </c>
      <c r="G448" s="3" t="n">
        <v>1</v>
      </c>
      <c r="H448" s="3" t="n"/>
      <c r="I448" s="3" t="inlineStr"/>
      <c r="J448" s="3" t="inlineStr">
        <is>
          <t>Keeta</t>
        </is>
      </c>
      <c r="K448" s="3" t="inlineStr">
        <is>
          <t>****9568</t>
        </is>
      </c>
      <c r="L448" s="3" t="n"/>
      <c r="M448" s="3" t="inlineStr">
        <is>
          <t>***** 物流中心5樓</t>
        </is>
      </c>
      <c r="N448" s="3" t="inlineStr">
        <is>
          <t>北区</t>
        </is>
      </c>
      <c r="O448" s="3" t="inlineStr">
        <is>
          <t>香港</t>
        </is>
      </c>
      <c r="P448" s="3" t="inlineStr">
        <is>
          <t>香港特别行政区</t>
        </is>
      </c>
      <c r="Q448" s="3" t="n">
        <v>452299</v>
      </c>
      <c r="R448" s="3" t="inlineStr">
        <is>
          <t>上水牡丹金閣酒家（點心燒味小炒王）</t>
        </is>
      </c>
      <c r="S448" s="3" t="inlineStr">
        <is>
          <t>****26390238</t>
        </is>
      </c>
      <c r="T448" s="3" t="inlineStr">
        <is>
          <t>****26390238</t>
        </is>
      </c>
      <c r="U448" s="3" t="inlineStr">
        <is>
          <t>***** 購物商場1樓</t>
        </is>
      </c>
      <c r="V448" s="3" t="inlineStr">
        <is>
          <t>香港</t>
        </is>
      </c>
      <c r="W448" s="3" t="inlineStr">
        <is>
          <t>无纺布【规格三中号】/ 箱出</t>
        </is>
      </c>
      <c r="X448" s="3" t="inlineStr">
        <is>
          <t>ESS-SFTS-OTMS</t>
        </is>
      </c>
      <c r="Y448" s="3" t="n"/>
      <c r="Z448" s="3" t="inlineStr"/>
      <c r="AA448" s="3" t="inlineStr">
        <is>
          <t>寄付月結</t>
        </is>
      </c>
      <c r="AB448">
        <f>IFERROR(VLOOKUP(Q448&amp;"",對照表!$A:$B,1,FALSE),"")</f>
        <v/>
      </c>
      <c r="AC448">
        <f>IFERROR(VLOOKUP(Q448&amp;"",對照表!$A:$B,2,FALSE),"")</f>
        <v/>
      </c>
    </row>
    <row r="449">
      <c r="A449" s="3" t="inlineStr">
        <is>
          <t>SF5116616189447</t>
        </is>
      </c>
      <c r="B449" s="3" t="n">
        <v>58424825741642</v>
      </c>
      <c r="C449" s="3" t="inlineStr">
        <is>
          <t>已簽收</t>
        </is>
      </c>
      <c r="D449" s="3" t="inlineStr">
        <is>
          <t>2026-07-03 12:20:18</t>
        </is>
      </c>
      <c r="E449" s="3" t="inlineStr">
        <is>
          <t>2026-07-04 10:14</t>
        </is>
      </c>
      <c r="F449" s="3" t="n">
        <v>46.4</v>
      </c>
      <c r="G449" s="3" t="n">
        <v>4</v>
      </c>
      <c r="H449" s="3" t="n"/>
      <c r="I449" s="3" t="inlineStr"/>
      <c r="J449" s="3" t="inlineStr">
        <is>
          <t>Keeta</t>
        </is>
      </c>
      <c r="K449" s="3" t="inlineStr">
        <is>
          <t>****9568</t>
        </is>
      </c>
      <c r="L449" s="3" t="n"/>
      <c r="M449" s="3" t="inlineStr">
        <is>
          <t>***** 物流中心5樓</t>
        </is>
      </c>
      <c r="N449" s="3" t="inlineStr">
        <is>
          <t>北区</t>
        </is>
      </c>
      <c r="O449" s="3" t="inlineStr">
        <is>
          <t>香港</t>
        </is>
      </c>
      <c r="P449" s="3" t="inlineStr">
        <is>
          <t>香港特别行政区</t>
        </is>
      </c>
      <c r="Q449" s="3" t="n">
        <v>721440382</v>
      </c>
      <c r="R449" s="3" t="inlineStr">
        <is>
          <t>杭州酒家</t>
        </is>
      </c>
      <c r="S449" s="3" t="inlineStr">
        <is>
          <t>****67302406</t>
        </is>
      </c>
      <c r="T449" s="3" t="inlineStr">
        <is>
          <t>****67302406</t>
        </is>
      </c>
      <c r="U449" s="3" t="inlineStr">
        <is>
          <t>***** 景光街13號</t>
        </is>
      </c>
      <c r="V449" s="3" t="inlineStr">
        <is>
          <t>香港</t>
        </is>
      </c>
      <c r="W449" s="3" t="inlineStr">
        <is>
          <t>无纺布【规格四大号】/ 箱出</t>
        </is>
      </c>
      <c r="X449" s="3" t="inlineStr">
        <is>
          <t>ESS-SFTS-OTMS</t>
        </is>
      </c>
      <c r="Y449" s="3" t="n"/>
      <c r="Z449" s="3" t="inlineStr"/>
      <c r="AA449" s="3" t="inlineStr">
        <is>
          <t>寄付月結</t>
        </is>
      </c>
      <c r="AB449">
        <f>IFERROR(VLOOKUP(Q449&amp;"",對照表!$A:$B,1,FALSE),"")</f>
        <v/>
      </c>
      <c r="AC449">
        <f>IFERROR(VLOOKUP(Q449&amp;"",對照表!$A:$B,2,FALSE),"")</f>
        <v/>
      </c>
    </row>
    <row r="450">
      <c r="A450" s="3" t="inlineStr">
        <is>
          <t>SF5116616189401</t>
        </is>
      </c>
      <c r="B450" s="3" t="n">
        <v>58424825741634</v>
      </c>
      <c r="C450" s="3" t="inlineStr">
        <is>
          <t>已簽收</t>
        </is>
      </c>
      <c r="D450" s="3" t="inlineStr">
        <is>
          <t>2026-07-03 13:45:05</t>
        </is>
      </c>
      <c r="E450" s="3" t="inlineStr">
        <is>
          <t>2026-07-04 11:57</t>
        </is>
      </c>
      <c r="F450" s="3" t="n">
        <v>23.2</v>
      </c>
      <c r="G450" s="3" t="n">
        <v>2</v>
      </c>
      <c r="H450" s="3" t="n"/>
      <c r="I450" s="3" t="inlineStr"/>
      <c r="J450" s="3" t="inlineStr">
        <is>
          <t>Keeta</t>
        </is>
      </c>
      <c r="K450" s="3" t="inlineStr">
        <is>
          <t>****9568</t>
        </is>
      </c>
      <c r="L450" s="3" t="n"/>
      <c r="M450" s="3" t="inlineStr">
        <is>
          <t>***** 物流中心5樓</t>
        </is>
      </c>
      <c r="N450" s="3" t="inlineStr">
        <is>
          <t>北区</t>
        </is>
      </c>
      <c r="O450" s="3" t="inlineStr">
        <is>
          <t>香港</t>
        </is>
      </c>
      <c r="P450" s="3" t="inlineStr">
        <is>
          <t>香港特别行政区</t>
        </is>
      </c>
      <c r="Q450" s="3" t="n">
        <v>721434379</v>
      </c>
      <c r="R450" s="3" t="inlineStr">
        <is>
          <t>回味湯飯專門店</t>
        </is>
      </c>
      <c r="S450" s="3" t="inlineStr">
        <is>
          <t>****62337112</t>
        </is>
      </c>
      <c r="T450" s="3" t="inlineStr">
        <is>
          <t>****62337112</t>
        </is>
      </c>
      <c r="U450" s="3" t="inlineStr">
        <is>
          <t>***** 大廈地下C鋪</t>
        </is>
      </c>
      <c r="V450" s="3" t="inlineStr">
        <is>
          <t>香港</t>
        </is>
      </c>
      <c r="W450" s="3" t="inlineStr">
        <is>
          <t>无纺布【规格四大号】/ 箱出</t>
        </is>
      </c>
      <c r="X450" s="3" t="inlineStr">
        <is>
          <t>ESS-SFTS-OTMS</t>
        </is>
      </c>
      <c r="Y450" s="3" t="n"/>
      <c r="Z450" s="3" t="inlineStr"/>
      <c r="AA450" s="3" t="inlineStr">
        <is>
          <t>寄付月結</t>
        </is>
      </c>
      <c r="AB450">
        <f>IFERROR(VLOOKUP(Q450&amp;"",對照表!$A:$B,1,FALSE),"")</f>
        <v/>
      </c>
      <c r="AC450">
        <f>IFERROR(VLOOKUP(Q450&amp;"",對照表!$A:$B,2,FALSE),"")</f>
        <v/>
      </c>
    </row>
    <row r="451">
      <c r="A451" s="3" t="inlineStr">
        <is>
          <t>SF5116616189314</t>
        </is>
      </c>
      <c r="B451" s="3" t="n">
        <v>58424825741614</v>
      </c>
      <c r="C451" s="3" t="inlineStr">
        <is>
          <t>已簽收</t>
        </is>
      </c>
      <c r="D451" s="3" t="inlineStr">
        <is>
          <t>2026-07-03 15:32:16</t>
        </is>
      </c>
      <c r="E451" s="3" t="inlineStr">
        <is>
          <t>2026-07-04 09:12</t>
        </is>
      </c>
      <c r="F451" s="3" t="n">
        <v>21.7</v>
      </c>
      <c r="G451" s="3" t="n">
        <v>2</v>
      </c>
      <c r="H451" s="3" t="n"/>
      <c r="I451" s="3" t="inlineStr"/>
      <c r="J451" s="3" t="inlineStr">
        <is>
          <t>Keeta</t>
        </is>
      </c>
      <c r="K451" s="3" t="inlineStr">
        <is>
          <t>****9568</t>
        </is>
      </c>
      <c r="L451" s="3" t="n"/>
      <c r="M451" s="3" t="inlineStr">
        <is>
          <t>***** 物流中心5樓</t>
        </is>
      </c>
      <c r="N451" s="3" t="inlineStr">
        <is>
          <t>北区</t>
        </is>
      </c>
      <c r="O451" s="3" t="inlineStr">
        <is>
          <t>香港</t>
        </is>
      </c>
      <c r="P451" s="3" t="inlineStr">
        <is>
          <t>香港特别行政区</t>
        </is>
      </c>
      <c r="Q451" s="3" t="n">
        <v>491153</v>
      </c>
      <c r="R451" s="3" t="inlineStr">
        <is>
          <t>碧士文Pigsman（西營盤）(有型便當)</t>
        </is>
      </c>
      <c r="S451" s="3" t="inlineStr">
        <is>
          <t>****62908886</t>
        </is>
      </c>
      <c r="T451" s="3" t="inlineStr">
        <is>
          <t>****62908886</t>
        </is>
      </c>
      <c r="U451" s="3" t="inlineStr">
        <is>
          <t>***** 1樓7號廚房</t>
        </is>
      </c>
      <c r="V451" s="3" t="inlineStr">
        <is>
          <t>香港</t>
        </is>
      </c>
      <c r="W451" s="3" t="inlineStr">
        <is>
          <t>无纺布【规格四大号】/ 箱出, 无纺布【规格三中号】/ 箱出</t>
        </is>
      </c>
      <c r="X451" s="3" t="inlineStr">
        <is>
          <t>ESS-SFTS-OTMS</t>
        </is>
      </c>
      <c r="Y451" s="3" t="n"/>
      <c r="Z451" s="3" t="inlineStr"/>
      <c r="AA451" s="3" t="inlineStr">
        <is>
          <t>寄付月結</t>
        </is>
      </c>
      <c r="AB451">
        <f>IFERROR(VLOOKUP(Q451&amp;"",對照表!$A:$B,1,FALSE),"")</f>
        <v/>
      </c>
      <c r="AC451">
        <f>IFERROR(VLOOKUP(Q451&amp;"",對照表!$A:$B,2,FALSE),"")</f>
        <v/>
      </c>
    </row>
    <row r="452">
      <c r="A452" s="3" t="inlineStr">
        <is>
          <t>SF5116616189438</t>
        </is>
      </c>
      <c r="B452" s="3" t="n">
        <v>58424825741640</v>
      </c>
      <c r="C452" s="3" t="inlineStr">
        <is>
          <t>已簽收</t>
        </is>
      </c>
      <c r="D452" s="3" t="inlineStr">
        <is>
          <t>2026-07-03 10:30:49</t>
        </is>
      </c>
      <c r="E452" s="3" t="inlineStr">
        <is>
          <t>2026-07-04 09:59</t>
        </is>
      </c>
      <c r="F452" s="3" t="n">
        <v>11.6</v>
      </c>
      <c r="G452" s="3" t="n">
        <v>1</v>
      </c>
      <c r="H452" s="3" t="n"/>
      <c r="I452" s="3" t="inlineStr"/>
      <c r="J452" s="3" t="inlineStr">
        <is>
          <t>Keeta</t>
        </is>
      </c>
      <c r="K452" s="3" t="inlineStr">
        <is>
          <t>****9568</t>
        </is>
      </c>
      <c r="L452" s="3" t="n"/>
      <c r="M452" s="3" t="inlineStr">
        <is>
          <t>***** 物流中心5樓</t>
        </is>
      </c>
      <c r="N452" s="3" t="inlineStr">
        <is>
          <t>北区</t>
        </is>
      </c>
      <c r="O452" s="3" t="inlineStr">
        <is>
          <t>香港</t>
        </is>
      </c>
      <c r="P452" s="3" t="inlineStr">
        <is>
          <t>香港特别行政区</t>
        </is>
      </c>
      <c r="Q452" s="3" t="n">
        <v>574300</v>
      </c>
      <c r="R452" s="3" t="inlineStr">
        <is>
          <t>燒扒屋SteakHouse</t>
        </is>
      </c>
      <c r="S452" s="3" t="inlineStr">
        <is>
          <t>****26669782</t>
        </is>
      </c>
      <c r="T452" s="3" t="inlineStr">
        <is>
          <t>****26669782</t>
        </is>
      </c>
      <c r="U452" s="3" t="inlineStr">
        <is>
          <t>***** 座地下5號舖</t>
        </is>
      </c>
      <c r="V452" s="3" t="inlineStr">
        <is>
          <t>香港</t>
        </is>
      </c>
      <c r="W452" s="3" t="inlineStr">
        <is>
          <t>无纺布【规格四大号】/ 箱出</t>
        </is>
      </c>
      <c r="X452" s="3" t="inlineStr">
        <is>
          <t>ESS-SFTS-OTMS</t>
        </is>
      </c>
      <c r="Y452" s="3" t="n"/>
      <c r="Z452" s="3" t="inlineStr"/>
      <c r="AA452" s="3" t="inlineStr">
        <is>
          <t>寄付月結</t>
        </is>
      </c>
      <c r="AB452">
        <f>IFERROR(VLOOKUP(Q452&amp;"",對照表!$A:$B,1,FALSE),"")</f>
        <v/>
      </c>
      <c r="AC452">
        <f>IFERROR(VLOOKUP(Q452&amp;"",對照表!$A:$B,2,FALSE),"")</f>
        <v/>
      </c>
    </row>
    <row r="453">
      <c r="A453" s="3" t="inlineStr">
        <is>
          <t>SF5116616531703</t>
        </is>
      </c>
      <c r="B453" s="3" t="n">
        <v>58424825741694</v>
      </c>
      <c r="C453" s="3" t="inlineStr">
        <is>
          <t>已簽收</t>
        </is>
      </c>
      <c r="D453" s="3" t="inlineStr">
        <is>
          <t>2026-07-03 10:50:45</t>
        </is>
      </c>
      <c r="E453" s="3" t="inlineStr">
        <is>
          <t>2026-07-04 09:17</t>
        </is>
      </c>
      <c r="F453" s="3" t="n">
        <v>4.6</v>
      </c>
      <c r="G453" s="3" t="n">
        <v>1</v>
      </c>
      <c r="H453" s="3" t="n"/>
      <c r="I453" s="3" t="inlineStr"/>
      <c r="J453" s="3" t="inlineStr">
        <is>
          <t>Keeta</t>
        </is>
      </c>
      <c r="K453" s="3" t="inlineStr">
        <is>
          <t>****9568</t>
        </is>
      </c>
      <c r="L453" s="3" t="n"/>
      <c r="M453" s="3" t="inlineStr">
        <is>
          <t>***** 物流中心5樓</t>
        </is>
      </c>
      <c r="N453" s="3" t="inlineStr">
        <is>
          <t>北区</t>
        </is>
      </c>
      <c r="O453" s="3" t="inlineStr">
        <is>
          <t>香港</t>
        </is>
      </c>
      <c r="P453" s="3" t="inlineStr">
        <is>
          <t>香港特别行政区</t>
        </is>
      </c>
      <c r="Q453" s="3" t="n">
        <v>721537367</v>
      </c>
      <c r="R453" s="3" t="inlineStr">
        <is>
          <t>一心餐廳</t>
        </is>
      </c>
      <c r="S453" s="3" t="inlineStr">
        <is>
          <t>****65707302</t>
        </is>
      </c>
      <c r="T453" s="3" t="inlineStr">
        <is>
          <t>****65707302</t>
        </is>
      </c>
      <c r="U453" s="3" t="inlineStr">
        <is>
          <t>***** 樓5-6號鋪</t>
        </is>
      </c>
      <c r="V453" s="3" t="inlineStr">
        <is>
          <t>香港</t>
        </is>
      </c>
      <c r="W453" s="3" t="inlineStr">
        <is>
          <t>塑料袋【大】/ 扎出</t>
        </is>
      </c>
      <c r="X453" s="3" t="inlineStr">
        <is>
          <t>ESS-SFTS-OTMS</t>
        </is>
      </c>
      <c r="Y453" s="3" t="n"/>
      <c r="Z453" s="3" t="inlineStr"/>
      <c r="AA453" s="3" t="inlineStr">
        <is>
          <t>寄付月結</t>
        </is>
      </c>
      <c r="AB453">
        <f>IFERROR(VLOOKUP(Q453&amp;"",對照表!$A:$B,1,FALSE),"")</f>
        <v/>
      </c>
      <c r="AC453">
        <f>IFERROR(VLOOKUP(Q453&amp;"",對照表!$A:$B,2,FALSE),"")</f>
        <v/>
      </c>
    </row>
    <row r="454">
      <c r="A454" s="3" t="inlineStr">
        <is>
          <t>SF5116616531749</t>
        </is>
      </c>
      <c r="B454" s="3" t="n">
        <v>58424825741703</v>
      </c>
      <c r="C454" s="3" t="inlineStr">
        <is>
          <t>已簽收</t>
        </is>
      </c>
      <c r="D454" s="3" t="inlineStr">
        <is>
          <t>2026-07-03 11:09:59</t>
        </is>
      </c>
      <c r="E454" s="3" t="inlineStr">
        <is>
          <t>2026-07-04 12:08</t>
        </is>
      </c>
      <c r="F454" s="3" t="n">
        <v>45</v>
      </c>
      <c r="G454" s="3" t="n">
        <v>3</v>
      </c>
      <c r="H454" s="3" t="n"/>
      <c r="I454" s="3" t="inlineStr"/>
      <c r="J454" s="3" t="inlineStr">
        <is>
          <t>Keeta</t>
        </is>
      </c>
      <c r="K454" s="3" t="inlineStr">
        <is>
          <t>****9568</t>
        </is>
      </c>
      <c r="L454" s="3" t="n"/>
      <c r="M454" s="3" t="inlineStr">
        <is>
          <t>***** 物流中心5樓</t>
        </is>
      </c>
      <c r="N454" s="3" t="inlineStr">
        <is>
          <t>北区</t>
        </is>
      </c>
      <c r="O454" s="3" t="inlineStr">
        <is>
          <t>香港</t>
        </is>
      </c>
      <c r="P454" s="3" t="inlineStr">
        <is>
          <t>香港特别行政区</t>
        </is>
      </c>
      <c r="Q454" s="3" t="n">
        <v>560145</v>
      </c>
      <c r="R454" s="3" t="inlineStr">
        <is>
          <t>十二味(將軍澳)</t>
        </is>
      </c>
      <c r="S454" s="3" t="inlineStr">
        <is>
          <t>****63661242</t>
        </is>
      </c>
      <c r="T454" s="3" t="inlineStr">
        <is>
          <t>****63661242</t>
        </is>
      </c>
      <c r="U454" s="3" t="inlineStr">
        <is>
          <t>***** 樓B15號舖</t>
        </is>
      </c>
      <c r="V454" s="3" t="inlineStr">
        <is>
          <t>香港</t>
        </is>
      </c>
      <c r="W454" s="3" t="inlineStr">
        <is>
          <t>纸袋【通版】/ 箱出</t>
        </is>
      </c>
      <c r="X454" s="3" t="inlineStr">
        <is>
          <t>ESS-SFTS-OTMS</t>
        </is>
      </c>
      <c r="Y454" s="3" t="n"/>
      <c r="Z454" s="3" t="inlineStr"/>
      <c r="AA454" s="3" t="inlineStr">
        <is>
          <t>寄付月結</t>
        </is>
      </c>
      <c r="AB454">
        <f>IFERROR(VLOOKUP(Q454&amp;"",對照表!$A:$B,1,FALSE),"")</f>
        <v/>
      </c>
      <c r="AC454">
        <f>IFERROR(VLOOKUP(Q454&amp;"",對照表!$A:$B,2,FALSE),"")</f>
        <v/>
      </c>
    </row>
    <row r="455">
      <c r="A455" s="3" t="inlineStr">
        <is>
          <t>SF5116616531689</t>
        </is>
      </c>
      <c r="B455" s="3" t="n">
        <v>58424825741691</v>
      </c>
      <c r="C455" s="3" t="inlineStr">
        <is>
          <t>已簽收</t>
        </is>
      </c>
      <c r="D455" s="3" t="inlineStr">
        <is>
          <t>2026-07-03 11:51:55</t>
        </is>
      </c>
      <c r="E455" s="3" t="inlineStr">
        <is>
          <t>2026-07-07 12:33</t>
        </is>
      </c>
      <c r="F455" s="3" t="n">
        <v>10.1</v>
      </c>
      <c r="G455" s="3" t="n">
        <v>1</v>
      </c>
      <c r="H455" s="3" t="n"/>
      <c r="I455" s="3" t="inlineStr"/>
      <c r="J455" s="3" t="inlineStr">
        <is>
          <t>Keeta</t>
        </is>
      </c>
      <c r="K455" s="3" t="inlineStr">
        <is>
          <t>****9568</t>
        </is>
      </c>
      <c r="L455" s="3" t="n"/>
      <c r="M455" s="3" t="inlineStr">
        <is>
          <t>***** 物流中心5樓</t>
        </is>
      </c>
      <c r="N455" s="3" t="inlineStr">
        <is>
          <t>北区</t>
        </is>
      </c>
      <c r="O455" s="3" t="inlineStr">
        <is>
          <t>香港</t>
        </is>
      </c>
      <c r="P455" s="3" t="inlineStr">
        <is>
          <t>香港特别行政区</t>
        </is>
      </c>
      <c r="Q455" s="3" t="n">
        <v>494592</v>
      </c>
      <c r="R455" s="3" t="inlineStr">
        <is>
          <t>葉味小食好好味(YIPSFOOD)</t>
        </is>
      </c>
      <c r="S455" s="3" t="inlineStr">
        <is>
          <t>****0318</t>
        </is>
      </c>
      <c r="T455" s="3" t="inlineStr">
        <is>
          <t>****0318</t>
        </is>
      </c>
      <c r="U455" s="3" t="inlineStr">
        <is>
          <t>***** 花园部份地下</t>
        </is>
      </c>
      <c r="V455" s="3" t="inlineStr">
        <is>
          <t>香港</t>
        </is>
      </c>
      <c r="W455" s="3" t="inlineStr">
        <is>
          <t>无纺布【规格三中号】/ 箱出</t>
        </is>
      </c>
      <c r="X455" s="3" t="inlineStr">
        <is>
          <t>ESS-SFTS-OTMS</t>
        </is>
      </c>
      <c r="Y455" s="3" t="n"/>
      <c r="Z455" s="3" t="inlineStr"/>
      <c r="AA455" s="3" t="inlineStr">
        <is>
          <t>寄付月結</t>
        </is>
      </c>
      <c r="AB455">
        <f>IFERROR(VLOOKUP(Q455&amp;"",對照表!$A:$B,1,FALSE),"")</f>
        <v/>
      </c>
      <c r="AC455">
        <f>IFERROR(VLOOKUP(Q455&amp;"",對照表!$A:$B,2,FALSE),"")</f>
        <v/>
      </c>
    </row>
    <row r="456">
      <c r="A456" s="3" t="inlineStr">
        <is>
          <t>SF5116616531776</t>
        </is>
      </c>
      <c r="B456" s="3" t="n">
        <v>58424825774083</v>
      </c>
      <c r="C456" s="3" t="inlineStr">
        <is>
          <t>已簽收</t>
        </is>
      </c>
      <c r="D456" s="3" t="inlineStr">
        <is>
          <t>2026-07-03 15:09:44</t>
        </is>
      </c>
      <c r="E456" s="3" t="inlineStr">
        <is>
          <t>2026-07-04 13:47</t>
        </is>
      </c>
      <c r="F456" s="3" t="n">
        <v>1.05</v>
      </c>
      <c r="G456" s="3" t="n">
        <v>2</v>
      </c>
      <c r="H456" s="3" t="n"/>
      <c r="I456" s="3" t="inlineStr"/>
      <c r="J456" s="3" t="inlineStr">
        <is>
          <t>Keeta</t>
        </is>
      </c>
      <c r="K456" s="3" t="inlineStr">
        <is>
          <t>****9568</t>
        </is>
      </c>
      <c r="L456" s="3" t="n"/>
      <c r="M456" s="3" t="inlineStr">
        <is>
          <t>***** 物流中心5樓</t>
        </is>
      </c>
      <c r="N456" s="3" t="inlineStr">
        <is>
          <t>北区</t>
        </is>
      </c>
      <c r="O456" s="3" t="inlineStr">
        <is>
          <t>香港</t>
        </is>
      </c>
      <c r="P456" s="3" t="inlineStr">
        <is>
          <t>香港特别行政区</t>
        </is>
      </c>
      <c r="Q456" s="3" t="n">
        <v>721528377</v>
      </c>
      <c r="R456" s="3" t="inlineStr">
        <is>
          <t>來泰巷泰地道風味區內名物隱世小店</t>
        </is>
      </c>
      <c r="S456" s="3" t="inlineStr">
        <is>
          <t>****61173168</t>
        </is>
      </c>
      <c r="T456" s="3" t="inlineStr">
        <is>
          <t>****61173168</t>
        </is>
      </c>
      <c r="U456" s="3" t="inlineStr">
        <is>
          <t>***** 號地下5號舖</t>
        </is>
      </c>
      <c r="V456" s="3" t="inlineStr">
        <is>
          <t>香港</t>
        </is>
      </c>
      <c r="W456" s="3" t="inlineStr">
        <is>
          <t>塑料袋【大】/ 扎出, 塑料袋【小】/ 扎出</t>
        </is>
      </c>
      <c r="X456" s="3" t="inlineStr">
        <is>
          <t>ESS-SFTS-OTMS</t>
        </is>
      </c>
      <c r="Y456" s="3" t="n"/>
      <c r="Z456" s="3" t="inlineStr"/>
      <c r="AA456" s="3" t="inlineStr">
        <is>
          <t>寄付月結</t>
        </is>
      </c>
      <c r="AB456">
        <f>IFERROR(VLOOKUP(Q456&amp;"",對照表!$A:$B,1,FALSE),"")</f>
        <v/>
      </c>
      <c r="AC456">
        <f>IFERROR(VLOOKUP(Q456&amp;"",對照表!$A:$B,2,FALSE),"")</f>
        <v/>
      </c>
    </row>
    <row r="457">
      <c r="A457" s="3" t="inlineStr">
        <is>
          <t>SF5116616189614</t>
        </is>
      </c>
      <c r="B457" s="3" t="n">
        <v>58424825741680</v>
      </c>
      <c r="C457" s="3" t="inlineStr">
        <is>
          <t>已簽收</t>
        </is>
      </c>
      <c r="D457" s="3" t="inlineStr">
        <is>
          <t>2026-07-03 14:33:37</t>
        </is>
      </c>
      <c r="E457" s="3" t="inlineStr">
        <is>
          <t>2026-07-04 13:25</t>
        </is>
      </c>
      <c r="F457" s="3" t="n">
        <v>15</v>
      </c>
      <c r="G457" s="3" t="n">
        <v>2</v>
      </c>
      <c r="H457" s="3" t="n"/>
      <c r="I457" s="3" t="inlineStr"/>
      <c r="J457" s="3" t="inlineStr">
        <is>
          <t>Keeta</t>
        </is>
      </c>
      <c r="K457" s="3" t="inlineStr">
        <is>
          <t>****9568</t>
        </is>
      </c>
      <c r="L457" s="3" t="n"/>
      <c r="M457" s="3" t="inlineStr">
        <is>
          <t>***** 物流中心5樓</t>
        </is>
      </c>
      <c r="N457" s="3" t="inlineStr">
        <is>
          <t>北区</t>
        </is>
      </c>
      <c r="O457" s="3" t="inlineStr">
        <is>
          <t>香港</t>
        </is>
      </c>
      <c r="P457" s="3" t="inlineStr">
        <is>
          <t>香港特别行政区</t>
        </is>
      </c>
      <c r="Q457" s="3" t="n">
        <v>462158</v>
      </c>
      <c r="R457" s="3" t="inlineStr">
        <is>
          <t>M2MammaMia意粉速遞（天水圍）</t>
        </is>
      </c>
      <c r="S457" s="3" t="inlineStr">
        <is>
          <t>****28136689</t>
        </is>
      </c>
      <c r="T457" s="3" t="inlineStr">
        <is>
          <t>****28136689</t>
        </is>
      </c>
      <c r="U457" s="3" t="inlineStr">
        <is>
          <t>***** 2樓53號舖</t>
        </is>
      </c>
      <c r="V457" s="3" t="inlineStr">
        <is>
          <t>香港</t>
        </is>
      </c>
      <c r="W457" s="3" t="inlineStr">
        <is>
          <t>无纺布【规格二双杯】/ 箱出</t>
        </is>
      </c>
      <c r="X457" s="3" t="inlineStr">
        <is>
          <t>ESS-SFTS-OTMS</t>
        </is>
      </c>
      <c r="Y457" s="3" t="n"/>
      <c r="Z457" s="3" t="inlineStr"/>
      <c r="AA457" s="3" t="inlineStr">
        <is>
          <t>寄付月結</t>
        </is>
      </c>
      <c r="AB457">
        <f>IFERROR(VLOOKUP(Q457&amp;"",對照表!$A:$B,1,FALSE),"")</f>
        <v/>
      </c>
      <c r="AC457">
        <f>IFERROR(VLOOKUP(Q457&amp;"",對照表!$A:$B,2,FALSE),"")</f>
        <v/>
      </c>
    </row>
    <row r="458">
      <c r="A458" s="3" t="inlineStr">
        <is>
          <t>SF5116616189396</t>
        </is>
      </c>
      <c r="B458" s="3" t="n">
        <v>58424825741632</v>
      </c>
      <c r="C458" s="3" t="inlineStr">
        <is>
          <t>已簽收</t>
        </is>
      </c>
      <c r="D458" s="3" t="inlineStr">
        <is>
          <t>2026-07-03 11:45:36</t>
        </is>
      </c>
      <c r="E458" s="3" t="inlineStr">
        <is>
          <t>2026-07-04 12:11</t>
        </is>
      </c>
      <c r="F458" s="3" t="n">
        <v>11.9</v>
      </c>
      <c r="G458" s="3" t="n">
        <v>1</v>
      </c>
      <c r="H458" s="3" t="n"/>
      <c r="I458" s="3" t="inlineStr"/>
      <c r="J458" s="3" t="inlineStr">
        <is>
          <t>Keeta</t>
        </is>
      </c>
      <c r="K458" s="3" t="inlineStr">
        <is>
          <t>****9568</t>
        </is>
      </c>
      <c r="L458" s="3" t="n"/>
      <c r="M458" s="3" t="inlineStr">
        <is>
          <t>***** 物流中心5樓</t>
        </is>
      </c>
      <c r="N458" s="3" t="inlineStr">
        <is>
          <t>北区</t>
        </is>
      </c>
      <c r="O458" s="3" t="inlineStr">
        <is>
          <t>香港</t>
        </is>
      </c>
      <c r="P458" s="3" t="inlineStr">
        <is>
          <t>香港特别行政区</t>
        </is>
      </c>
      <c r="Q458" s="3" t="n">
        <v>602868</v>
      </c>
      <c r="R458" s="3" t="inlineStr">
        <is>
          <t>PizzaExpressPizzaPasta(將軍澳中心)</t>
        </is>
      </c>
      <c r="S458" s="3" t="inlineStr">
        <is>
          <t>****31641336</t>
        </is>
      </c>
      <c r="T458" s="3" t="inlineStr">
        <is>
          <t>****31641336</t>
        </is>
      </c>
      <c r="U458" s="3" t="inlineStr">
        <is>
          <t>***** B03B號舖</t>
        </is>
      </c>
      <c r="V458" s="3" t="inlineStr">
        <is>
          <t>香港</t>
        </is>
      </c>
      <c r="W458" s="3" t="inlineStr">
        <is>
          <t>无纺布【Preminum黑】/ 箱出</t>
        </is>
      </c>
      <c r="X458" s="3" t="inlineStr">
        <is>
          <t>ESS-SFTS-OTMS</t>
        </is>
      </c>
      <c r="Y458" s="3" t="n"/>
      <c r="Z458" s="3" t="inlineStr"/>
      <c r="AA458" s="3" t="inlineStr">
        <is>
          <t>寄付月結</t>
        </is>
      </c>
      <c r="AB458">
        <f>IFERROR(VLOOKUP(Q458&amp;"",對照表!$A:$B,1,FALSE),"")</f>
        <v/>
      </c>
      <c r="AC458">
        <f>IFERROR(VLOOKUP(Q458&amp;"",對照表!$A:$B,2,FALSE),"")</f>
        <v/>
      </c>
    </row>
    <row r="459">
      <c r="A459" s="3" t="inlineStr">
        <is>
          <t>SF5116616189623</t>
        </is>
      </c>
      <c r="B459" s="3" t="n">
        <v>58424825741682</v>
      </c>
      <c r="C459" s="3" t="inlineStr">
        <is>
          <t>已簽收</t>
        </is>
      </c>
      <c r="D459" s="3" t="inlineStr">
        <is>
          <t>2026-07-03 11:09:56</t>
        </is>
      </c>
      <c r="E459" s="3" t="inlineStr">
        <is>
          <t>2026-07-04 13:15</t>
        </is>
      </c>
      <c r="F459" s="3" t="n">
        <v>45</v>
      </c>
      <c r="G459" s="3" t="n">
        <v>3</v>
      </c>
      <c r="H459" s="3" t="n"/>
      <c r="I459" s="3" t="inlineStr"/>
      <c r="J459" s="3" t="inlineStr">
        <is>
          <t>Keeta</t>
        </is>
      </c>
      <c r="K459" s="3" t="inlineStr">
        <is>
          <t>****9568</t>
        </is>
      </c>
      <c r="L459" s="3" t="n"/>
      <c r="M459" s="3" t="inlineStr">
        <is>
          <t>***** 物流中心5樓</t>
        </is>
      </c>
      <c r="N459" s="3" t="inlineStr">
        <is>
          <t>北区</t>
        </is>
      </c>
      <c r="O459" s="3" t="inlineStr">
        <is>
          <t>香港</t>
        </is>
      </c>
      <c r="P459" s="3" t="inlineStr">
        <is>
          <t>香港特别行政区</t>
        </is>
      </c>
      <c r="Q459" s="3" t="n">
        <v>495087</v>
      </c>
      <c r="R459" s="3" t="inlineStr">
        <is>
          <t>十二味(奧海城二期)</t>
        </is>
      </c>
      <c r="S459" s="3" t="inlineStr">
        <is>
          <t>****51219526</t>
        </is>
      </c>
      <c r="T459" s="3" t="inlineStr">
        <is>
          <t>****51219526</t>
        </is>
      </c>
      <c r="U459" s="3" t="inlineStr">
        <is>
          <t>***** 146B號舖</t>
        </is>
      </c>
      <c r="V459" s="3" t="inlineStr">
        <is>
          <t>香港</t>
        </is>
      </c>
      <c r="W459" s="3" t="inlineStr">
        <is>
          <t>纸袋【通版】/ 箱出</t>
        </is>
      </c>
      <c r="X459" s="3" t="inlineStr">
        <is>
          <t>ESS-SFTS-OTMS</t>
        </is>
      </c>
      <c r="Y459" s="3" t="n"/>
      <c r="Z459" s="3" t="inlineStr"/>
      <c r="AA459" s="3" t="inlineStr">
        <is>
          <t>寄付月結</t>
        </is>
      </c>
      <c r="AB459">
        <f>IFERROR(VLOOKUP(Q459&amp;"",對照表!$A:$B,1,FALSE),"")</f>
        <v/>
      </c>
      <c r="AC459">
        <f>IFERROR(VLOOKUP(Q459&amp;"",對照表!$A:$B,2,FALSE),"")</f>
        <v/>
      </c>
    </row>
    <row r="460">
      <c r="A460" s="3" t="inlineStr">
        <is>
          <t>SF5116616189508</t>
        </is>
      </c>
      <c r="B460" s="3" t="n">
        <v>58424825741655</v>
      </c>
      <c r="C460" s="3" t="inlineStr">
        <is>
          <t>已簽收</t>
        </is>
      </c>
      <c r="D460" s="3" t="inlineStr">
        <is>
          <t>2026-07-03 16:44:35</t>
        </is>
      </c>
      <c r="E460" s="3" t="inlineStr">
        <is>
          <t>2026-07-04 12:37</t>
        </is>
      </c>
      <c r="F460" s="3" t="n">
        <v>23.68</v>
      </c>
      <c r="G460" s="3" t="n">
        <v>2</v>
      </c>
      <c r="H460" s="3" t="n"/>
      <c r="I460" s="3" t="inlineStr"/>
      <c r="J460" s="3" t="inlineStr">
        <is>
          <t>Keeta</t>
        </is>
      </c>
      <c r="K460" s="3" t="inlineStr">
        <is>
          <t>****9568</t>
        </is>
      </c>
      <c r="L460" s="3" t="n"/>
      <c r="M460" s="3" t="inlineStr">
        <is>
          <t>***** 物流中心5樓</t>
        </is>
      </c>
      <c r="N460" s="3" t="inlineStr">
        <is>
          <t>北区</t>
        </is>
      </c>
      <c r="O460" s="3" t="inlineStr">
        <is>
          <t>香港</t>
        </is>
      </c>
      <c r="P460" s="3" t="inlineStr">
        <is>
          <t>香港特别行政区</t>
        </is>
      </c>
      <c r="Q460" s="3" t="n">
        <v>721532381</v>
      </c>
      <c r="R460" s="3" t="inlineStr">
        <is>
          <t>FlatIronSteak(IFC)</t>
        </is>
      </c>
      <c r="S460" s="3" t="inlineStr">
        <is>
          <t>****65820350</t>
        </is>
      </c>
      <c r="T460" s="3" t="inlineStr">
        <is>
          <t>****65820350</t>
        </is>
      </c>
      <c r="U460" s="3" t="inlineStr">
        <is>
          <t>***** 4010號舖</t>
        </is>
      </c>
      <c r="V460" s="3" t="inlineStr">
        <is>
          <t>香港</t>
        </is>
      </c>
      <c r="W460" s="3" t="inlineStr">
        <is>
          <t>无纺布【Preminum黑】/ 箱出, 纸袋【Preminum黑】/ 箱出</t>
        </is>
      </c>
      <c r="X460" s="3" t="inlineStr">
        <is>
          <t>ESS-SFTS-OTMS</t>
        </is>
      </c>
      <c r="Y460" s="3" t="n"/>
      <c r="Z460" s="3" t="inlineStr"/>
      <c r="AA460" s="3" t="inlineStr">
        <is>
          <t>寄付月結</t>
        </is>
      </c>
      <c r="AB460">
        <f>IFERROR(VLOOKUP(Q460&amp;"",對照表!$A:$B,1,FALSE),"")</f>
        <v/>
      </c>
      <c r="AC460">
        <f>IFERROR(VLOOKUP(Q460&amp;"",對照表!$A:$B,2,FALSE),"")</f>
        <v/>
      </c>
    </row>
    <row r="461">
      <c r="A461" s="3" t="inlineStr">
        <is>
          <t>SF5116616189632</t>
        </is>
      </c>
      <c r="B461" s="3" t="n">
        <v>58424825741684</v>
      </c>
      <c r="C461" s="3" t="inlineStr">
        <is>
          <t>已簽收</t>
        </is>
      </c>
      <c r="D461" s="3" t="inlineStr">
        <is>
          <t>2026-07-03 10:30:53</t>
        </is>
      </c>
      <c r="E461" s="3" t="inlineStr">
        <is>
          <t>2026-07-04 15:53</t>
        </is>
      </c>
      <c r="F461" s="3" t="n">
        <v>11.6</v>
      </c>
      <c r="G461" s="3" t="n">
        <v>1</v>
      </c>
      <c r="H461" s="3" t="n"/>
      <c r="I461" s="3" t="inlineStr"/>
      <c r="J461" s="3" t="inlineStr">
        <is>
          <t>Keeta</t>
        </is>
      </c>
      <c r="K461" s="3" t="inlineStr">
        <is>
          <t>****9568</t>
        </is>
      </c>
      <c r="L461" s="3" t="n"/>
      <c r="M461" s="3" t="inlineStr">
        <is>
          <t>***** 物流中心5樓</t>
        </is>
      </c>
      <c r="N461" s="3" t="inlineStr">
        <is>
          <t>北区</t>
        </is>
      </c>
      <c r="O461" s="3" t="inlineStr">
        <is>
          <t>香港</t>
        </is>
      </c>
      <c r="P461" s="3" t="inlineStr">
        <is>
          <t>香港特别行政区</t>
        </is>
      </c>
      <c r="Q461" s="3" t="n">
        <v>610404</v>
      </c>
      <c r="R461" s="3" t="inlineStr">
        <is>
          <t>ChillSweet俏甜甜品超人氣糖水外脆內軟雞蛋仔（觀塘）</t>
        </is>
      </c>
      <c r="S461" s="3" t="inlineStr">
        <is>
          <t>****62993062</t>
        </is>
      </c>
      <c r="T461" s="3" t="inlineStr">
        <is>
          <t>****62993062</t>
        </is>
      </c>
      <c r="U461" s="3" t="inlineStr">
        <is>
          <t>***** 地下24號舖</t>
        </is>
      </c>
      <c r="V461" s="3" t="inlineStr">
        <is>
          <t>香港</t>
        </is>
      </c>
      <c r="W461" s="3" t="inlineStr">
        <is>
          <t>无纺布【规格四大号】/ 箱出</t>
        </is>
      </c>
      <c r="X461" s="3" t="inlineStr">
        <is>
          <t>ESS-SFTS-OTMS</t>
        </is>
      </c>
      <c r="Y461" s="3" t="n"/>
      <c r="Z461" s="3" t="inlineStr"/>
      <c r="AA461" s="3" t="inlineStr">
        <is>
          <t>寄付月結</t>
        </is>
      </c>
      <c r="AB461">
        <f>IFERROR(VLOOKUP(Q461&amp;"",對照表!$A:$B,1,FALSE),"")</f>
        <v/>
      </c>
      <c r="AC461">
        <f>IFERROR(VLOOKUP(Q461&amp;"",對照表!$A:$B,2,FALSE),"")</f>
        <v/>
      </c>
    </row>
    <row r="462">
      <c r="A462" s="3" t="inlineStr">
        <is>
          <t>SF5116616189217</t>
        </is>
      </c>
      <c r="B462" s="3" t="n">
        <v>58424825741592</v>
      </c>
      <c r="C462" s="3" t="inlineStr">
        <is>
          <t>已簽收</t>
        </is>
      </c>
      <c r="D462" s="3" t="inlineStr">
        <is>
          <t>2026-07-03 10:30:49</t>
        </is>
      </c>
      <c r="E462" s="3" t="inlineStr">
        <is>
          <t>2026-07-04 13:52</t>
        </is>
      </c>
      <c r="F462" s="3" t="n">
        <v>11.6</v>
      </c>
      <c r="G462" s="3" t="n">
        <v>1</v>
      </c>
      <c r="H462" s="3" t="n"/>
      <c r="I462" s="3" t="inlineStr"/>
      <c r="J462" s="3" t="inlineStr">
        <is>
          <t>Keeta</t>
        </is>
      </c>
      <c r="K462" s="3" t="inlineStr">
        <is>
          <t>****9568</t>
        </is>
      </c>
      <c r="L462" s="3" t="n"/>
      <c r="M462" s="3" t="inlineStr">
        <is>
          <t>***** 物流中心5樓</t>
        </is>
      </c>
      <c r="N462" s="3" t="inlineStr">
        <is>
          <t>北区</t>
        </is>
      </c>
      <c r="O462" s="3" t="inlineStr">
        <is>
          <t>香港</t>
        </is>
      </c>
      <c r="P462" s="3" t="inlineStr">
        <is>
          <t>香港特别行政区</t>
        </is>
      </c>
      <c r="Q462" s="3" t="n">
        <v>487883</v>
      </c>
      <c r="R462" s="3" t="inlineStr">
        <is>
          <t>象茶(紅磡)EleTea</t>
        </is>
      </c>
      <c r="S462" s="3" t="inlineStr">
        <is>
          <t>****60609629</t>
        </is>
      </c>
      <c r="T462" s="3" t="inlineStr">
        <is>
          <t>****60609629</t>
        </is>
      </c>
      <c r="U462" s="3" t="inlineStr">
        <is>
          <t>***** 廈地下4號舖</t>
        </is>
      </c>
      <c r="V462" s="3" t="inlineStr">
        <is>
          <t>香港</t>
        </is>
      </c>
      <c r="W462" s="3" t="inlineStr">
        <is>
          <t>无纺布【规格四大号】/ 箱出</t>
        </is>
      </c>
      <c r="X462" s="3" t="inlineStr">
        <is>
          <t>ESS-SFTS-OTMS</t>
        </is>
      </c>
      <c r="Y462" s="3" t="n"/>
      <c r="Z462" s="3" t="inlineStr"/>
      <c r="AA462" s="3" t="inlineStr">
        <is>
          <t>寄付月結</t>
        </is>
      </c>
      <c r="AB462">
        <f>IFERROR(VLOOKUP(Q462&amp;"",對照表!$A:$B,1,FALSE),"")</f>
        <v/>
      </c>
      <c r="AC462">
        <f>IFERROR(VLOOKUP(Q462&amp;"",對照表!$A:$B,2,FALSE),"")</f>
        <v/>
      </c>
    </row>
    <row r="463">
      <c r="A463" s="3" t="inlineStr">
        <is>
          <t>SF5116616189387</t>
        </is>
      </c>
      <c r="B463" s="3" t="n">
        <v>58424825741631</v>
      </c>
      <c r="C463" s="3" t="inlineStr">
        <is>
          <t>已簽收</t>
        </is>
      </c>
      <c r="D463" s="3" t="inlineStr">
        <is>
          <t>2026-07-03 10:47:13</t>
        </is>
      </c>
      <c r="E463" s="3" t="inlineStr">
        <is>
          <t>2026-07-04 16:56</t>
        </is>
      </c>
      <c r="F463" s="3" t="n">
        <v>3.67</v>
      </c>
      <c r="G463" s="3" t="n">
        <v>1</v>
      </c>
      <c r="H463" s="3" t="n"/>
      <c r="I463" s="3" t="inlineStr"/>
      <c r="J463" s="3" t="inlineStr">
        <is>
          <t>Keeta</t>
        </is>
      </c>
      <c r="K463" s="3" t="inlineStr">
        <is>
          <t>****9568</t>
        </is>
      </c>
      <c r="L463" s="3" t="n"/>
      <c r="M463" s="3" t="inlineStr">
        <is>
          <t>***** 物流中心5樓</t>
        </is>
      </c>
      <c r="N463" s="3" t="inlineStr">
        <is>
          <t>北区</t>
        </is>
      </c>
      <c r="O463" s="3" t="inlineStr">
        <is>
          <t>香港</t>
        </is>
      </c>
      <c r="P463" s="3" t="inlineStr">
        <is>
          <t>香港特别行政区</t>
        </is>
      </c>
      <c r="Q463" s="3" t="n">
        <v>721527382</v>
      </c>
      <c r="R463" s="3" t="inlineStr">
        <is>
          <t>源興燒鵝（葵涌分店）</t>
        </is>
      </c>
      <c r="S463" s="3" t="inlineStr">
        <is>
          <t>****54903245</t>
        </is>
      </c>
      <c r="T463" s="3" t="inlineStr">
        <is>
          <t>****54903245</t>
        </is>
      </c>
      <c r="U463" s="3" t="inlineStr">
        <is>
          <t>***** 昌年大廈地下</t>
        </is>
      </c>
      <c r="V463" s="3" t="inlineStr">
        <is>
          <t>香港</t>
        </is>
      </c>
      <c r="W463" s="3" t="inlineStr">
        <is>
          <t>塑料袋【大】/ 扎出</t>
        </is>
      </c>
      <c r="X463" s="3" t="inlineStr">
        <is>
          <t>ESS-SFTS-OTMS</t>
        </is>
      </c>
      <c r="Y463" s="3" t="n"/>
      <c r="Z463" s="3" t="inlineStr"/>
      <c r="AA463" s="3" t="inlineStr">
        <is>
          <t>寄付月結</t>
        </is>
      </c>
      <c r="AB463">
        <f>IFERROR(VLOOKUP(Q463&amp;"",對照表!$A:$B,1,FALSE),"")</f>
        <v/>
      </c>
      <c r="AC463">
        <f>IFERROR(VLOOKUP(Q463&amp;"",對照表!$A:$B,2,FALSE),"")</f>
        <v/>
      </c>
    </row>
    <row r="464">
      <c r="A464" s="3" t="inlineStr">
        <is>
          <t>SF5116616531670</t>
        </is>
      </c>
      <c r="B464" s="3" t="n">
        <v>58424825741686</v>
      </c>
      <c r="C464" s="3" t="inlineStr">
        <is>
          <t>已簽收</t>
        </is>
      </c>
      <c r="D464" s="3" t="inlineStr">
        <is>
          <t>2026-07-03 15:32:13</t>
        </is>
      </c>
      <c r="E464" s="3" t="inlineStr">
        <is>
          <t>2026-07-04 13:35</t>
        </is>
      </c>
      <c r="F464" s="3" t="n">
        <v>21.7</v>
      </c>
      <c r="G464" s="3" t="n">
        <v>2</v>
      </c>
      <c r="H464" s="3" t="n"/>
      <c r="I464" s="3" t="inlineStr"/>
      <c r="J464" s="3" t="inlineStr">
        <is>
          <t>Keeta</t>
        </is>
      </c>
      <c r="K464" s="3" t="inlineStr">
        <is>
          <t>****9568</t>
        </is>
      </c>
      <c r="L464" s="3" t="n"/>
      <c r="M464" s="3" t="inlineStr">
        <is>
          <t>***** 物流中心5樓</t>
        </is>
      </c>
      <c r="N464" s="3" t="inlineStr">
        <is>
          <t>北区</t>
        </is>
      </c>
      <c r="O464" s="3" t="inlineStr">
        <is>
          <t>香港</t>
        </is>
      </c>
      <c r="P464" s="3" t="inlineStr">
        <is>
          <t>香港特别行政区</t>
        </is>
      </c>
      <c r="Q464" s="3" t="n">
        <v>561141</v>
      </c>
      <c r="R464" s="3" t="inlineStr">
        <is>
          <t>古琴雅苑師承年老店北京填鴨傳統淮揚菜灣仔</t>
        </is>
      </c>
      <c r="S464" s="3" t="inlineStr">
        <is>
          <t>****69931025</t>
        </is>
      </c>
      <c r="T464" s="3" t="inlineStr">
        <is>
          <t>****69931025</t>
        </is>
      </c>
      <c r="U464" s="3" t="inlineStr">
        <is>
          <t>***** za 19樓</t>
        </is>
      </c>
      <c r="V464" s="3" t="inlineStr">
        <is>
          <t>香港</t>
        </is>
      </c>
      <c r="W464" s="3" t="inlineStr">
        <is>
          <t>无纺布【规格三中号】/ 箱出, 无纺布【规格四大号】/ 箱出</t>
        </is>
      </c>
      <c r="X464" s="3" t="inlineStr">
        <is>
          <t>ESS-SFTS-OTMS</t>
        </is>
      </c>
      <c r="Y464" s="3" t="n"/>
      <c r="Z464" s="3" t="inlineStr"/>
      <c r="AA464" s="3" t="inlineStr">
        <is>
          <t>寄付月結</t>
        </is>
      </c>
      <c r="AB464">
        <f>IFERROR(VLOOKUP(Q464&amp;"",對照表!$A:$B,1,FALSE),"")</f>
        <v/>
      </c>
      <c r="AC464">
        <f>IFERROR(VLOOKUP(Q464&amp;"",對照表!$A:$B,2,FALSE),"")</f>
        <v/>
      </c>
    </row>
    <row r="465">
      <c r="A465" s="3" t="inlineStr">
        <is>
          <t>SF5116616531730</t>
        </is>
      </c>
      <c r="B465" s="3" t="n">
        <v>58424825741700</v>
      </c>
      <c r="C465" s="3" t="inlineStr">
        <is>
          <t>已簽收</t>
        </is>
      </c>
      <c r="D465" s="3" t="inlineStr">
        <is>
          <t>2026-07-03 13:45:02</t>
        </is>
      </c>
      <c r="E465" s="3" t="inlineStr">
        <is>
          <t>2026-07-04 10:21</t>
        </is>
      </c>
      <c r="F465" s="3" t="n">
        <v>23.2</v>
      </c>
      <c r="G465" s="3" t="n">
        <v>2</v>
      </c>
      <c r="H465" s="3" t="n"/>
      <c r="I465" s="3" t="inlineStr"/>
      <c r="J465" s="3" t="inlineStr">
        <is>
          <t>Keeta</t>
        </is>
      </c>
      <c r="K465" s="3" t="inlineStr">
        <is>
          <t>****9568</t>
        </is>
      </c>
      <c r="L465" s="3" t="n"/>
      <c r="M465" s="3" t="inlineStr">
        <is>
          <t>***** 物流中心5樓</t>
        </is>
      </c>
      <c r="N465" s="3" t="inlineStr">
        <is>
          <t>北区</t>
        </is>
      </c>
      <c r="O465" s="3" t="inlineStr">
        <is>
          <t>香港</t>
        </is>
      </c>
      <c r="P465" s="3" t="inlineStr">
        <is>
          <t>香港特别行政区</t>
        </is>
      </c>
      <c r="Q465" s="3" t="n">
        <v>721516370</v>
      </c>
      <c r="R465" s="3" t="inlineStr">
        <is>
          <t>笑口祖</t>
        </is>
      </c>
      <c r="S465" s="3" t="inlineStr">
        <is>
          <t>****96812167</t>
        </is>
      </c>
      <c r="T465" s="3" t="inlineStr">
        <is>
          <t>****96812167</t>
        </is>
      </c>
      <c r="U465" s="3" t="inlineStr">
        <is>
          <t>***** F 27號舖</t>
        </is>
      </c>
      <c r="V465" s="3" t="inlineStr">
        <is>
          <t>香港</t>
        </is>
      </c>
      <c r="W465" s="3" t="inlineStr">
        <is>
          <t>无纺布【规格四大号】/ 箱出</t>
        </is>
      </c>
      <c r="X465" s="3" t="inlineStr">
        <is>
          <t>ESS-SFTS-OTMS</t>
        </is>
      </c>
      <c r="Y465" s="3" t="n"/>
      <c r="Z465" s="3" t="inlineStr"/>
      <c r="AA465" s="3" t="inlineStr">
        <is>
          <t>寄付月結</t>
        </is>
      </c>
      <c r="AB465">
        <f>IFERROR(VLOOKUP(Q465&amp;"",對照表!$A:$B,1,FALSE),"")</f>
        <v/>
      </c>
      <c r="AC465">
        <f>IFERROR(VLOOKUP(Q465&amp;"",對照表!$A:$B,2,FALSE),"")</f>
        <v/>
      </c>
    </row>
    <row r="466">
      <c r="A466" s="3" t="inlineStr">
        <is>
          <t>SF5116616531794</t>
        </is>
      </c>
      <c r="B466" s="3" t="n">
        <v>58424825774086</v>
      </c>
      <c r="C466" s="3" t="inlineStr">
        <is>
          <t>已簽收</t>
        </is>
      </c>
      <c r="D466" s="3" t="inlineStr">
        <is>
          <t>2026-07-03 10:30:51</t>
        </is>
      </c>
      <c r="E466" s="3" t="inlineStr">
        <is>
          <t>2026-07-04 14:19</t>
        </is>
      </c>
      <c r="F466" s="3" t="n">
        <v>11.6</v>
      </c>
      <c r="G466" s="3" t="n">
        <v>1</v>
      </c>
      <c r="H466" s="3" t="n"/>
      <c r="I466" s="3" t="inlineStr"/>
      <c r="J466" s="3" t="inlineStr">
        <is>
          <t>Keeta</t>
        </is>
      </c>
      <c r="K466" s="3" t="inlineStr">
        <is>
          <t>****9568</t>
        </is>
      </c>
      <c r="L466" s="3" t="n"/>
      <c r="M466" s="3" t="inlineStr">
        <is>
          <t>***** 物流中心5樓</t>
        </is>
      </c>
      <c r="N466" s="3" t="inlineStr">
        <is>
          <t>北区</t>
        </is>
      </c>
      <c r="O466" s="3" t="inlineStr">
        <is>
          <t>香港</t>
        </is>
      </c>
      <c r="P466" s="3" t="inlineStr">
        <is>
          <t>香港特别行政区</t>
        </is>
      </c>
      <c r="Q466" s="3" t="n">
        <v>491374</v>
      </c>
      <c r="R466" s="3" t="inlineStr">
        <is>
          <t>裕發小廚經典之選人氣港式小廚</t>
        </is>
      </c>
      <c r="S466" s="3" t="inlineStr">
        <is>
          <t>****26402974</t>
        </is>
      </c>
      <c r="T466" s="3" t="inlineStr">
        <is>
          <t>****26402974</t>
        </is>
      </c>
      <c r="U466" s="3" t="inlineStr">
        <is>
          <t>***** 3-24號舖</t>
        </is>
      </c>
      <c r="V466" s="3" t="inlineStr">
        <is>
          <t>香港</t>
        </is>
      </c>
      <c r="W466" s="3" t="inlineStr">
        <is>
          <t>无纺布【规格四大号】/ 箱出</t>
        </is>
      </c>
      <c r="X466" s="3" t="inlineStr">
        <is>
          <t>ESS-SFTS-OTMS</t>
        </is>
      </c>
      <c r="Y466" s="3" t="n"/>
      <c r="Z466" s="3" t="inlineStr"/>
      <c r="AA466" s="3" t="inlineStr">
        <is>
          <t>寄付月結</t>
        </is>
      </c>
      <c r="AB466">
        <f>IFERROR(VLOOKUP(Q466&amp;"",對照表!$A:$B,1,FALSE),"")</f>
        <v/>
      </c>
      <c r="AC466">
        <f>IFERROR(VLOOKUP(Q466&amp;"",對照表!$A:$B,2,FALSE),"")</f>
        <v/>
      </c>
    </row>
    <row r="467">
      <c r="A467" s="3" t="inlineStr">
        <is>
          <t>SF5116616531767</t>
        </is>
      </c>
      <c r="B467" s="3" t="n">
        <v>58424825741707</v>
      </c>
      <c r="C467" s="3" t="inlineStr">
        <is>
          <t>已簽收</t>
        </is>
      </c>
      <c r="D467" s="3" t="inlineStr">
        <is>
          <t>2026-07-03 10:30:52</t>
        </is>
      </c>
      <c r="E467" s="3" t="inlineStr">
        <is>
          <t>2026-07-06 19:42</t>
        </is>
      </c>
      <c r="F467" s="3" t="n">
        <v>11.6</v>
      </c>
      <c r="G467" s="3" t="n">
        <v>1</v>
      </c>
      <c r="H467" s="3" t="n"/>
      <c r="I467" s="3" t="inlineStr"/>
      <c r="J467" s="3" t="inlineStr">
        <is>
          <t>Keeta</t>
        </is>
      </c>
      <c r="K467" s="3" t="inlineStr">
        <is>
          <t>****9568</t>
        </is>
      </c>
      <c r="L467" s="3" t="n"/>
      <c r="M467" s="3" t="inlineStr">
        <is>
          <t>***** 物流中心5樓</t>
        </is>
      </c>
      <c r="N467" s="3" t="inlineStr">
        <is>
          <t>北区</t>
        </is>
      </c>
      <c r="O467" s="3" t="inlineStr">
        <is>
          <t>香港</t>
        </is>
      </c>
      <c r="P467" s="3" t="inlineStr">
        <is>
          <t>香港特别行政区</t>
        </is>
      </c>
      <c r="Q467" s="3" t="n">
        <v>495055</v>
      </c>
      <c r="R467" s="3" t="inlineStr">
        <is>
          <t>筷子美食40一碗豬手面邊度搵啊</t>
        </is>
      </c>
      <c r="S467" s="3" t="inlineStr">
        <is>
          <t>****7930</t>
        </is>
      </c>
      <c r="T467" s="3" t="inlineStr">
        <is>
          <t>****7930</t>
        </is>
      </c>
      <c r="U467" s="3" t="inlineStr">
        <is>
          <t>***** 下4及5号铺</t>
        </is>
      </c>
      <c r="V467" s="3" t="inlineStr">
        <is>
          <t>香港</t>
        </is>
      </c>
      <c r="W467" s="3" t="inlineStr">
        <is>
          <t>无纺布【规格四大号】/ 箱出</t>
        </is>
      </c>
      <c r="X467" s="3" t="inlineStr">
        <is>
          <t>ESS-SFTS-OTMS</t>
        </is>
      </c>
      <c r="Y467" s="3" t="n"/>
      <c r="Z467" s="3" t="inlineStr"/>
      <c r="AA467" s="3" t="inlineStr">
        <is>
          <t>寄付月結</t>
        </is>
      </c>
      <c r="AB467">
        <f>IFERROR(VLOOKUP(Q467&amp;"",對照表!$A:$B,1,FALSE),"")</f>
        <v/>
      </c>
      <c r="AC467">
        <f>IFERROR(VLOOKUP(Q467&amp;"",對照表!$A:$B,2,FALSE),"")</f>
        <v/>
      </c>
    </row>
    <row r="468">
      <c r="A468" s="3" t="inlineStr">
        <is>
          <t>SF5116616189571</t>
        </is>
      </c>
      <c r="B468" s="3" t="n">
        <v>58424825741670</v>
      </c>
      <c r="C468" s="3" t="inlineStr">
        <is>
          <t>已簽收</t>
        </is>
      </c>
      <c r="D468" s="3" t="inlineStr">
        <is>
          <t>2026-07-03 11:45:05</t>
        </is>
      </c>
      <c r="E468" s="3" t="inlineStr">
        <is>
          <t>2026-07-04 11:31</t>
        </is>
      </c>
      <c r="F468" s="3" t="n">
        <v>23.64</v>
      </c>
      <c r="G468" s="3" t="n">
        <v>2</v>
      </c>
      <c r="H468" s="3" t="n"/>
      <c r="I468" s="3" t="inlineStr"/>
      <c r="J468" s="3" t="inlineStr">
        <is>
          <t>Keeta</t>
        </is>
      </c>
      <c r="K468" s="3" t="inlineStr">
        <is>
          <t>****9568</t>
        </is>
      </c>
      <c r="L468" s="3" t="n"/>
      <c r="M468" s="3" t="inlineStr">
        <is>
          <t>***** 物流中心5樓</t>
        </is>
      </c>
      <c r="N468" s="3" t="inlineStr">
        <is>
          <t>北区</t>
        </is>
      </c>
      <c r="O468" s="3" t="inlineStr">
        <is>
          <t>香港</t>
        </is>
      </c>
      <c r="P468" s="3" t="inlineStr">
        <is>
          <t>香港特别行政区</t>
        </is>
      </c>
      <c r="Q468" s="3" t="n">
        <v>474107</v>
      </c>
      <c r="R468" s="3" t="inlineStr">
        <is>
          <t>蛋白質兵團（黃竹坑）(開店一週年始終保持高質素)</t>
        </is>
      </c>
      <c r="S468" s="3" t="inlineStr">
        <is>
          <t>****94989026</t>
        </is>
      </c>
      <c r="T468" s="3" t="inlineStr">
        <is>
          <t>****94989026</t>
        </is>
      </c>
      <c r="U468" s="3" t="inlineStr">
        <is>
          <t>***** c室c2部分</t>
        </is>
      </c>
      <c r="V468" s="3" t="inlineStr">
        <is>
          <t>香港</t>
        </is>
      </c>
      <c r="W468" s="3" t="inlineStr">
        <is>
          <t>无纺布【Preminum黑】/ 箱出</t>
        </is>
      </c>
      <c r="X468" s="3" t="inlineStr">
        <is>
          <t>ESS-SFTS-OTMS</t>
        </is>
      </c>
      <c r="Y468" s="3" t="n"/>
      <c r="Z468" s="3" t="inlineStr"/>
      <c r="AA468" s="3" t="inlineStr">
        <is>
          <t>寄付月結</t>
        </is>
      </c>
      <c r="AB468">
        <f>IFERROR(VLOOKUP(Q468&amp;"",對照表!$A:$B,1,FALSE),"")</f>
        <v/>
      </c>
      <c r="AC468">
        <f>IFERROR(VLOOKUP(Q468&amp;"",對照表!$A:$B,2,FALSE),"")</f>
        <v/>
      </c>
    </row>
    <row r="469">
      <c r="A469" s="3" t="inlineStr">
        <is>
          <t>SF5116616531712</t>
        </is>
      </c>
      <c r="B469" s="3" t="n">
        <v>58424825741696</v>
      </c>
      <c r="C469" s="3" t="inlineStr">
        <is>
          <t>已簽收</t>
        </is>
      </c>
      <c r="D469" s="3" t="inlineStr">
        <is>
          <t>2026-07-03 15:45:32</t>
        </is>
      </c>
      <c r="E469" s="3" t="inlineStr">
        <is>
          <t>2026-07-06 14:16</t>
        </is>
      </c>
      <c r="F469" s="3" t="n">
        <v>69.54000000000001</v>
      </c>
      <c r="G469" s="3" t="n">
        <v>6</v>
      </c>
      <c r="H469" s="3" t="n"/>
      <c r="I469" s="3" t="inlineStr"/>
      <c r="J469" s="3" t="inlineStr">
        <is>
          <t>Keeta</t>
        </is>
      </c>
      <c r="K469" s="3" t="inlineStr">
        <is>
          <t>****9568</t>
        </is>
      </c>
      <c r="L469" s="3" t="n"/>
      <c r="M469" s="3" t="inlineStr">
        <is>
          <t>***** 物流中心5樓</t>
        </is>
      </c>
      <c r="N469" s="3" t="inlineStr">
        <is>
          <t>北区</t>
        </is>
      </c>
      <c r="O469" s="3" t="inlineStr">
        <is>
          <t>香港</t>
        </is>
      </c>
      <c r="P469" s="3" t="inlineStr">
        <is>
          <t>香港特别行政区</t>
        </is>
      </c>
      <c r="Q469" s="3" t="n">
        <v>464783</v>
      </c>
      <c r="R469" s="3" t="inlineStr">
        <is>
          <t>韓國廚師主理ONDO溫度</t>
        </is>
      </c>
      <c r="S469" s="3" t="inlineStr">
        <is>
          <t>****64754787</t>
        </is>
      </c>
      <c r="T469" s="3" t="inlineStr">
        <is>
          <t>****64754787</t>
        </is>
      </c>
      <c r="U469" s="3" t="inlineStr">
        <is>
          <t>***** 號崇信樓地舖</t>
        </is>
      </c>
      <c r="V469" s="3" t="inlineStr">
        <is>
          <t>香港</t>
        </is>
      </c>
      <c r="W469" s="3" t="inlineStr">
        <is>
          <t>无纺布【规格四大号】/ 箱出</t>
        </is>
      </c>
      <c r="X469" s="3" t="inlineStr">
        <is>
          <t>ESS-SFTS-OTMS</t>
        </is>
      </c>
      <c r="Y469" s="3" t="n"/>
      <c r="Z469" s="3" t="inlineStr"/>
      <c r="AA469" s="3" t="inlineStr">
        <is>
          <t>寄付月結</t>
        </is>
      </c>
      <c r="AB469">
        <f>IFERROR(VLOOKUP(Q469&amp;"",對照表!$A:$B,1,FALSE),"")</f>
        <v/>
      </c>
      <c r="AC469">
        <f>IFERROR(VLOOKUP(Q469&amp;"",對照表!$A:$B,2,FALSE),"")</f>
        <v/>
      </c>
    </row>
    <row r="470">
      <c r="A470" s="3" t="inlineStr">
        <is>
          <t>SF5116616531989</t>
        </is>
      </c>
      <c r="B470" s="3" t="n">
        <v>58424825774129</v>
      </c>
      <c r="C470" s="3" t="inlineStr">
        <is>
          <t>已簽收</t>
        </is>
      </c>
      <c r="D470" s="3" t="inlineStr">
        <is>
          <t>2026-07-03 11:52:17</t>
        </is>
      </c>
      <c r="E470" s="3" t="inlineStr">
        <is>
          <t>2026-07-04 11:42</t>
        </is>
      </c>
      <c r="F470" s="3" t="n">
        <v>10.1</v>
      </c>
      <c r="G470" s="3" t="n">
        <v>1</v>
      </c>
      <c r="H470" s="3" t="n"/>
      <c r="I470" s="3" t="inlineStr"/>
      <c r="J470" s="3" t="inlineStr">
        <is>
          <t>Keeta</t>
        </is>
      </c>
      <c r="K470" s="3" t="inlineStr">
        <is>
          <t>****9568</t>
        </is>
      </c>
      <c r="L470" s="3" t="n"/>
      <c r="M470" s="3" t="inlineStr">
        <is>
          <t>***** 物流中心5樓</t>
        </is>
      </c>
      <c r="N470" s="3" t="inlineStr">
        <is>
          <t>北区</t>
        </is>
      </c>
      <c r="O470" s="3" t="inlineStr">
        <is>
          <t>香港</t>
        </is>
      </c>
      <c r="P470" s="3" t="inlineStr">
        <is>
          <t>香港特别行政区</t>
        </is>
      </c>
      <c r="Q470" s="3" t="n">
        <v>478182</v>
      </c>
      <c r="R470" s="3" t="inlineStr">
        <is>
          <t>潮香園</t>
        </is>
      </c>
      <c r="S470" s="3" t="inlineStr">
        <is>
          <t>****95523107</t>
        </is>
      </c>
      <c r="T470" s="3" t="inlineStr">
        <is>
          <t>****95523107</t>
        </is>
      </c>
      <c r="U470" s="3" t="inlineStr">
        <is>
          <t>***** 號地下C號舖</t>
        </is>
      </c>
      <c r="V470" s="3" t="inlineStr">
        <is>
          <t>香港</t>
        </is>
      </c>
      <c r="W470" s="3" t="inlineStr">
        <is>
          <t>无纺布【规格三中号】/ 箱出</t>
        </is>
      </c>
      <c r="X470" s="3" t="inlineStr">
        <is>
          <t>ESS-SFTS-OTMS</t>
        </is>
      </c>
      <c r="Y470" s="3" t="n"/>
      <c r="Z470" s="3" t="inlineStr"/>
      <c r="AA470" s="3" t="inlineStr">
        <is>
          <t>寄付月結</t>
        </is>
      </c>
      <c r="AB470">
        <f>IFERROR(VLOOKUP(Q470&amp;"",對照表!$A:$B,1,FALSE),"")</f>
        <v/>
      </c>
      <c r="AC470">
        <f>IFERROR(VLOOKUP(Q470&amp;"",對照表!$A:$B,2,FALSE),"")</f>
        <v/>
      </c>
    </row>
    <row r="471">
      <c r="A471" s="3" t="inlineStr">
        <is>
          <t>SF5116616531846</t>
        </is>
      </c>
      <c r="B471" s="3" t="n">
        <v>58424825774099</v>
      </c>
      <c r="C471" s="3" t="inlineStr">
        <is>
          <t>已簽收</t>
        </is>
      </c>
      <c r="D471" s="3" t="inlineStr">
        <is>
          <t>2026-07-03 10:30:50</t>
        </is>
      </c>
      <c r="E471" s="3" t="inlineStr">
        <is>
          <t>2026-07-04 11:22</t>
        </is>
      </c>
      <c r="F471" s="3" t="n">
        <v>11.6</v>
      </c>
      <c r="G471" s="3" t="n">
        <v>1</v>
      </c>
      <c r="H471" s="3" t="n"/>
      <c r="I471" s="3" t="inlineStr"/>
      <c r="J471" s="3" t="inlineStr">
        <is>
          <t>Keeta</t>
        </is>
      </c>
      <c r="K471" s="3" t="inlineStr">
        <is>
          <t>****9568</t>
        </is>
      </c>
      <c r="L471" s="3" t="n"/>
      <c r="M471" s="3" t="inlineStr">
        <is>
          <t>***** 物流中心5樓</t>
        </is>
      </c>
      <c r="N471" s="3" t="inlineStr">
        <is>
          <t>北区</t>
        </is>
      </c>
      <c r="O471" s="3" t="inlineStr">
        <is>
          <t>香港</t>
        </is>
      </c>
      <c r="P471" s="3" t="inlineStr">
        <is>
          <t>香港特别行政区</t>
        </is>
      </c>
      <c r="Q471" s="3" t="n">
        <v>478148</v>
      </c>
      <c r="R471" s="3" t="inlineStr">
        <is>
          <t>無辣不歡（大圍地鐵站A出口）</t>
        </is>
      </c>
      <c r="S471" s="3" t="inlineStr">
        <is>
          <t>****94479996</t>
        </is>
      </c>
      <c r="T471" s="3" t="inlineStr">
        <is>
          <t>****94479996</t>
        </is>
      </c>
      <c r="U471" s="3" t="inlineStr">
        <is>
          <t>***** 地下A1號舖</t>
        </is>
      </c>
      <c r="V471" s="3" t="inlineStr">
        <is>
          <t>香港</t>
        </is>
      </c>
      <c r="W471" s="3" t="inlineStr">
        <is>
          <t>无纺布【规格四大号】/ 箱出</t>
        </is>
      </c>
      <c r="X471" s="3" t="inlineStr">
        <is>
          <t>ESS-SFTS-OTMS</t>
        </is>
      </c>
      <c r="Y471" s="3" t="n"/>
      <c r="Z471" s="3" t="inlineStr"/>
      <c r="AA471" s="3" t="inlineStr">
        <is>
          <t>寄付月結</t>
        </is>
      </c>
      <c r="AB471">
        <f>IFERROR(VLOOKUP(Q471&amp;"",對照表!$A:$B,1,FALSE),"")</f>
        <v/>
      </c>
      <c r="AC471">
        <f>IFERROR(VLOOKUP(Q471&amp;"",對照表!$A:$B,2,FALSE),"")</f>
        <v/>
      </c>
    </row>
    <row r="472">
      <c r="A472" s="3" t="inlineStr">
        <is>
          <t>SF5116616532064</t>
        </is>
      </c>
      <c r="B472" s="3" t="n">
        <v>58424825774143</v>
      </c>
      <c r="C472" s="3" t="inlineStr">
        <is>
          <t>派送中</t>
        </is>
      </c>
      <c r="D472" s="3" t="inlineStr">
        <is>
          <t>2026-07-03 11:52:16</t>
        </is>
      </c>
      <c r="E472" s="3" t="n"/>
      <c r="F472" s="3" t="n">
        <v>10.1</v>
      </c>
      <c r="G472" s="3" t="n">
        <v>1</v>
      </c>
      <c r="H472" s="3" t="n"/>
      <c r="I472" s="3" t="inlineStr"/>
      <c r="J472" s="3" t="inlineStr">
        <is>
          <t>Keeta</t>
        </is>
      </c>
      <c r="K472" s="3" t="inlineStr">
        <is>
          <t>****9568</t>
        </is>
      </c>
      <c r="L472" s="3" t="n"/>
      <c r="M472" s="3" t="inlineStr">
        <is>
          <t>***** 物流中心5樓</t>
        </is>
      </c>
      <c r="N472" s="3" t="inlineStr">
        <is>
          <t>北区</t>
        </is>
      </c>
      <c r="O472" s="3" t="inlineStr">
        <is>
          <t>香港</t>
        </is>
      </c>
      <c r="P472" s="3" t="inlineStr">
        <is>
          <t>香港特别行政区</t>
        </is>
      </c>
      <c r="Q472" s="3" t="n">
        <v>471895</v>
      </c>
      <c r="R472" s="3" t="inlineStr">
        <is>
          <t>士多冰室</t>
        </is>
      </c>
      <c r="S472" s="3" t="inlineStr">
        <is>
          <t>****28113663</t>
        </is>
      </c>
      <c r="T472" s="3" t="inlineStr">
        <is>
          <t>****28113663</t>
        </is>
      </c>
      <c r="U472" s="3" t="inlineStr">
        <is>
          <t>***** 街21號地舖</t>
        </is>
      </c>
      <c r="V472" s="3" t="inlineStr">
        <is>
          <t>香港</t>
        </is>
      </c>
      <c r="W472" s="3" t="inlineStr">
        <is>
          <t>无纺布【规格三中号】/ 箱出</t>
        </is>
      </c>
      <c r="X472" s="3" t="inlineStr">
        <is>
          <t>ESS-SFTS-OTMS</t>
        </is>
      </c>
      <c r="Y472" s="3" t="n"/>
      <c r="Z472" s="3" t="inlineStr"/>
      <c r="AA472" s="3" t="inlineStr">
        <is>
          <t>寄付月結</t>
        </is>
      </c>
      <c r="AB472">
        <f>IFERROR(VLOOKUP(Q472&amp;"",對照表!$A:$B,1,FALSE),"")</f>
        <v/>
      </c>
      <c r="AC472">
        <f>IFERROR(VLOOKUP(Q472&amp;"",對照表!$A:$B,2,FALSE),"")</f>
        <v/>
      </c>
    </row>
    <row r="473">
      <c r="A473" s="3" t="inlineStr">
        <is>
          <t>SF5116616189562</t>
        </is>
      </c>
      <c r="B473" s="3" t="n">
        <v>58424825741668</v>
      </c>
      <c r="C473" s="3" t="inlineStr">
        <is>
          <t>運送中</t>
        </is>
      </c>
      <c r="D473" s="3" t="inlineStr">
        <is>
          <t>2026-07-03 14:19:11</t>
        </is>
      </c>
      <c r="E473" s="3" t="n"/>
      <c r="F473" s="3" t="n">
        <v>101</v>
      </c>
      <c r="G473" s="3" t="n">
        <v>10</v>
      </c>
      <c r="H473" s="3" t="n"/>
      <c r="I473" s="3" t="inlineStr"/>
      <c r="J473" s="3" t="inlineStr">
        <is>
          <t>Keeta</t>
        </is>
      </c>
      <c r="K473" s="3" t="inlineStr">
        <is>
          <t>****9568</t>
        </is>
      </c>
      <c r="L473" s="3" t="n"/>
      <c r="M473" s="3" t="inlineStr">
        <is>
          <t>***** 物流中心5樓</t>
        </is>
      </c>
      <c r="N473" s="3" t="inlineStr">
        <is>
          <t>北区</t>
        </is>
      </c>
      <c r="O473" s="3" t="inlineStr">
        <is>
          <t>香港</t>
        </is>
      </c>
      <c r="P473" s="3" t="inlineStr">
        <is>
          <t>香港特别行政区</t>
        </is>
      </c>
      <c r="Q473" s="3" t="n">
        <v>482921</v>
      </c>
      <c r="R473" s="3" t="inlineStr">
        <is>
          <t>大皇餐室Emperor(金牌焗飯全日早餐明火現做現焗)觀塘店</t>
        </is>
      </c>
      <c r="S473" s="3" t="inlineStr">
        <is>
          <t>****31070308</t>
        </is>
      </c>
      <c r="T473" s="3" t="inlineStr">
        <is>
          <t>****31070308</t>
        </is>
      </c>
      <c r="U473" s="3" t="inlineStr">
        <is>
          <t>***** 期地下D號舖</t>
        </is>
      </c>
      <c r="V473" s="3" t="inlineStr">
        <is>
          <t>香港</t>
        </is>
      </c>
      <c r="W473" s="3" t="inlineStr">
        <is>
          <t>无纺布【规格三中号】/ 箱出</t>
        </is>
      </c>
      <c r="X473" s="3" t="inlineStr">
        <is>
          <t>ESS-SFTS-OTMS</t>
        </is>
      </c>
      <c r="Y473" s="3" t="n"/>
      <c r="Z473" s="3" t="inlineStr"/>
      <c r="AA473" s="3" t="inlineStr">
        <is>
          <t>寄付月結</t>
        </is>
      </c>
      <c r="AB473">
        <f>IFERROR(VLOOKUP(Q473&amp;"",對照表!$A:$B,1,FALSE),"")</f>
        <v/>
      </c>
      <c r="AC473">
        <f>IFERROR(VLOOKUP(Q473&amp;"",對照表!$A:$B,2,FALSE),"")</f>
        <v/>
      </c>
    </row>
    <row r="474">
      <c r="A474" s="3" t="inlineStr">
        <is>
          <t>SF5116616532028</t>
        </is>
      </c>
      <c r="B474" s="3" t="n">
        <v>58424825774136</v>
      </c>
      <c r="C474" s="3" t="inlineStr">
        <is>
          <t>已簽收</t>
        </is>
      </c>
      <c r="D474" s="3" t="inlineStr">
        <is>
          <t>2026-07-03 10:50:37</t>
        </is>
      </c>
      <c r="E474" s="3" t="inlineStr">
        <is>
          <t>2026-07-04 13:56</t>
        </is>
      </c>
      <c r="F474" s="3" t="n">
        <v>4.6</v>
      </c>
      <c r="G474" s="3" t="n">
        <v>1</v>
      </c>
      <c r="H474" s="3" t="n"/>
      <c r="I474" s="3" t="inlineStr"/>
      <c r="J474" s="3" t="inlineStr">
        <is>
          <t>Keeta</t>
        </is>
      </c>
      <c r="K474" s="3" t="inlineStr">
        <is>
          <t>****9568</t>
        </is>
      </c>
      <c r="L474" s="3" t="n"/>
      <c r="M474" s="3" t="inlineStr">
        <is>
          <t>***** 物流中心5樓</t>
        </is>
      </c>
      <c r="N474" s="3" t="inlineStr">
        <is>
          <t>北区</t>
        </is>
      </c>
      <c r="O474" s="3" t="inlineStr">
        <is>
          <t>香港</t>
        </is>
      </c>
      <c r="P474" s="3" t="inlineStr">
        <is>
          <t>香港特别行政区</t>
        </is>
      </c>
      <c r="Q474" s="3" t="n">
        <v>478093</v>
      </c>
      <c r="R474" s="3" t="inlineStr">
        <is>
          <t>韓正屋韓國料理招牌泡菜牛肉湯飯(海壩街)</t>
        </is>
      </c>
      <c r="S474" s="3" t="inlineStr">
        <is>
          <t>****35654787</t>
        </is>
      </c>
      <c r="T474" s="3" t="inlineStr">
        <is>
          <t>****35654787</t>
        </is>
      </c>
      <c r="U474" s="3" t="inlineStr">
        <is>
          <t>***** 達樓地下E舖</t>
        </is>
      </c>
      <c r="V474" s="3" t="inlineStr">
        <is>
          <t>香港</t>
        </is>
      </c>
      <c r="W474" s="3" t="inlineStr">
        <is>
          <t>塑料袋【大】/ 扎出</t>
        </is>
      </c>
      <c r="X474" s="3" t="inlineStr">
        <is>
          <t>ESS-SFTS-OTMS</t>
        </is>
      </c>
      <c r="Y474" s="3" t="n"/>
      <c r="Z474" s="3" t="inlineStr"/>
      <c r="AA474" s="3" t="inlineStr">
        <is>
          <t>寄付月結</t>
        </is>
      </c>
      <c r="AB474">
        <f>IFERROR(VLOOKUP(Q474&amp;"",對照表!$A:$B,1,FALSE),"")</f>
        <v/>
      </c>
      <c r="AC474">
        <f>IFERROR(VLOOKUP(Q474&amp;"",對照表!$A:$B,2,FALSE),"")</f>
        <v/>
      </c>
    </row>
    <row r="475">
      <c r="A475" s="3" t="inlineStr">
        <is>
          <t>SF5116616531891</t>
        </is>
      </c>
      <c r="B475" s="3" t="n">
        <v>58424825774108</v>
      </c>
      <c r="C475" s="3" t="inlineStr">
        <is>
          <t>已簽收</t>
        </is>
      </c>
      <c r="D475" s="3" t="inlineStr">
        <is>
          <t>2026-07-03 16:45:38</t>
        </is>
      </c>
      <c r="E475" s="3" t="inlineStr">
        <is>
          <t>2026-07-04 17:51</t>
        </is>
      </c>
      <c r="F475" s="3" t="n">
        <v>40.82</v>
      </c>
      <c r="G475" s="3" t="n">
        <v>3</v>
      </c>
      <c r="H475" s="3" t="n"/>
      <c r="I475" s="3" t="inlineStr"/>
      <c r="J475" s="3" t="inlineStr">
        <is>
          <t>Keeta</t>
        </is>
      </c>
      <c r="K475" s="3" t="inlineStr">
        <is>
          <t>****9568</t>
        </is>
      </c>
      <c r="L475" s="3" t="n"/>
      <c r="M475" s="3" t="inlineStr">
        <is>
          <t>***** 物流中心5樓</t>
        </is>
      </c>
      <c r="N475" s="3" t="inlineStr">
        <is>
          <t>北区</t>
        </is>
      </c>
      <c r="O475" s="3" t="inlineStr">
        <is>
          <t>香港</t>
        </is>
      </c>
      <c r="P475" s="3" t="inlineStr">
        <is>
          <t>香港特别行政区</t>
        </is>
      </c>
      <c r="Q475" s="3" t="n">
        <v>441728</v>
      </c>
      <c r="R475" s="3" t="inlineStr">
        <is>
          <t>CrepeDelicious(MOKO)</t>
        </is>
      </c>
      <c r="S475" s="3" t="inlineStr">
        <is>
          <t>****56937519</t>
        </is>
      </c>
      <c r="T475" s="3" t="inlineStr">
        <is>
          <t>****56937519</t>
        </is>
      </c>
      <c r="U475" s="3" t="inlineStr">
        <is>
          <t>***** 樓103號舖</t>
        </is>
      </c>
      <c r="V475" s="3" t="inlineStr">
        <is>
          <t>香港</t>
        </is>
      </c>
      <c r="W475" s="3" t="inlineStr">
        <is>
          <t>无纺布【Preminum黑】/ 箱出, 纸袋【通版】/ 箱出</t>
        </is>
      </c>
      <c r="X475" s="3" t="inlineStr">
        <is>
          <t>ESS-SFTS-OTMS</t>
        </is>
      </c>
      <c r="Y475" s="3" t="n"/>
      <c r="Z475" s="3" t="inlineStr"/>
      <c r="AA475" s="3" t="inlineStr">
        <is>
          <t>寄付月結</t>
        </is>
      </c>
      <c r="AB475">
        <f>IFERROR(VLOOKUP(Q475&amp;"",對照表!$A:$B,1,FALSE),"")</f>
        <v/>
      </c>
      <c r="AC475">
        <f>IFERROR(VLOOKUP(Q475&amp;"",對照表!$A:$B,2,FALSE),"")</f>
        <v/>
      </c>
    </row>
    <row r="476">
      <c r="A476" s="3" t="inlineStr">
        <is>
          <t>SF5116616188928</t>
        </is>
      </c>
      <c r="B476" s="3" t="n">
        <v>58424825741533</v>
      </c>
      <c r="C476" s="3" t="inlineStr">
        <is>
          <t>已簽收</t>
        </is>
      </c>
      <c r="D476" s="3" t="inlineStr">
        <is>
          <t>2026-07-03 15:11:03</t>
        </is>
      </c>
      <c r="E476" s="3" t="inlineStr">
        <is>
          <t>2026-07-04 09:00</t>
        </is>
      </c>
      <c r="F476" s="3" t="n">
        <v>4.44</v>
      </c>
      <c r="G476" s="3" t="n">
        <v>1</v>
      </c>
      <c r="H476" s="3" t="n"/>
      <c r="I476" s="3" t="inlineStr"/>
      <c r="J476" s="3" t="inlineStr">
        <is>
          <t>Keeta</t>
        </is>
      </c>
      <c r="K476" s="3" t="inlineStr">
        <is>
          <t>****9568</t>
        </is>
      </c>
      <c r="L476" s="3" t="n"/>
      <c r="M476" s="3" t="inlineStr">
        <is>
          <t>***** 物流中心5樓</t>
        </is>
      </c>
      <c r="N476" s="3" t="inlineStr">
        <is>
          <t>北区</t>
        </is>
      </c>
      <c r="O476" s="3" t="inlineStr">
        <is>
          <t>香港</t>
        </is>
      </c>
      <c r="P476" s="3" t="inlineStr">
        <is>
          <t>香港特别行政区</t>
        </is>
      </c>
      <c r="Q476" s="3" t="n">
        <v>462157</v>
      </c>
      <c r="R476" s="3" t="inlineStr">
        <is>
          <t>心滿意粥西環必試高質粥店粥二代傳承用心熬製滋味</t>
        </is>
      </c>
      <c r="S476" s="3" t="inlineStr">
        <is>
          <t>****61954538</t>
        </is>
      </c>
      <c r="T476" s="3" t="inlineStr">
        <is>
          <t>****61954538</t>
        </is>
      </c>
      <c r="U476" s="3" t="inlineStr">
        <is>
          <t>***** 樓地下A號舖</t>
        </is>
      </c>
      <c r="V476" s="3" t="inlineStr">
        <is>
          <t>香港</t>
        </is>
      </c>
      <c r="W476" s="3" t="inlineStr">
        <is>
          <t>塑料袋【小】/ 扎出, 塑料袋【大】/ 扎出</t>
        </is>
      </c>
      <c r="X476" s="3" t="inlineStr">
        <is>
          <t>ESS-SFTS-OTMS</t>
        </is>
      </c>
      <c r="Y476" s="3" t="n"/>
      <c r="Z476" s="3" t="inlineStr"/>
      <c r="AA476" s="3" t="inlineStr">
        <is>
          <t>寄付月結</t>
        </is>
      </c>
      <c r="AB476">
        <f>IFERROR(VLOOKUP(Q476&amp;"",對照表!$A:$B,1,FALSE),"")</f>
        <v/>
      </c>
      <c r="AC476">
        <f>IFERROR(VLOOKUP(Q476&amp;"",對照表!$A:$B,2,FALSE),"")</f>
        <v/>
      </c>
    </row>
    <row r="477">
      <c r="A477" s="3" t="inlineStr">
        <is>
          <t>SF5116616531873</t>
        </is>
      </c>
      <c r="B477" s="3" t="n">
        <v>58424825774104</v>
      </c>
      <c r="C477" s="3" t="inlineStr">
        <is>
          <t>已簽收</t>
        </is>
      </c>
      <c r="D477" s="3" t="inlineStr">
        <is>
          <t>2026-07-03 11:13:20</t>
        </is>
      </c>
      <c r="E477" s="3" t="inlineStr">
        <is>
          <t>2026-07-04 15:15</t>
        </is>
      </c>
      <c r="F477" s="3" t="n">
        <v>45</v>
      </c>
      <c r="G477" s="3" t="n">
        <v>3</v>
      </c>
      <c r="H477" s="3" t="n"/>
      <c r="I477" s="3" t="inlineStr"/>
      <c r="J477" s="3" t="inlineStr">
        <is>
          <t>Keeta</t>
        </is>
      </c>
      <c r="K477" s="3" t="inlineStr">
        <is>
          <t>****9568</t>
        </is>
      </c>
      <c r="L477" s="3" t="n"/>
      <c r="M477" s="3" t="inlineStr">
        <is>
          <t>***** 物流中心5樓</t>
        </is>
      </c>
      <c r="N477" s="3" t="inlineStr">
        <is>
          <t>北区</t>
        </is>
      </c>
      <c r="O477" s="3" t="inlineStr">
        <is>
          <t>香港</t>
        </is>
      </c>
      <c r="P477" s="3" t="inlineStr">
        <is>
          <t>香港特别行政区</t>
        </is>
      </c>
      <c r="Q477" s="3" t="n">
        <v>491477</v>
      </c>
      <c r="R477" s="3" t="inlineStr">
        <is>
          <t>十二味(荃灣如心廣場)</t>
        </is>
      </c>
      <c r="S477" s="3" t="inlineStr">
        <is>
          <t>****26682115</t>
        </is>
      </c>
      <c r="T477" s="3" t="inlineStr">
        <is>
          <t>****26682115</t>
        </is>
      </c>
      <c r="U477" s="3" t="inlineStr">
        <is>
          <t>***** 樓215號舖</t>
        </is>
      </c>
      <c r="V477" s="3" t="inlineStr">
        <is>
          <t>香港</t>
        </is>
      </c>
      <c r="W477" s="3" t="inlineStr">
        <is>
          <t>纸袋【通版】/ 箱出</t>
        </is>
      </c>
      <c r="X477" s="3" t="inlineStr">
        <is>
          <t>ESS-SFTS-OTMS</t>
        </is>
      </c>
      <c r="Y477" s="3" t="n"/>
      <c r="Z477" s="3" t="inlineStr"/>
      <c r="AA477" s="3" t="inlineStr">
        <is>
          <t>寄付月結</t>
        </is>
      </c>
      <c r="AB477">
        <f>IFERROR(VLOOKUP(Q477&amp;"",對照表!$A:$B,1,FALSE),"")</f>
        <v/>
      </c>
      <c r="AC477">
        <f>IFERROR(VLOOKUP(Q477&amp;"",對照表!$A:$B,2,FALSE),"")</f>
        <v/>
      </c>
    </row>
    <row r="478">
      <c r="A478" s="3" t="inlineStr">
        <is>
          <t>SF5116616531998</t>
        </is>
      </c>
      <c r="B478" s="3" t="n">
        <v>58424825774131</v>
      </c>
      <c r="C478" s="3" t="inlineStr">
        <is>
          <t>已簽收</t>
        </is>
      </c>
      <c r="D478" s="3" t="inlineStr">
        <is>
          <t>2026-07-03 15:32:15</t>
        </is>
      </c>
      <c r="E478" s="3" t="inlineStr">
        <is>
          <t>2026-07-04 10:52</t>
        </is>
      </c>
      <c r="F478" s="3" t="n">
        <v>21.7</v>
      </c>
      <c r="G478" s="3" t="n">
        <v>2</v>
      </c>
      <c r="H478" s="3" t="n"/>
      <c r="I478" s="3" t="inlineStr"/>
      <c r="J478" s="3" t="inlineStr">
        <is>
          <t>Keeta</t>
        </is>
      </c>
      <c r="K478" s="3" t="inlineStr">
        <is>
          <t>****9568</t>
        </is>
      </c>
      <c r="L478" s="3" t="n"/>
      <c r="M478" s="3" t="inlineStr">
        <is>
          <t>***** 物流中心5樓</t>
        </is>
      </c>
      <c r="N478" s="3" t="inlineStr">
        <is>
          <t>北区</t>
        </is>
      </c>
      <c r="O478" s="3" t="inlineStr">
        <is>
          <t>香港</t>
        </is>
      </c>
      <c r="P478" s="3" t="inlineStr">
        <is>
          <t>香港特别行政区</t>
        </is>
      </c>
      <c r="Q478" s="3" t="n">
        <v>721480296</v>
      </c>
      <c r="R478" s="3" t="inlineStr">
        <is>
          <t>阿壹叉燒皇(老細開足24個鐘就係想你哋食到佢整嘅燒味)</t>
        </is>
      </c>
      <c r="S478" s="3" t="inlineStr">
        <is>
          <t>****55779383</t>
        </is>
      </c>
      <c r="T478" s="3" t="inlineStr">
        <is>
          <t>****55779383</t>
        </is>
      </c>
      <c r="U478" s="3" t="inlineStr">
        <is>
          <t>***** 1-3號J舖</t>
        </is>
      </c>
      <c r="V478" s="3" t="inlineStr">
        <is>
          <t>香港</t>
        </is>
      </c>
      <c r="W478" s="3" t="inlineStr">
        <is>
          <t>无纺布【规格四大号】/ 箱出, 无纺布【规格三中号】/ 箱出</t>
        </is>
      </c>
      <c r="X478" s="3" t="inlineStr">
        <is>
          <t>ESS-SFTS-OTMS</t>
        </is>
      </c>
      <c r="Y478" s="3" t="n"/>
      <c r="Z478" s="3" t="inlineStr"/>
      <c r="AA478" s="3" t="inlineStr">
        <is>
          <t>寄付月結</t>
        </is>
      </c>
      <c r="AB478">
        <f>IFERROR(VLOOKUP(Q478&amp;"",對照表!$A:$B,1,FALSE),"")</f>
        <v/>
      </c>
      <c r="AC478">
        <f>IFERROR(VLOOKUP(Q478&amp;"",對照表!$A:$B,2,FALSE),"")</f>
        <v/>
      </c>
    </row>
    <row r="479">
      <c r="A479" s="3" t="inlineStr">
        <is>
          <t>SF5116616531961</t>
        </is>
      </c>
      <c r="B479" s="3" t="n">
        <v>58424825774124</v>
      </c>
      <c r="C479" s="3" t="inlineStr">
        <is>
          <t>已簽收</t>
        </is>
      </c>
      <c r="D479" s="3" t="inlineStr">
        <is>
          <t>2026-07-03 15:33:34</t>
        </is>
      </c>
      <c r="E479" s="3" t="inlineStr">
        <is>
          <t>2026-07-04 09:34</t>
        </is>
      </c>
      <c r="F479" s="3" t="n">
        <v>31.8</v>
      </c>
      <c r="G479" s="3" t="n">
        <v>3</v>
      </c>
      <c r="H479" s="3" t="n"/>
      <c r="I479" s="3" t="inlineStr"/>
      <c r="J479" s="3" t="inlineStr">
        <is>
          <t>Keeta</t>
        </is>
      </c>
      <c r="K479" s="3" t="inlineStr">
        <is>
          <t>****9568</t>
        </is>
      </c>
      <c r="L479" s="3" t="n"/>
      <c r="M479" s="3" t="inlineStr">
        <is>
          <t>***** 物流中心5樓</t>
        </is>
      </c>
      <c r="N479" s="3" t="inlineStr">
        <is>
          <t>北区</t>
        </is>
      </c>
      <c r="O479" s="3" t="inlineStr">
        <is>
          <t>香港</t>
        </is>
      </c>
      <c r="P479" s="3" t="inlineStr">
        <is>
          <t>香港特别行政区</t>
        </is>
      </c>
      <c r="Q479" s="3" t="n">
        <v>721436387</v>
      </c>
      <c r="R479" s="3" t="inlineStr">
        <is>
          <t>紅日蛋包飯全港人氣蛋包飯之最（土瓜灣）</t>
        </is>
      </c>
      <c r="S479" s="3" t="inlineStr">
        <is>
          <t>****56668049</t>
        </is>
      </c>
      <c r="T479" s="3" t="inlineStr">
        <is>
          <t>****56668049</t>
        </is>
      </c>
      <c r="U479" s="3" t="inlineStr">
        <is>
          <t>***** OWLOON</t>
        </is>
      </c>
      <c r="V479" s="3" t="inlineStr">
        <is>
          <t>香港</t>
        </is>
      </c>
      <c r="W479" s="3" t="inlineStr">
        <is>
          <t>无纺布【规格四大号】/ 箱出, 无纺布【规格三中号】/ 箱出</t>
        </is>
      </c>
      <c r="X479" s="3" t="inlineStr">
        <is>
          <t>ESS-SFTS-OTMS</t>
        </is>
      </c>
      <c r="Y479" s="3" t="n"/>
      <c r="Z479" s="3" t="inlineStr"/>
      <c r="AA479" s="3" t="inlineStr">
        <is>
          <t>寄付月結</t>
        </is>
      </c>
      <c r="AB479">
        <f>IFERROR(VLOOKUP(Q479&amp;"",對照表!$A:$B,1,FALSE),"")</f>
        <v/>
      </c>
      <c r="AC479">
        <f>IFERROR(VLOOKUP(Q479&amp;"",對照表!$A:$B,2,FALSE),"")</f>
        <v/>
      </c>
    </row>
    <row r="480">
      <c r="A480" s="3" t="inlineStr">
        <is>
          <t>SF5116616531819</t>
        </is>
      </c>
      <c r="B480" s="3" t="n">
        <v>58424825774094</v>
      </c>
      <c r="C480" s="3" t="inlineStr">
        <is>
          <t>已簽收</t>
        </is>
      </c>
      <c r="D480" s="3" t="inlineStr">
        <is>
          <t>2026-07-03 10:30:54</t>
        </is>
      </c>
      <c r="E480" s="3" t="inlineStr">
        <is>
          <t>2026-07-06 18:34</t>
        </is>
      </c>
      <c r="F480" s="3" t="n">
        <v>11.6</v>
      </c>
      <c r="G480" s="3" t="n">
        <v>1</v>
      </c>
      <c r="H480" s="3" t="n"/>
      <c r="I480" s="3" t="inlineStr"/>
      <c r="J480" s="3" t="inlineStr">
        <is>
          <t>Keeta</t>
        </is>
      </c>
      <c r="K480" s="3" t="inlineStr">
        <is>
          <t>****9568</t>
        </is>
      </c>
      <c r="L480" s="3" t="n"/>
      <c r="M480" s="3" t="inlineStr">
        <is>
          <t>***** 物流中心5樓</t>
        </is>
      </c>
      <c r="N480" s="3" t="inlineStr">
        <is>
          <t>北区</t>
        </is>
      </c>
      <c r="O480" s="3" t="inlineStr">
        <is>
          <t>香港</t>
        </is>
      </c>
      <c r="P480" s="3" t="inlineStr">
        <is>
          <t>香港特别行政区</t>
        </is>
      </c>
      <c r="Q480" s="3" t="n">
        <v>458647</v>
      </c>
      <c r="R480" s="3" t="inlineStr">
        <is>
          <t>金興小廚</t>
        </is>
      </c>
      <c r="S480" s="3" t="inlineStr">
        <is>
          <t>****3061</t>
        </is>
      </c>
      <c r="T480" s="3" t="inlineStr">
        <is>
          <t>****3061</t>
        </is>
      </c>
      <c r="U480" s="3" t="inlineStr">
        <is>
          <t>***** 下6-7号铺</t>
        </is>
      </c>
      <c r="V480" s="3" t="inlineStr">
        <is>
          <t>香港</t>
        </is>
      </c>
      <c r="W480" s="3" t="inlineStr">
        <is>
          <t>无纺布【规格四大号】/ 箱出</t>
        </is>
      </c>
      <c r="X480" s="3" t="inlineStr">
        <is>
          <t>ESS-SFTS-OTMS</t>
        </is>
      </c>
      <c r="Y480" s="3" t="n"/>
      <c r="Z480" s="3" t="inlineStr"/>
      <c r="AA480" s="3" t="inlineStr">
        <is>
          <t>寄付月結</t>
        </is>
      </c>
      <c r="AB480">
        <f>IFERROR(VLOOKUP(Q480&amp;"",對照表!$A:$B,1,FALSE),"")</f>
        <v/>
      </c>
      <c r="AC480">
        <f>IFERROR(VLOOKUP(Q480&amp;"",對照表!$A:$B,2,FALSE),"")</f>
        <v/>
      </c>
    </row>
    <row r="481">
      <c r="A481" s="3" t="inlineStr">
        <is>
          <t>SF5116616532019</t>
        </is>
      </c>
      <c r="B481" s="3" t="n">
        <v>58424825774135</v>
      </c>
      <c r="C481" s="3" t="inlineStr">
        <is>
          <t>已簽收</t>
        </is>
      </c>
      <c r="D481" s="3" t="inlineStr">
        <is>
          <t>2026-07-03 13:44:56</t>
        </is>
      </c>
      <c r="E481" s="3" t="inlineStr">
        <is>
          <t>2026-07-04 14:54</t>
        </is>
      </c>
      <c r="F481" s="3" t="n">
        <v>23.2</v>
      </c>
      <c r="G481" s="3" t="n">
        <v>2</v>
      </c>
      <c r="H481" s="3" t="n"/>
      <c r="I481" s="3" t="inlineStr"/>
      <c r="J481" s="3" t="inlineStr">
        <is>
          <t>Keeta</t>
        </is>
      </c>
      <c r="K481" s="3" t="inlineStr">
        <is>
          <t>****9568</t>
        </is>
      </c>
      <c r="L481" s="3" t="n"/>
      <c r="M481" s="3" t="inlineStr">
        <is>
          <t>***** 物流中心5樓</t>
        </is>
      </c>
      <c r="N481" s="3" t="inlineStr">
        <is>
          <t>北区</t>
        </is>
      </c>
      <c r="O481" s="3" t="inlineStr">
        <is>
          <t>香港</t>
        </is>
      </c>
      <c r="P481" s="3" t="inlineStr">
        <is>
          <t>香港特别行政区</t>
        </is>
      </c>
      <c r="Q481" s="3" t="n">
        <v>721532310</v>
      </c>
      <c r="R481" s="3" t="inlineStr">
        <is>
          <t>龍虎炮製LUNGFU即煎招牌高蛋白質雞髀肉新鮮港式沙律</t>
        </is>
      </c>
      <c r="S481" s="3" t="inlineStr">
        <is>
          <t>****56633685</t>
        </is>
      </c>
      <c r="T481" s="3" t="inlineStr">
        <is>
          <t>****56633685</t>
        </is>
      </c>
      <c r="U481" s="3" t="inlineStr">
        <is>
          <t>***** 廈1樓H5室</t>
        </is>
      </c>
      <c r="V481" s="3" t="inlineStr">
        <is>
          <t>香港</t>
        </is>
      </c>
      <c r="W481" s="3" t="inlineStr">
        <is>
          <t>无纺布【规格四大号】/ 箱出</t>
        </is>
      </c>
      <c r="X481" s="3" t="inlineStr">
        <is>
          <t>ESS-SFTS-OTMS</t>
        </is>
      </c>
      <c r="Y481" s="3" t="n"/>
      <c r="Z481" s="3" t="inlineStr"/>
      <c r="AA481" s="3" t="inlineStr">
        <is>
          <t>寄付月結</t>
        </is>
      </c>
      <c r="AB481">
        <f>IFERROR(VLOOKUP(Q481&amp;"",對照表!$A:$B,1,FALSE),"")</f>
        <v/>
      </c>
      <c r="AC481">
        <f>IFERROR(VLOOKUP(Q481&amp;"",對照表!$A:$B,2,FALSE),"")</f>
        <v/>
      </c>
    </row>
    <row r="482">
      <c r="A482" s="3" t="inlineStr">
        <is>
          <t>SF5116616531758</t>
        </is>
      </c>
      <c r="B482" s="3" t="n">
        <v>58424825741705</v>
      </c>
      <c r="C482" s="3" t="inlineStr">
        <is>
          <t>派送中</t>
        </is>
      </c>
      <c r="D482" s="3" t="inlineStr">
        <is>
          <t>2026-07-03 15:33:33</t>
        </is>
      </c>
      <c r="E482" s="3" t="n"/>
      <c r="F482" s="3" t="n">
        <v>31.8</v>
      </c>
      <c r="G482" s="3" t="n">
        <v>3</v>
      </c>
      <c r="H482" s="3" t="n"/>
      <c r="I482" s="3" t="inlineStr"/>
      <c r="J482" s="3" t="inlineStr">
        <is>
          <t>Keeta</t>
        </is>
      </c>
      <c r="K482" s="3" t="inlineStr">
        <is>
          <t>****9568</t>
        </is>
      </c>
      <c r="L482" s="3" t="n"/>
      <c r="M482" s="3" t="inlineStr">
        <is>
          <t>***** 物流中心5樓</t>
        </is>
      </c>
      <c r="N482" s="3" t="inlineStr">
        <is>
          <t>北区</t>
        </is>
      </c>
      <c r="O482" s="3" t="inlineStr">
        <is>
          <t>香港</t>
        </is>
      </c>
      <c r="P482" s="3" t="inlineStr">
        <is>
          <t>香港特别行政区</t>
        </is>
      </c>
      <c r="Q482" s="3" t="n">
        <v>721520363</v>
      </c>
      <c r="R482" s="3" t="inlineStr">
        <is>
          <t>喵喵冰店</t>
        </is>
      </c>
      <c r="S482" s="3" t="inlineStr">
        <is>
          <t>****51235123</t>
        </is>
      </c>
      <c r="T482" s="3" t="inlineStr">
        <is>
          <t>****51235123</t>
        </is>
      </c>
      <c r="U482" s="3" t="inlineStr">
        <is>
          <t>***** 瓊林街33號</t>
        </is>
      </c>
      <c r="V482" s="3" t="inlineStr">
        <is>
          <t>香港</t>
        </is>
      </c>
      <c r="W482" s="3" t="inlineStr">
        <is>
          <t>无纺布【规格三中号】/ 箱出, 无纺布【规格四大号】/ 箱出</t>
        </is>
      </c>
      <c r="X482" s="3" t="inlineStr">
        <is>
          <t>ESS-SFTS-OTMS</t>
        </is>
      </c>
      <c r="Y482" s="3" t="n"/>
      <c r="Z482" s="3" t="inlineStr"/>
      <c r="AA482" s="3" t="inlineStr">
        <is>
          <t>寄付月結</t>
        </is>
      </c>
      <c r="AB482">
        <f>IFERROR(VLOOKUP(Q482&amp;"",對照表!$A:$B,1,FALSE),"")</f>
        <v/>
      </c>
      <c r="AC482">
        <f>IFERROR(VLOOKUP(Q482&amp;"",對照表!$A:$B,2,FALSE),"")</f>
        <v/>
      </c>
    </row>
    <row r="483">
      <c r="A483" s="3" t="inlineStr">
        <is>
          <t>SF5116616189599</t>
        </is>
      </c>
      <c r="B483" s="3" t="n">
        <v>58424825741677</v>
      </c>
      <c r="C483" s="3" t="inlineStr">
        <is>
          <t>已簽收</t>
        </is>
      </c>
      <c r="D483" s="3" t="inlineStr">
        <is>
          <t>2026-07-03 15:32:13</t>
        </is>
      </c>
      <c r="E483" s="3" t="inlineStr">
        <is>
          <t>2026-07-04 11:31</t>
        </is>
      </c>
      <c r="F483" s="3" t="n">
        <v>21.7</v>
      </c>
      <c r="G483" s="3" t="n">
        <v>2</v>
      </c>
      <c r="H483" s="3" t="n"/>
      <c r="I483" s="3" t="inlineStr"/>
      <c r="J483" s="3" t="inlineStr">
        <is>
          <t>Keeta</t>
        </is>
      </c>
      <c r="K483" s="3" t="inlineStr">
        <is>
          <t>****9568</t>
        </is>
      </c>
      <c r="L483" s="3" t="n"/>
      <c r="M483" s="3" t="inlineStr">
        <is>
          <t>***** 物流中心5樓</t>
        </is>
      </c>
      <c r="N483" s="3" t="inlineStr">
        <is>
          <t>北区</t>
        </is>
      </c>
      <c r="O483" s="3" t="inlineStr">
        <is>
          <t>香港</t>
        </is>
      </c>
      <c r="P483" s="3" t="inlineStr">
        <is>
          <t>香港特别行政区</t>
        </is>
      </c>
      <c r="Q483" s="3" t="n">
        <v>493913</v>
      </c>
      <c r="R483" s="3" t="inlineStr">
        <is>
          <t>古琴雅苑師承年老店北京填鴨傳統淮揚菜旺角</t>
        </is>
      </c>
      <c r="S483" s="3" t="inlineStr">
        <is>
          <t>****51665348</t>
        </is>
      </c>
      <c r="T483" s="3" t="inlineStr">
        <is>
          <t>****51665348</t>
        </is>
      </c>
      <c r="U483" s="3" t="inlineStr">
        <is>
          <t>***** 譽發廣場2樓</t>
        </is>
      </c>
      <c r="V483" s="3" t="inlineStr">
        <is>
          <t>香港</t>
        </is>
      </c>
      <c r="W483" s="3" t="inlineStr">
        <is>
          <t>无纺布【规格四大号】/ 箱出, 无纺布【规格三中号】/ 箱出</t>
        </is>
      </c>
      <c r="X483" s="3" t="inlineStr">
        <is>
          <t>ESS-SFTS-OTMS</t>
        </is>
      </c>
      <c r="Y483" s="3" t="n"/>
      <c r="Z483" s="3" t="inlineStr"/>
      <c r="AA483" s="3" t="inlineStr">
        <is>
          <t>寄付月結</t>
        </is>
      </c>
      <c r="AB483">
        <f>IFERROR(VLOOKUP(Q483&amp;"",對照表!$A:$B,1,FALSE),"")</f>
        <v/>
      </c>
      <c r="AC483">
        <f>IFERROR(VLOOKUP(Q483&amp;"",對照表!$A:$B,2,FALSE),"")</f>
        <v/>
      </c>
    </row>
    <row r="484">
      <c r="A484" s="3" t="inlineStr">
        <is>
          <t>SF5116616531925</t>
        </is>
      </c>
      <c r="B484" s="3" t="n">
        <v>58424825774117</v>
      </c>
      <c r="C484" s="3" t="inlineStr">
        <is>
          <t>已簽收</t>
        </is>
      </c>
      <c r="D484" s="3" t="inlineStr">
        <is>
          <t>2026-07-03 11:13:19</t>
        </is>
      </c>
      <c r="E484" s="3" t="inlineStr">
        <is>
          <t>2026-07-04 09:54</t>
        </is>
      </c>
      <c r="F484" s="3" t="n">
        <v>45</v>
      </c>
      <c r="G484" s="3" t="n">
        <v>3</v>
      </c>
      <c r="H484" s="3" t="n"/>
      <c r="I484" s="3" t="inlineStr"/>
      <c r="J484" s="3" t="inlineStr">
        <is>
          <t>Keeta</t>
        </is>
      </c>
      <c r="K484" s="3" t="inlineStr">
        <is>
          <t>****9568</t>
        </is>
      </c>
      <c r="L484" s="3" t="n"/>
      <c r="M484" s="3" t="inlineStr">
        <is>
          <t>***** 物流中心5樓</t>
        </is>
      </c>
      <c r="N484" s="3" t="inlineStr">
        <is>
          <t>北区</t>
        </is>
      </c>
      <c r="O484" s="3" t="inlineStr">
        <is>
          <t>香港</t>
        </is>
      </c>
      <c r="P484" s="3" t="inlineStr">
        <is>
          <t>香港特别行政区</t>
        </is>
      </c>
      <c r="Q484" s="3" t="n">
        <v>488482</v>
      </c>
      <c r="R484" s="3" t="inlineStr">
        <is>
          <t>十二味(中環)</t>
        </is>
      </c>
      <c r="S484" s="3" t="inlineStr">
        <is>
          <t>****63660242</t>
        </is>
      </c>
      <c r="T484" s="3" t="inlineStr">
        <is>
          <t>****63660242</t>
        </is>
      </c>
      <c r="U484" s="3" t="inlineStr">
        <is>
          <t>***** 街21號地舖</t>
        </is>
      </c>
      <c r="V484" s="3" t="inlineStr">
        <is>
          <t>香港</t>
        </is>
      </c>
      <c r="W484" s="3" t="inlineStr">
        <is>
          <t>纸袋【通版】/ 箱出</t>
        </is>
      </c>
      <c r="X484" s="3" t="inlineStr">
        <is>
          <t>ESS-SFTS-OTMS</t>
        </is>
      </c>
      <c r="Y484" s="3" t="n"/>
      <c r="Z484" s="3" t="inlineStr"/>
      <c r="AA484" s="3" t="inlineStr">
        <is>
          <t>寄付月結</t>
        </is>
      </c>
      <c r="AB484">
        <f>IFERROR(VLOOKUP(Q484&amp;"",對照表!$A:$B,1,FALSE),"")</f>
        <v/>
      </c>
      <c r="AC484">
        <f>IFERROR(VLOOKUP(Q484&amp;"",對照表!$A:$B,2,FALSE),"")</f>
        <v/>
      </c>
    </row>
    <row r="485">
      <c r="A485" s="3" t="inlineStr">
        <is>
          <t>SF5116616532046</t>
        </is>
      </c>
      <c r="B485" s="3" t="n">
        <v>58424825774141</v>
      </c>
      <c r="C485" s="3" t="inlineStr">
        <is>
          <t>已簽收</t>
        </is>
      </c>
      <c r="D485" s="3" t="inlineStr">
        <is>
          <t>2026-07-03 13:52:19</t>
        </is>
      </c>
      <c r="E485" s="3" t="inlineStr">
        <is>
          <t>2026-07-04 15:11</t>
        </is>
      </c>
      <c r="F485" s="3" t="n">
        <v>15</v>
      </c>
      <c r="G485" s="3" t="n">
        <v>1</v>
      </c>
      <c r="H485" s="3" t="n"/>
      <c r="I485" s="3" t="inlineStr"/>
      <c r="J485" s="3" t="inlineStr">
        <is>
          <t>Keeta</t>
        </is>
      </c>
      <c r="K485" s="3" t="inlineStr">
        <is>
          <t>****9568</t>
        </is>
      </c>
      <c r="L485" s="3" t="n"/>
      <c r="M485" s="3" t="inlineStr">
        <is>
          <t>***** 物流中心5樓</t>
        </is>
      </c>
      <c r="N485" s="3" t="inlineStr">
        <is>
          <t>北区</t>
        </is>
      </c>
      <c r="O485" s="3" t="inlineStr">
        <is>
          <t>香港</t>
        </is>
      </c>
      <c r="P485" s="3" t="inlineStr">
        <is>
          <t>香港特别行政区</t>
        </is>
      </c>
      <c r="Q485" s="3" t="n">
        <v>491782</v>
      </c>
      <c r="R485" s="3" t="inlineStr">
        <is>
          <t>蠔之神定食屋(筲箕灣)</t>
        </is>
      </c>
      <c r="S485" s="3" t="inlineStr">
        <is>
          <t>****23880022</t>
        </is>
      </c>
      <c r="T485" s="3" t="inlineStr">
        <is>
          <t>****23880022</t>
        </is>
      </c>
      <c r="U485" s="3" t="inlineStr">
        <is>
          <t>***** 廈地下A號舖</t>
        </is>
      </c>
      <c r="V485" s="3" t="inlineStr">
        <is>
          <t>香港</t>
        </is>
      </c>
      <c r="W485" s="3" t="inlineStr">
        <is>
          <t>纸袋【通版】/ 箱出</t>
        </is>
      </c>
      <c r="X485" s="3" t="inlineStr">
        <is>
          <t>ESS-SFTS-OTMS</t>
        </is>
      </c>
      <c r="Y485" s="3" t="n"/>
      <c r="Z485" s="3" t="inlineStr"/>
      <c r="AA485" s="3" t="inlineStr">
        <is>
          <t>寄付月結</t>
        </is>
      </c>
      <c r="AB485">
        <f>IFERROR(VLOOKUP(Q485&amp;"",對照表!$A:$B,1,FALSE),"")</f>
        <v/>
      </c>
      <c r="AC485">
        <f>IFERROR(VLOOKUP(Q485&amp;"",對照表!$A:$B,2,FALSE),"")</f>
        <v/>
      </c>
    </row>
    <row r="486">
      <c r="A486" s="3" t="inlineStr">
        <is>
          <t>SF5116616531855</t>
        </is>
      </c>
      <c r="B486" s="3" t="n">
        <v>58424825774101</v>
      </c>
      <c r="C486" s="3" t="inlineStr">
        <is>
          <t>已簽收</t>
        </is>
      </c>
      <c r="D486" s="3" t="inlineStr">
        <is>
          <t>2026-07-03 11:51:56</t>
        </is>
      </c>
      <c r="E486" s="3" t="inlineStr">
        <is>
          <t>2026-07-07 11:41</t>
        </is>
      </c>
      <c r="F486" s="3" t="n">
        <v>10.1</v>
      </c>
      <c r="G486" s="3" t="n">
        <v>1</v>
      </c>
      <c r="H486" s="3" t="n"/>
      <c r="I486" s="3" t="inlineStr"/>
      <c r="J486" s="3" t="inlineStr">
        <is>
          <t>Keeta</t>
        </is>
      </c>
      <c r="K486" s="3" t="inlineStr">
        <is>
          <t>****9568</t>
        </is>
      </c>
      <c r="L486" s="3" t="n"/>
      <c r="M486" s="3" t="inlineStr">
        <is>
          <t>***** 物流中心5樓</t>
        </is>
      </c>
      <c r="N486" s="3" t="inlineStr">
        <is>
          <t>北区</t>
        </is>
      </c>
      <c r="O486" s="3" t="inlineStr">
        <is>
          <t>香港</t>
        </is>
      </c>
      <c r="P486" s="3" t="inlineStr">
        <is>
          <t>香港特别行政区</t>
        </is>
      </c>
      <c r="Q486" s="3" t="n">
        <v>468479</v>
      </c>
      <c r="R486" s="3" t="inlineStr">
        <is>
          <t>川香園</t>
        </is>
      </c>
      <c r="S486" s="3" t="inlineStr">
        <is>
          <t>****6316</t>
        </is>
      </c>
      <c r="T486" s="3" t="inlineStr">
        <is>
          <t>****6316</t>
        </is>
      </c>
      <c r="U486" s="3" t="inlineStr">
        <is>
          <t>***** UG43号铺</t>
        </is>
      </c>
      <c r="V486" s="3" t="inlineStr">
        <is>
          <t>香港</t>
        </is>
      </c>
      <c r="W486" s="3" t="inlineStr">
        <is>
          <t>无纺布【规格三中号】/ 箱出</t>
        </is>
      </c>
      <c r="X486" s="3" t="inlineStr">
        <is>
          <t>ESS-SFTS-OTMS</t>
        </is>
      </c>
      <c r="Y486" s="3" t="n"/>
      <c r="Z486" s="3" t="inlineStr"/>
      <c r="AA486" s="3" t="inlineStr">
        <is>
          <t>寄付月結</t>
        </is>
      </c>
      <c r="AB486">
        <f>IFERROR(VLOOKUP(Q486&amp;"",對照表!$A:$B,1,FALSE),"")</f>
        <v/>
      </c>
      <c r="AC486">
        <f>IFERROR(VLOOKUP(Q486&amp;"",對照表!$A:$B,2,FALSE),"")</f>
        <v/>
      </c>
    </row>
    <row r="487">
      <c r="A487" s="3" t="inlineStr">
        <is>
          <t>SF5116616531837</t>
        </is>
      </c>
      <c r="B487" s="3" t="n">
        <v>58424825774096</v>
      </c>
      <c r="C487" s="3" t="inlineStr">
        <is>
          <t>已簽收</t>
        </is>
      </c>
      <c r="D487" s="3" t="inlineStr">
        <is>
          <t>2026-07-03 14:32:59</t>
        </is>
      </c>
      <c r="E487" s="3" t="inlineStr">
        <is>
          <t>2026-07-06 20:06</t>
        </is>
      </c>
      <c r="F487" s="3" t="n">
        <v>7.5</v>
      </c>
      <c r="G487" s="3" t="n">
        <v>1</v>
      </c>
      <c r="H487" s="3" t="n"/>
      <c r="I487" s="3" t="inlineStr"/>
      <c r="J487" s="3" t="inlineStr">
        <is>
          <t>Keeta</t>
        </is>
      </c>
      <c r="K487" s="3" t="inlineStr">
        <is>
          <t>****9568</t>
        </is>
      </c>
      <c r="L487" s="3" t="n"/>
      <c r="M487" s="3" t="inlineStr">
        <is>
          <t>***** 物流中心5樓</t>
        </is>
      </c>
      <c r="N487" s="3" t="inlineStr">
        <is>
          <t>北区</t>
        </is>
      </c>
      <c r="O487" s="3" t="inlineStr">
        <is>
          <t>香港</t>
        </is>
      </c>
      <c r="P487" s="3" t="inlineStr">
        <is>
          <t>香港特别行政区</t>
        </is>
      </c>
      <c r="Q487" s="3" t="n">
        <v>494646</v>
      </c>
      <c r="R487" s="3" t="inlineStr">
        <is>
          <t>象茶全新餐牌全新體驗快啲嚟嗌我啦</t>
        </is>
      </c>
      <c r="S487" s="3" t="inlineStr">
        <is>
          <t>****1107</t>
        </is>
      </c>
      <c r="T487" s="3" t="inlineStr">
        <is>
          <t>****1107</t>
        </is>
      </c>
      <c r="U487" s="3" t="inlineStr">
        <is>
          <t>***** B201号铺</t>
        </is>
      </c>
      <c r="V487" s="3" t="inlineStr">
        <is>
          <t>香港</t>
        </is>
      </c>
      <c r="W487" s="3" t="inlineStr">
        <is>
          <t>无纺布【规格二双杯】/ 箱出</t>
        </is>
      </c>
      <c r="X487" s="3" t="inlineStr">
        <is>
          <t>ESS-SFTS-OTMS</t>
        </is>
      </c>
      <c r="Y487" s="3" t="n"/>
      <c r="Z487" s="3" t="inlineStr"/>
      <c r="AA487" s="3" t="inlineStr">
        <is>
          <t>寄付月結</t>
        </is>
      </c>
      <c r="AB487">
        <f>IFERROR(VLOOKUP(Q487&amp;"",對照表!$A:$B,1,FALSE),"")</f>
        <v/>
      </c>
      <c r="AC487">
        <f>IFERROR(VLOOKUP(Q487&amp;"",對照表!$A:$B,2,FALSE),"")</f>
        <v/>
      </c>
    </row>
    <row r="488">
      <c r="A488" s="3" t="inlineStr">
        <is>
          <t>SF5116616189553</t>
        </is>
      </c>
      <c r="B488" s="3" t="n">
        <v>58424825741666</v>
      </c>
      <c r="C488" s="3" t="inlineStr">
        <is>
          <t>已簽收</t>
        </is>
      </c>
      <c r="D488" s="3" t="inlineStr">
        <is>
          <t>2026-07-03 16:44:29</t>
        </is>
      </c>
      <c r="E488" s="3" t="inlineStr">
        <is>
          <t>2026-07-04 17:54</t>
        </is>
      </c>
      <c r="F488" s="3" t="n">
        <v>23.68</v>
      </c>
      <c r="G488" s="3" t="n">
        <v>2</v>
      </c>
      <c r="H488" s="3" t="n"/>
      <c r="I488" s="3" t="inlineStr"/>
      <c r="J488" s="3" t="inlineStr">
        <is>
          <t>Keeta</t>
        </is>
      </c>
      <c r="K488" s="3" t="inlineStr">
        <is>
          <t>****9568</t>
        </is>
      </c>
      <c r="L488" s="3" t="n"/>
      <c r="M488" s="3" t="inlineStr">
        <is>
          <t>***** 物流中心5樓</t>
        </is>
      </c>
      <c r="N488" s="3" t="inlineStr">
        <is>
          <t>北区</t>
        </is>
      </c>
      <c r="O488" s="3" t="inlineStr">
        <is>
          <t>香港</t>
        </is>
      </c>
      <c r="P488" s="3" t="inlineStr">
        <is>
          <t>香港特别行政区</t>
        </is>
      </c>
      <c r="Q488" s="3" t="n">
        <v>721519344</v>
      </c>
      <c r="R488" s="3" t="inlineStr">
        <is>
          <t>FlatIronSteak(名店坊)</t>
        </is>
      </c>
      <c r="S488" s="3" t="inlineStr">
        <is>
          <t>****98095309</t>
        </is>
      </c>
      <c r="T488" s="3" t="inlineStr">
        <is>
          <t>****98095309</t>
        </is>
      </c>
      <c r="U488" s="3" t="inlineStr">
        <is>
          <t>***** 下1及2號舖</t>
        </is>
      </c>
      <c r="V488" s="3" t="inlineStr">
        <is>
          <t>香港</t>
        </is>
      </c>
      <c r="W488" s="3" t="inlineStr">
        <is>
          <t>纸袋【Preminum黑】/ 箱出, 无纺布【Preminum黑】/ 箱出</t>
        </is>
      </c>
      <c r="X488" s="3" t="inlineStr">
        <is>
          <t>ESS-SFTS-OTMS</t>
        </is>
      </c>
      <c r="Y488" s="3" t="n"/>
      <c r="Z488" s="3" t="inlineStr"/>
      <c r="AA488" s="3" t="inlineStr">
        <is>
          <t>寄付月結</t>
        </is>
      </c>
      <c r="AB488">
        <f>IFERROR(VLOOKUP(Q488&amp;"",對照表!$A:$B,1,FALSE),"")</f>
        <v/>
      </c>
      <c r="AC488">
        <f>IFERROR(VLOOKUP(Q488&amp;"",對照表!$A:$B,2,FALSE),"")</f>
        <v/>
      </c>
    </row>
    <row r="489">
      <c r="A489" s="3" t="inlineStr">
        <is>
          <t>SF5116616189605</t>
        </is>
      </c>
      <c r="B489" s="3" t="n">
        <v>58424825741679</v>
      </c>
      <c r="C489" s="3" t="inlineStr">
        <is>
          <t>已簽收</t>
        </is>
      </c>
      <c r="D489" s="3" t="inlineStr">
        <is>
          <t>2026-07-03 14:14:02</t>
        </is>
      </c>
      <c r="E489" s="3" t="inlineStr">
        <is>
          <t>2026-07-04 12:10</t>
        </is>
      </c>
      <c r="F489" s="3" t="n">
        <v>80.8</v>
      </c>
      <c r="G489" s="3" t="n">
        <v>8</v>
      </c>
      <c r="H489" s="3" t="n"/>
      <c r="I489" s="3" t="inlineStr"/>
      <c r="J489" s="3" t="inlineStr">
        <is>
          <t>Keeta</t>
        </is>
      </c>
      <c r="K489" s="3" t="inlineStr">
        <is>
          <t>****9568</t>
        </is>
      </c>
      <c r="L489" s="3" t="n"/>
      <c r="M489" s="3" t="inlineStr">
        <is>
          <t>***** 物流中心5樓</t>
        </is>
      </c>
      <c r="N489" s="3" t="inlineStr">
        <is>
          <t>北区</t>
        </is>
      </c>
      <c r="O489" s="3" t="inlineStr">
        <is>
          <t>香港</t>
        </is>
      </c>
      <c r="P489" s="3" t="inlineStr">
        <is>
          <t>香港特别行政区</t>
        </is>
      </c>
      <c r="Q489" s="3" t="n">
        <v>467586</v>
      </c>
      <c r="R489" s="3" t="inlineStr">
        <is>
          <t>牛丼丼封門柳丼飯沙律專門店逐件同你即燒拒絕預製菜品</t>
        </is>
      </c>
      <c r="S489" s="3" t="inlineStr">
        <is>
          <t>****69986908</t>
        </is>
      </c>
      <c r="T489" s="3" t="inlineStr">
        <is>
          <t>****69986908</t>
        </is>
      </c>
      <c r="U489" s="3" t="inlineStr">
        <is>
          <t>***** 樓 H07號</t>
        </is>
      </c>
      <c r="V489" s="3" t="inlineStr">
        <is>
          <t>香港</t>
        </is>
      </c>
      <c r="W489" s="3" t="inlineStr">
        <is>
          <t>无纺布【规格三中号】/ 箱出</t>
        </is>
      </c>
      <c r="X489" s="3" t="inlineStr">
        <is>
          <t>ESS-SFTS-OTMS</t>
        </is>
      </c>
      <c r="Y489" s="3" t="n"/>
      <c r="Z489" s="3" t="inlineStr"/>
      <c r="AA489" s="3" t="inlineStr">
        <is>
          <t>寄付月結</t>
        </is>
      </c>
      <c r="AB489">
        <f>IFERROR(VLOOKUP(Q489&amp;"",對照表!$A:$B,1,FALSE),"")</f>
        <v/>
      </c>
      <c r="AC489">
        <f>IFERROR(VLOOKUP(Q489&amp;"",對照表!$A:$B,2,FALSE),"")</f>
        <v/>
      </c>
    </row>
    <row r="490">
      <c r="A490" s="3" t="inlineStr">
        <is>
          <t>SF5116616531661</t>
        </is>
      </c>
      <c r="B490" s="3" t="n">
        <v>58424825741688</v>
      </c>
      <c r="C490" s="3" t="inlineStr">
        <is>
          <t>已簽收</t>
        </is>
      </c>
      <c r="D490" s="3" t="inlineStr">
        <is>
          <t>2026-07-03 12:15:50</t>
        </is>
      </c>
      <c r="E490" s="3" t="inlineStr">
        <is>
          <t>2026-07-04 14:18</t>
        </is>
      </c>
      <c r="F490" s="3" t="n">
        <v>69.59999999999999</v>
      </c>
      <c r="G490" s="3" t="n">
        <v>6</v>
      </c>
      <c r="H490" s="3" t="n"/>
      <c r="I490" s="3" t="inlineStr"/>
      <c r="J490" s="3" t="inlineStr">
        <is>
          <t>Keeta</t>
        </is>
      </c>
      <c r="K490" s="3" t="inlineStr">
        <is>
          <t>****9568</t>
        </is>
      </c>
      <c r="L490" s="3" t="n"/>
      <c r="M490" s="3" t="inlineStr">
        <is>
          <t>***** 物流中心5樓</t>
        </is>
      </c>
      <c r="N490" s="3" t="inlineStr">
        <is>
          <t>北区</t>
        </is>
      </c>
      <c r="O490" s="3" t="inlineStr">
        <is>
          <t>香港</t>
        </is>
      </c>
      <c r="P490" s="3" t="inlineStr">
        <is>
          <t>香港特别行政区</t>
        </is>
      </c>
      <c r="Q490" s="3" t="n">
        <v>451717</v>
      </c>
      <c r="R490" s="3" t="inlineStr">
        <is>
          <t>華嫂冰室(杜智臺)WasoCafe(TonnochyTowers)</t>
        </is>
      </c>
      <c r="S490" s="3" t="inlineStr">
        <is>
          <t>****26985599</t>
        </is>
      </c>
      <c r="T490" s="3" t="inlineStr">
        <is>
          <t>****26985599</t>
        </is>
      </c>
      <c r="U490" s="3" t="inlineStr">
        <is>
          <t>***** 下3-4號舖</t>
        </is>
      </c>
      <c r="V490" s="3" t="inlineStr">
        <is>
          <t>香港</t>
        </is>
      </c>
      <c r="W490" s="3" t="inlineStr">
        <is>
          <t>无纺布【规格四大号】/ 箱出</t>
        </is>
      </c>
      <c r="X490" s="3" t="inlineStr">
        <is>
          <t>ESS-SFTS-OTMS</t>
        </is>
      </c>
      <c r="Y490" s="3" t="n"/>
      <c r="Z490" s="3" t="inlineStr"/>
      <c r="AA490" s="3" t="inlineStr">
        <is>
          <t>寄付月結</t>
        </is>
      </c>
      <c r="AB490">
        <f>IFERROR(VLOOKUP(Q490&amp;"",對照表!$A:$B,1,FALSE),"")</f>
        <v/>
      </c>
      <c r="AC490">
        <f>IFERROR(VLOOKUP(Q490&amp;"",對照表!$A:$B,2,FALSE),"")</f>
        <v/>
      </c>
    </row>
    <row r="491">
      <c r="A491" s="3" t="inlineStr">
        <is>
          <t>SF5116616531721</t>
        </is>
      </c>
      <c r="B491" s="3" t="n">
        <v>58424825741698</v>
      </c>
      <c r="C491" s="3" t="inlineStr">
        <is>
          <t>已簽收</t>
        </is>
      </c>
      <c r="D491" s="3" t="inlineStr">
        <is>
          <t>2026-07-03 11:36:32</t>
        </is>
      </c>
      <c r="E491" s="3" t="inlineStr">
        <is>
          <t>2026-07-04 10:08</t>
        </is>
      </c>
      <c r="F491" s="3" t="n">
        <v>20.2</v>
      </c>
      <c r="G491" s="3" t="n">
        <v>2</v>
      </c>
      <c r="H491" s="3" t="n"/>
      <c r="I491" s="3" t="inlineStr"/>
      <c r="J491" s="3" t="inlineStr">
        <is>
          <t>Keeta</t>
        </is>
      </c>
      <c r="K491" s="3" t="inlineStr">
        <is>
          <t>****9568</t>
        </is>
      </c>
      <c r="L491" s="3" t="n"/>
      <c r="M491" s="3" t="inlineStr">
        <is>
          <t>***** 物流中心5樓</t>
        </is>
      </c>
      <c r="N491" s="3" t="inlineStr">
        <is>
          <t>北区</t>
        </is>
      </c>
      <c r="O491" s="3" t="inlineStr">
        <is>
          <t>香港</t>
        </is>
      </c>
      <c r="P491" s="3" t="inlineStr">
        <is>
          <t>香港特别行政区</t>
        </is>
      </c>
      <c r="Q491" s="3" t="n">
        <v>721447296</v>
      </c>
      <c r="R491" s="3" t="inlineStr">
        <is>
          <t>窯雞王（觀塘店）</t>
        </is>
      </c>
      <c r="S491" s="3" t="inlineStr">
        <is>
          <t>****53695276</t>
        </is>
      </c>
      <c r="T491" s="3" t="inlineStr">
        <is>
          <t>****53695276</t>
        </is>
      </c>
      <c r="U491" s="3" t="inlineStr">
        <is>
          <t>***** 號地下2號舖</t>
        </is>
      </c>
      <c r="V491" s="3" t="inlineStr">
        <is>
          <t>香港</t>
        </is>
      </c>
      <c r="W491" s="3" t="inlineStr">
        <is>
          <t>无纺布【规格三中号】/ 箱出</t>
        </is>
      </c>
      <c r="X491" s="3" t="inlineStr">
        <is>
          <t>ESS-SFTS-OTMS</t>
        </is>
      </c>
      <c r="Y491" s="3" t="n"/>
      <c r="Z491" s="3" t="inlineStr"/>
      <c r="AA491" s="3" t="inlineStr">
        <is>
          <t>寄付月結</t>
        </is>
      </c>
      <c r="AB491">
        <f>IFERROR(VLOOKUP(Q491&amp;"",對照表!$A:$B,1,FALSE),"")</f>
        <v/>
      </c>
      <c r="AC491">
        <f>IFERROR(VLOOKUP(Q491&amp;"",對照表!$A:$B,2,FALSE),"")</f>
        <v/>
      </c>
    </row>
    <row r="492">
      <c r="A492" s="3" t="inlineStr">
        <is>
          <t>SF5116616531934</t>
        </is>
      </c>
      <c r="B492" s="3" t="n">
        <v>58424825774119</v>
      </c>
      <c r="C492" s="3" t="inlineStr">
        <is>
          <t>已簽收</t>
        </is>
      </c>
      <c r="D492" s="3" t="inlineStr">
        <is>
          <t>2026-07-03 11:40:52</t>
        </is>
      </c>
      <c r="E492" s="3" t="inlineStr">
        <is>
          <t>2026-07-04 13:27</t>
        </is>
      </c>
      <c r="F492" s="3" t="n">
        <v>47.28</v>
      </c>
      <c r="G492" s="3" t="n">
        <v>4</v>
      </c>
      <c r="H492" s="3" t="n"/>
      <c r="I492" s="3" t="inlineStr"/>
      <c r="J492" s="3" t="inlineStr">
        <is>
          <t>Keeta</t>
        </is>
      </c>
      <c r="K492" s="3" t="inlineStr">
        <is>
          <t>****9568</t>
        </is>
      </c>
      <c r="L492" s="3" t="n"/>
      <c r="M492" s="3" t="inlineStr">
        <is>
          <t>***** 物流中心5樓</t>
        </is>
      </c>
      <c r="N492" s="3" t="inlineStr">
        <is>
          <t>北区</t>
        </is>
      </c>
      <c r="O492" s="3" t="inlineStr">
        <is>
          <t>香港</t>
        </is>
      </c>
      <c r="P492" s="3" t="inlineStr">
        <is>
          <t>香港特别行政区</t>
        </is>
      </c>
      <c r="Q492" s="3" t="n">
        <v>475373</v>
      </c>
      <c r="R492" s="3" t="inlineStr">
        <is>
          <t>牧羊少年咖啡館(葵青劇院)</t>
        </is>
      </c>
      <c r="S492" s="3" t="inlineStr">
        <is>
          <t>****24395669</t>
        </is>
      </c>
      <c r="T492" s="3" t="inlineStr">
        <is>
          <t>****24395669</t>
        </is>
      </c>
      <c r="U492" s="3" t="inlineStr">
        <is>
          <t>***** 院地下2號舖</t>
        </is>
      </c>
      <c r="V492" s="3" t="inlineStr">
        <is>
          <t>香港</t>
        </is>
      </c>
      <c r="W492" s="3" t="inlineStr">
        <is>
          <t>无纺布【Preminum黑】/ 箱出</t>
        </is>
      </c>
      <c r="X492" s="3" t="inlineStr">
        <is>
          <t>ESS-SFTS-OTMS</t>
        </is>
      </c>
      <c r="Y492" s="3" t="n"/>
      <c r="Z492" s="3" t="inlineStr"/>
      <c r="AA492" s="3" t="inlineStr">
        <is>
          <t>寄付月結</t>
        </is>
      </c>
      <c r="AB492">
        <f>IFERROR(VLOOKUP(Q492&amp;"",對照表!$A:$B,1,FALSE),"")</f>
        <v/>
      </c>
      <c r="AC492">
        <f>IFERROR(VLOOKUP(Q492&amp;"",對照表!$A:$B,2,FALSE),"")</f>
        <v/>
      </c>
    </row>
    <row r="493">
      <c r="A493" s="3" t="inlineStr">
        <is>
          <t>SF5116616189456</t>
        </is>
      </c>
      <c r="B493" s="3" t="n">
        <v>58424825741645</v>
      </c>
      <c r="C493" s="3" t="inlineStr">
        <is>
          <t>已簽收</t>
        </is>
      </c>
      <c r="D493" s="3" t="inlineStr">
        <is>
          <t>2026-07-03 16:44:31</t>
        </is>
      </c>
      <c r="E493" s="3" t="inlineStr">
        <is>
          <t>2026-07-04 11:44</t>
        </is>
      </c>
      <c r="F493" s="3" t="n">
        <v>23.68</v>
      </c>
      <c r="G493" s="3" t="n">
        <v>2</v>
      </c>
      <c r="H493" s="3" t="n"/>
      <c r="I493" s="3" t="inlineStr"/>
      <c r="J493" s="3" t="inlineStr">
        <is>
          <t>Keeta</t>
        </is>
      </c>
      <c r="K493" s="3" t="inlineStr">
        <is>
          <t>****9568</t>
        </is>
      </c>
      <c r="L493" s="3" t="n"/>
      <c r="M493" s="3" t="inlineStr">
        <is>
          <t>***** 物流中心5樓</t>
        </is>
      </c>
      <c r="N493" s="3" t="inlineStr">
        <is>
          <t>北区</t>
        </is>
      </c>
      <c r="O493" s="3" t="inlineStr">
        <is>
          <t>香港</t>
        </is>
      </c>
      <c r="P493" s="3" t="inlineStr">
        <is>
          <t>香港特别行政区</t>
        </is>
      </c>
      <c r="Q493" s="3" t="n">
        <v>471764</v>
      </c>
      <c r="R493" s="3" t="inlineStr">
        <is>
          <t>FlatIronSteak(SoHo)</t>
        </is>
      </c>
      <c r="S493" s="3" t="inlineStr">
        <is>
          <t>****98421883</t>
        </is>
      </c>
      <c r="T493" s="3" t="inlineStr">
        <is>
          <t>****98421883</t>
        </is>
      </c>
      <c r="U493" s="3" t="inlineStr">
        <is>
          <t>***** g Kong</t>
        </is>
      </c>
      <c r="V493" s="3" t="inlineStr">
        <is>
          <t>香港</t>
        </is>
      </c>
      <c r="W493" s="3" t="inlineStr">
        <is>
          <t>无纺布【Preminum黑】/ 箱出, 纸袋【Preminum黑】/ 箱出</t>
        </is>
      </c>
      <c r="X493" s="3" t="inlineStr">
        <is>
          <t>ESS-SFTS-OTMS</t>
        </is>
      </c>
      <c r="Y493" s="3" t="n"/>
      <c r="Z493" s="3" t="inlineStr"/>
      <c r="AA493" s="3" t="inlineStr">
        <is>
          <t>寄付月結</t>
        </is>
      </c>
      <c r="AB493">
        <f>IFERROR(VLOOKUP(Q493&amp;"",對照表!$A:$B,1,FALSE),"")</f>
        <v/>
      </c>
      <c r="AC493">
        <f>IFERROR(VLOOKUP(Q493&amp;"",對照表!$A:$B,2,FALSE),"")</f>
        <v/>
      </c>
    </row>
    <row r="494">
      <c r="A494" s="3" t="inlineStr">
        <is>
          <t>SF5116616532082</t>
        </is>
      </c>
      <c r="B494" s="3" t="n">
        <v>58424825774149</v>
      </c>
      <c r="C494" s="3" t="inlineStr">
        <is>
          <t>已簽收</t>
        </is>
      </c>
      <c r="D494" s="3" t="inlineStr">
        <is>
          <t>2026-07-03 10:30:55</t>
        </is>
      </c>
      <c r="E494" s="3" t="inlineStr">
        <is>
          <t>2026-07-04 16:32</t>
        </is>
      </c>
      <c r="F494" s="3" t="n">
        <v>11.6</v>
      </c>
      <c r="G494" s="3" t="n">
        <v>1</v>
      </c>
      <c r="H494" s="3" t="n"/>
      <c r="I494" s="3" t="inlineStr"/>
      <c r="J494" s="3" t="inlineStr">
        <is>
          <t>Keeta</t>
        </is>
      </c>
      <c r="K494" s="3" t="inlineStr">
        <is>
          <t>****9568</t>
        </is>
      </c>
      <c r="L494" s="3" t="n"/>
      <c r="M494" s="3" t="inlineStr">
        <is>
          <t>***** 物流中心5樓</t>
        </is>
      </c>
      <c r="N494" s="3" t="inlineStr">
        <is>
          <t>北区</t>
        </is>
      </c>
      <c r="O494" s="3" t="inlineStr">
        <is>
          <t>香港</t>
        </is>
      </c>
      <c r="P494" s="3" t="inlineStr">
        <is>
          <t>香港特别行政区</t>
        </is>
      </c>
      <c r="Q494" s="3" t="n">
        <v>485213</v>
      </c>
      <c r="R494" s="3" t="inlineStr">
        <is>
          <t>名串王高質串燒酸辣粉</t>
        </is>
      </c>
      <c r="S494" s="3" t="inlineStr">
        <is>
          <t>****26026828</t>
        </is>
      </c>
      <c r="T494" s="3" t="inlineStr">
        <is>
          <t>****26026828</t>
        </is>
      </c>
      <c r="U494" s="3" t="inlineStr">
        <is>
          <t>***** 豐閣4A地舖</t>
        </is>
      </c>
      <c r="V494" s="3" t="inlineStr">
        <is>
          <t>香港</t>
        </is>
      </c>
      <c r="W494" s="3" t="inlineStr">
        <is>
          <t>无纺布【规格四大号】/ 箱出</t>
        </is>
      </c>
      <c r="X494" s="3" t="inlineStr">
        <is>
          <t>ESS-SFTS-OTMS</t>
        </is>
      </c>
      <c r="Y494" s="3" t="n"/>
      <c r="Z494" s="3" t="inlineStr"/>
      <c r="AA494" s="3" t="inlineStr">
        <is>
          <t>寄付月結</t>
        </is>
      </c>
      <c r="AB494">
        <f>IFERROR(VLOOKUP(Q494&amp;"",對照表!$A:$B,1,FALSE),"")</f>
        <v/>
      </c>
      <c r="AC494">
        <f>IFERROR(VLOOKUP(Q494&amp;"",對照表!$A:$B,2,FALSE),"")</f>
        <v/>
      </c>
    </row>
    <row r="495">
      <c r="A495" s="3" t="inlineStr">
        <is>
          <t>SF5116616531907</t>
        </is>
      </c>
      <c r="B495" s="3" t="n">
        <v>58424825774113</v>
      </c>
      <c r="C495" s="3" t="inlineStr">
        <is>
          <t>派送中</t>
        </is>
      </c>
      <c r="D495" s="3" t="inlineStr">
        <is>
          <t>2026-07-03 11:52:15</t>
        </is>
      </c>
      <c r="E495" s="3" t="n"/>
      <c r="F495" s="3" t="n">
        <v>10.1</v>
      </c>
      <c r="G495" s="3" t="n">
        <v>1</v>
      </c>
      <c r="H495" s="3" t="n"/>
      <c r="I495" s="3" t="inlineStr"/>
      <c r="J495" s="3" t="inlineStr">
        <is>
          <t>Keeta</t>
        </is>
      </c>
      <c r="K495" s="3" t="inlineStr">
        <is>
          <t>****9568</t>
        </is>
      </c>
      <c r="L495" s="3" t="n"/>
      <c r="M495" s="3" t="inlineStr">
        <is>
          <t>***** 物流中心5樓</t>
        </is>
      </c>
      <c r="N495" s="3" t="inlineStr">
        <is>
          <t>北区</t>
        </is>
      </c>
      <c r="O495" s="3" t="inlineStr">
        <is>
          <t>香港</t>
        </is>
      </c>
      <c r="P495" s="3" t="inlineStr">
        <is>
          <t>香港特别行政区</t>
        </is>
      </c>
      <c r="Q495" s="3" t="n">
        <v>456446</v>
      </c>
      <c r="R495" s="3" t="inlineStr">
        <is>
          <t>二當家粉麵</t>
        </is>
      </c>
      <c r="S495" s="3" t="inlineStr">
        <is>
          <t>****26035668</t>
        </is>
      </c>
      <c r="T495" s="3" t="inlineStr">
        <is>
          <t>****26035668</t>
        </is>
      </c>
      <c r="U495" s="3" t="inlineStr">
        <is>
          <t>***** 街23號地舖</t>
        </is>
      </c>
      <c r="V495" s="3" t="inlineStr">
        <is>
          <t>香港</t>
        </is>
      </c>
      <c r="W495" s="3" t="inlineStr">
        <is>
          <t>无纺布【规格三中号】/ 箱出</t>
        </is>
      </c>
      <c r="X495" s="3" t="inlineStr">
        <is>
          <t>ESS-SFTS-OTMS</t>
        </is>
      </c>
      <c r="Y495" s="3" t="n"/>
      <c r="Z495" s="3" t="inlineStr"/>
      <c r="AA495" s="3" t="inlineStr">
        <is>
          <t>寄付月結</t>
        </is>
      </c>
      <c r="AB495">
        <f>IFERROR(VLOOKUP(Q495&amp;"",對照表!$A:$B,1,FALSE),"")</f>
        <v/>
      </c>
      <c r="AC495">
        <f>IFERROR(VLOOKUP(Q495&amp;"",對照表!$A:$B,2,FALSE),"")</f>
        <v/>
      </c>
    </row>
    <row r="496">
      <c r="A496" s="3" t="inlineStr">
        <is>
          <t>SF5116616531970</t>
        </is>
      </c>
      <c r="B496" s="3" t="n">
        <v>58424825774127</v>
      </c>
      <c r="C496" s="3" t="inlineStr">
        <is>
          <t>已簽收</t>
        </is>
      </c>
      <c r="D496" s="3" t="inlineStr">
        <is>
          <t>2026-07-03 13:44:57</t>
        </is>
      </c>
      <c r="E496" s="3" t="inlineStr">
        <is>
          <t>2026-07-04 16:03</t>
        </is>
      </c>
      <c r="F496" s="3" t="n">
        <v>23.2</v>
      </c>
      <c r="G496" s="3" t="n">
        <v>2</v>
      </c>
      <c r="H496" s="3" t="n"/>
      <c r="I496" s="3" t="inlineStr"/>
      <c r="J496" s="3" t="inlineStr">
        <is>
          <t>Keeta</t>
        </is>
      </c>
      <c r="K496" s="3" t="inlineStr">
        <is>
          <t>****9568</t>
        </is>
      </c>
      <c r="L496" s="3" t="n"/>
      <c r="M496" s="3" t="inlineStr">
        <is>
          <t>***** 物流中心5樓</t>
        </is>
      </c>
      <c r="N496" s="3" t="inlineStr">
        <is>
          <t>北区</t>
        </is>
      </c>
      <c r="O496" s="3" t="inlineStr">
        <is>
          <t>香港</t>
        </is>
      </c>
      <c r="P496" s="3" t="inlineStr">
        <is>
          <t>香港特别行政区</t>
        </is>
      </c>
      <c r="Q496" s="3" t="n">
        <v>583094</v>
      </c>
      <c r="R496" s="3" t="inlineStr">
        <is>
          <t>韓餐（新品限時8折）</t>
        </is>
      </c>
      <c r="S496" s="3" t="inlineStr">
        <is>
          <t>****26682333</t>
        </is>
      </c>
      <c r="T496" s="3" t="inlineStr">
        <is>
          <t>****26682333</t>
        </is>
      </c>
      <c r="U496" s="3" t="inlineStr">
        <is>
          <t>***** 號美倫閣地鋪</t>
        </is>
      </c>
      <c r="V496" s="3" t="inlineStr">
        <is>
          <t>香港</t>
        </is>
      </c>
      <c r="W496" s="3" t="inlineStr">
        <is>
          <t>无纺布【规格四大号】/ 箱出</t>
        </is>
      </c>
      <c r="X496" s="3" t="inlineStr">
        <is>
          <t>ESS-SFTS-OTMS</t>
        </is>
      </c>
      <c r="Y496" s="3" t="n"/>
      <c r="Z496" s="3" t="inlineStr"/>
      <c r="AA496" s="3" t="inlineStr">
        <is>
          <t>寄付月結</t>
        </is>
      </c>
      <c r="AB496">
        <f>IFERROR(VLOOKUP(Q496&amp;"",對照表!$A:$B,1,FALSE),"")</f>
        <v/>
      </c>
      <c r="AC496">
        <f>IFERROR(VLOOKUP(Q496&amp;"",對照表!$A:$B,2,FALSE),"")</f>
        <v/>
      </c>
    </row>
    <row r="497">
      <c r="A497" s="3" t="inlineStr">
        <is>
          <t>SF5116616532037</t>
        </is>
      </c>
      <c r="B497" s="3" t="n">
        <v>58424825774139</v>
      </c>
      <c r="C497" s="3" t="inlineStr">
        <is>
          <t>已簽收</t>
        </is>
      </c>
      <c r="D497" s="3" t="inlineStr">
        <is>
          <t>2026-07-03 13:44:57</t>
        </is>
      </c>
      <c r="E497" s="3" t="inlineStr">
        <is>
          <t>2026-07-04 10:01</t>
        </is>
      </c>
      <c r="F497" s="3" t="n">
        <v>23.2</v>
      </c>
      <c r="G497" s="3" t="n">
        <v>2</v>
      </c>
      <c r="H497" s="3" t="n"/>
      <c r="I497" s="3" t="inlineStr"/>
      <c r="J497" s="3" t="inlineStr">
        <is>
          <t>Keeta</t>
        </is>
      </c>
      <c r="K497" s="3" t="inlineStr">
        <is>
          <t>****9568</t>
        </is>
      </c>
      <c r="L497" s="3" t="n"/>
      <c r="M497" s="3" t="inlineStr">
        <is>
          <t>***** 物流中心5樓</t>
        </is>
      </c>
      <c r="N497" s="3" t="inlineStr">
        <is>
          <t>北区</t>
        </is>
      </c>
      <c r="O497" s="3" t="inlineStr">
        <is>
          <t>香港</t>
        </is>
      </c>
      <c r="P497" s="3" t="inlineStr">
        <is>
          <t>香港特别行政区</t>
        </is>
      </c>
      <c r="Q497" s="3" t="n">
        <v>452133</v>
      </c>
      <c r="R497" s="3" t="inlineStr">
        <is>
          <t>一哥湯麵皇館</t>
        </is>
      </c>
      <c r="S497" s="3" t="inlineStr">
        <is>
          <t>****35260590</t>
        </is>
      </c>
      <c r="T497" s="3" t="inlineStr">
        <is>
          <t>****35260590</t>
        </is>
      </c>
      <c r="U497" s="3" t="inlineStr">
        <is>
          <t>***** 廈21樓1室</t>
        </is>
      </c>
      <c r="V497" s="3" t="inlineStr">
        <is>
          <t>香港</t>
        </is>
      </c>
      <c r="W497" s="3" t="inlineStr">
        <is>
          <t>无纺布【规格四大号】/ 箱出</t>
        </is>
      </c>
      <c r="X497" s="3" t="inlineStr">
        <is>
          <t>ESS-SFTS-OTMS</t>
        </is>
      </c>
      <c r="Y497" s="3" t="n"/>
      <c r="Z497" s="3" t="inlineStr"/>
      <c r="AA497" s="3" t="inlineStr">
        <is>
          <t>寄付月結</t>
        </is>
      </c>
      <c r="AB497">
        <f>IFERROR(VLOOKUP(Q497&amp;"",對照表!$A:$B,1,FALSE),"")</f>
        <v/>
      </c>
      <c r="AC497">
        <f>IFERROR(VLOOKUP(Q497&amp;"",對照表!$A:$B,2,FALSE),"")</f>
        <v/>
      </c>
    </row>
    <row r="498">
      <c r="A498" s="3" t="inlineStr">
        <is>
          <t>SF5116616189369</t>
        </is>
      </c>
      <c r="B498" s="3" t="n">
        <v>58424825741625</v>
      </c>
      <c r="C498" s="3" t="inlineStr">
        <is>
          <t>已簽收</t>
        </is>
      </c>
      <c r="D498" s="3" t="inlineStr">
        <is>
          <t>2026-07-03 15:32:06</t>
        </is>
      </c>
      <c r="E498" s="3" t="inlineStr">
        <is>
          <t>2026-07-04 09:18</t>
        </is>
      </c>
      <c r="F498" s="3" t="n">
        <v>21.7</v>
      </c>
      <c r="G498" s="3" t="n">
        <v>2</v>
      </c>
      <c r="H498" s="3" t="n"/>
      <c r="I498" s="3" t="inlineStr"/>
      <c r="J498" s="3" t="inlineStr">
        <is>
          <t>Keeta</t>
        </is>
      </c>
      <c r="K498" s="3" t="inlineStr">
        <is>
          <t>****9568</t>
        </is>
      </c>
      <c r="L498" s="3" t="n"/>
      <c r="M498" s="3" t="inlineStr">
        <is>
          <t>***** 物流中心5樓</t>
        </is>
      </c>
      <c r="N498" s="3" t="inlineStr">
        <is>
          <t>北区</t>
        </is>
      </c>
      <c r="O498" s="3" t="inlineStr">
        <is>
          <t>香港</t>
        </is>
      </c>
      <c r="P498" s="3" t="inlineStr">
        <is>
          <t>香港特别行政区</t>
        </is>
      </c>
      <c r="Q498" s="3" t="n">
        <v>721528310</v>
      </c>
      <c r="R498" s="3" t="inlineStr">
        <is>
          <t>碧士文Pigsman(荔枝角)(有型便當)</t>
        </is>
      </c>
      <c r="S498" s="3" t="inlineStr">
        <is>
          <t>****62908886</t>
        </is>
      </c>
      <c r="T498" s="3" t="inlineStr">
        <is>
          <t>****62908886</t>
        </is>
      </c>
      <c r="U498" s="3" t="inlineStr">
        <is>
          <t>***** 室10號廚房</t>
        </is>
      </c>
      <c r="V498" s="3" t="inlineStr">
        <is>
          <t>香港</t>
        </is>
      </c>
      <c r="W498" s="3" t="inlineStr">
        <is>
          <t>无纺布【规格三中号】/ 箱出, 无纺布【规格四大号】/ 箱出</t>
        </is>
      </c>
      <c r="X498" s="3" t="inlineStr">
        <is>
          <t>ESS-SFTS-OTMS</t>
        </is>
      </c>
      <c r="Y498" s="3" t="n"/>
      <c r="Z498" s="3" t="inlineStr"/>
      <c r="AA498" s="3" t="inlineStr">
        <is>
          <t>寄付月結</t>
        </is>
      </c>
      <c r="AB498">
        <f>IFERROR(VLOOKUP(Q498&amp;"",對照表!$A:$B,1,FALSE),"")</f>
        <v/>
      </c>
      <c r="AC498">
        <f>IFERROR(VLOOKUP(Q498&amp;"",對照表!$A:$B,2,FALSE),"")</f>
        <v/>
      </c>
    </row>
    <row r="499">
      <c r="A499" s="3" t="inlineStr">
        <is>
          <t>SF5116616532073</t>
        </is>
      </c>
      <c r="B499" s="3" t="n">
        <v>58424825774147</v>
      </c>
      <c r="C499" s="3" t="inlineStr">
        <is>
          <t>已簽收</t>
        </is>
      </c>
      <c r="D499" s="3" t="inlineStr">
        <is>
          <t>2026-07-03 10:30:55</t>
        </is>
      </c>
      <c r="E499" s="3" t="inlineStr">
        <is>
          <t>2026-07-04 11:45</t>
        </is>
      </c>
      <c r="F499" s="3" t="n">
        <v>11.6</v>
      </c>
      <c r="G499" s="3" t="n">
        <v>1</v>
      </c>
      <c r="H499" s="3" t="n"/>
      <c r="I499" s="3" t="inlineStr"/>
      <c r="J499" s="3" t="inlineStr">
        <is>
          <t>Keeta</t>
        </is>
      </c>
      <c r="K499" s="3" t="inlineStr">
        <is>
          <t>****9568</t>
        </is>
      </c>
      <c r="L499" s="3" t="n"/>
      <c r="M499" s="3" t="inlineStr">
        <is>
          <t>***** 物流中心5樓</t>
        </is>
      </c>
      <c r="N499" s="3" t="inlineStr">
        <is>
          <t>北区</t>
        </is>
      </c>
      <c r="O499" s="3" t="inlineStr">
        <is>
          <t>香港</t>
        </is>
      </c>
      <c r="P499" s="3" t="inlineStr">
        <is>
          <t>香港特别行政区</t>
        </is>
      </c>
      <c r="Q499" s="3" t="n">
        <v>452195</v>
      </c>
      <c r="R499" s="3" t="inlineStr">
        <is>
          <t>BullDogHotDogX麻甩爐海鮮雞煲私房菜</t>
        </is>
      </c>
      <c r="S499" s="3" t="inlineStr">
        <is>
          <t>****90848687</t>
        </is>
      </c>
      <c r="T499" s="3" t="inlineStr">
        <is>
          <t>****90848687</t>
        </is>
      </c>
      <c r="U499" s="3" t="inlineStr">
        <is>
          <t>***** 地下A2號舖</t>
        </is>
      </c>
      <c r="V499" s="3" t="inlineStr">
        <is>
          <t>香港</t>
        </is>
      </c>
      <c r="W499" s="3" t="inlineStr">
        <is>
          <t>无纺布【规格四大号】/ 箱出</t>
        </is>
      </c>
      <c r="X499" s="3" t="inlineStr">
        <is>
          <t>ESS-SFTS-OTMS</t>
        </is>
      </c>
      <c r="Y499" s="3" t="n"/>
      <c r="Z499" s="3" t="inlineStr"/>
      <c r="AA499" s="3" t="inlineStr">
        <is>
          <t>寄付月結</t>
        </is>
      </c>
      <c r="AB499">
        <f>IFERROR(VLOOKUP(Q499&amp;"",對照表!$A:$B,1,FALSE),"")</f>
        <v/>
      </c>
      <c r="AC499">
        <f>IFERROR(VLOOKUP(Q499&amp;"",對照表!$A:$B,2,FALSE),"")</f>
        <v/>
      </c>
    </row>
    <row r="500">
      <c r="A500" s="3" t="inlineStr">
        <is>
          <t>SF5116616531864</t>
        </is>
      </c>
      <c r="B500" s="3" t="n">
        <v>58424825774102</v>
      </c>
      <c r="C500" s="3" t="inlineStr">
        <is>
          <t>運送中</t>
        </is>
      </c>
      <c r="D500" s="3" t="inlineStr">
        <is>
          <t>2026-07-03 14:48:36</t>
        </is>
      </c>
      <c r="E500" s="3" t="n"/>
      <c r="F500" s="3" t="n">
        <v>52.88</v>
      </c>
      <c r="G500" s="3" t="n">
        <v>5</v>
      </c>
      <c r="H500" s="3" t="n"/>
      <c r="I500" s="3" t="inlineStr"/>
      <c r="J500" s="3" t="inlineStr">
        <is>
          <t>Keeta</t>
        </is>
      </c>
      <c r="K500" s="3" t="inlineStr">
        <is>
          <t>****9568</t>
        </is>
      </c>
      <c r="L500" s="3" t="n"/>
      <c r="M500" s="3" t="inlineStr">
        <is>
          <t>***** 物流中心5樓</t>
        </is>
      </c>
      <c r="N500" s="3" t="inlineStr">
        <is>
          <t>北区</t>
        </is>
      </c>
      <c r="O500" s="3" t="inlineStr">
        <is>
          <t>香港</t>
        </is>
      </c>
      <c r="P500" s="3" t="inlineStr">
        <is>
          <t>香港特别行政区</t>
        </is>
      </c>
      <c r="Q500" s="3" t="n">
        <v>721452324</v>
      </c>
      <c r="R500" s="3" t="inlineStr">
        <is>
          <t>秋田冰室(觀塘店)</t>
        </is>
      </c>
      <c r="S500" s="3" t="inlineStr">
        <is>
          <t>****61779074</t>
        </is>
      </c>
      <c r="T500" s="3" t="inlineStr">
        <is>
          <t>****61779074</t>
        </is>
      </c>
      <c r="U500" s="3" t="inlineStr">
        <is>
          <t>***** N TONG</t>
        </is>
      </c>
      <c r="V500" s="3" t="inlineStr">
        <is>
          <t>香港</t>
        </is>
      </c>
      <c r="W500" s="3" t="inlineStr">
        <is>
          <t>无纺布【规格三中号】/ 箱出, 无纺布【规格四大号】/ 箱出</t>
        </is>
      </c>
      <c r="X500" s="3" t="inlineStr">
        <is>
          <t>ESS-SFTS-OTMS</t>
        </is>
      </c>
      <c r="Y500" s="3" t="n"/>
      <c r="Z500" s="3" t="inlineStr"/>
      <c r="AA500" s="3" t="inlineStr">
        <is>
          <t>寄付月結</t>
        </is>
      </c>
      <c r="AB500">
        <f>IFERROR(VLOOKUP(Q500&amp;"",對照表!$A:$B,1,FALSE),"")</f>
        <v/>
      </c>
      <c r="AC500">
        <f>IFERROR(VLOOKUP(Q500&amp;"",對照表!$A:$B,2,FALSE),"")</f>
        <v/>
      </c>
    </row>
    <row r="501">
      <c r="A501" s="3" t="inlineStr">
        <is>
          <t>SF5116616531916</t>
        </is>
      </c>
      <c r="B501" s="3" t="n">
        <v>58424825774115</v>
      </c>
      <c r="C501" s="3" t="inlineStr">
        <is>
          <t>已簽收</t>
        </is>
      </c>
      <c r="D501" s="3" t="inlineStr">
        <is>
          <t>2026-07-03 15:32:56</t>
        </is>
      </c>
      <c r="E501" s="3" t="inlineStr">
        <is>
          <t>2026-07-04 12:14</t>
        </is>
      </c>
      <c r="F501" s="3" t="n">
        <v>43.4</v>
      </c>
      <c r="G501" s="3" t="n">
        <v>4</v>
      </c>
      <c r="H501" s="3" t="n"/>
      <c r="I501" s="3" t="inlineStr"/>
      <c r="J501" s="3" t="inlineStr">
        <is>
          <t>Keeta</t>
        </is>
      </c>
      <c r="K501" s="3" t="inlineStr">
        <is>
          <t>****9568</t>
        </is>
      </c>
      <c r="L501" s="3" t="n"/>
      <c r="M501" s="3" t="inlineStr">
        <is>
          <t>***** 物流中心5樓</t>
        </is>
      </c>
      <c r="N501" s="3" t="inlineStr">
        <is>
          <t>北区</t>
        </is>
      </c>
      <c r="O501" s="3" t="inlineStr">
        <is>
          <t>香港</t>
        </is>
      </c>
      <c r="P501" s="3" t="inlineStr">
        <is>
          <t>香港特别行政区</t>
        </is>
      </c>
      <c r="Q501" s="3" t="n">
        <v>721435328</v>
      </c>
      <c r="R501" s="3" t="inlineStr">
        <is>
          <t>中村屋（日本師傅主理嘅高質壽司店鯽魚涌）</t>
        </is>
      </c>
      <c r="S501" s="3" t="inlineStr">
        <is>
          <t>****97329687</t>
        </is>
      </c>
      <c r="T501" s="3" t="inlineStr">
        <is>
          <t>****97329687</t>
        </is>
      </c>
      <c r="U501" s="3" t="inlineStr">
        <is>
          <t>***** 至五D1B舖</t>
        </is>
      </c>
      <c r="V501" s="3" t="inlineStr">
        <is>
          <t>香港</t>
        </is>
      </c>
      <c r="W501" s="3" t="inlineStr">
        <is>
          <t>无纺布【规格四大号】/ 箱出, 无纺布【规格三中号】/ 箱出</t>
        </is>
      </c>
      <c r="X501" s="3" t="inlineStr">
        <is>
          <t>ESS-SFTS-OTMS</t>
        </is>
      </c>
      <c r="Y501" s="3" t="n"/>
      <c r="Z501" s="3" t="inlineStr"/>
      <c r="AA501" s="3" t="inlineStr">
        <is>
          <t>寄付月結</t>
        </is>
      </c>
      <c r="AB501">
        <f>IFERROR(VLOOKUP(Q501&amp;"",對照表!$A:$B,1,FALSE),"")</f>
        <v/>
      </c>
      <c r="AC501">
        <f>IFERROR(VLOOKUP(Q501&amp;"",對照表!$A:$B,2,FALSE),"")</f>
        <v/>
      </c>
    </row>
    <row r="502">
      <c r="A502" s="3" t="inlineStr">
        <is>
          <t>SF5116616531882</t>
        </is>
      </c>
      <c r="B502" s="3" t="n">
        <v>58424825774106</v>
      </c>
      <c r="C502" s="3" t="inlineStr">
        <is>
          <t>已簽收</t>
        </is>
      </c>
      <c r="D502" s="3" t="inlineStr">
        <is>
          <t>2026-07-03 14:16:22</t>
        </is>
      </c>
      <c r="E502" s="3" t="inlineStr">
        <is>
          <t>2026-07-04 10:23</t>
        </is>
      </c>
      <c r="F502" s="3" t="n">
        <v>40.4</v>
      </c>
      <c r="G502" s="3" t="n">
        <v>4</v>
      </c>
      <c r="H502" s="3" t="n"/>
      <c r="I502" s="3" t="inlineStr"/>
      <c r="J502" s="3" t="inlineStr">
        <is>
          <t>Keeta</t>
        </is>
      </c>
      <c r="K502" s="3" t="inlineStr">
        <is>
          <t>****9568</t>
        </is>
      </c>
      <c r="L502" s="3" t="n"/>
      <c r="M502" s="3" t="inlineStr">
        <is>
          <t>***** 物流中心5樓</t>
        </is>
      </c>
      <c r="N502" s="3" t="inlineStr">
        <is>
          <t>北区</t>
        </is>
      </c>
      <c r="O502" s="3" t="inlineStr">
        <is>
          <t>香港</t>
        </is>
      </c>
      <c r="P502" s="3" t="inlineStr">
        <is>
          <t>香港特别行政区</t>
        </is>
      </c>
      <c r="Q502" s="3" t="n">
        <v>721537383</v>
      </c>
      <c r="R502" s="3" t="inlineStr">
        <is>
          <t>星洲總廚 大角咀</t>
        </is>
      </c>
      <c r="S502" s="3" t="inlineStr">
        <is>
          <t>****28138908</t>
        </is>
      </c>
      <c r="T502" s="3" t="inlineStr">
        <is>
          <t>****28138908</t>
        </is>
      </c>
      <c r="U502" s="3" t="inlineStr">
        <is>
          <t>***** 街57號地鋪</t>
        </is>
      </c>
      <c r="V502" s="3" t="inlineStr">
        <is>
          <t>香港</t>
        </is>
      </c>
      <c r="W502" s="3" t="inlineStr">
        <is>
          <t>无纺布【规格三中号】/ 箱出</t>
        </is>
      </c>
      <c r="X502" s="3" t="inlineStr">
        <is>
          <t>ESS-SFTS-OTMS</t>
        </is>
      </c>
      <c r="Y502" s="3" t="n"/>
      <c r="Z502" s="3" t="inlineStr"/>
      <c r="AA502" s="3" t="inlineStr">
        <is>
          <t>寄付月結</t>
        </is>
      </c>
      <c r="AB502">
        <f>IFERROR(VLOOKUP(Q502&amp;"",對照表!$A:$B,1,FALSE),"")</f>
        <v/>
      </c>
      <c r="AC502">
        <f>IFERROR(VLOOKUP(Q502&amp;"",對照表!$A:$B,2,FALSE),"")</f>
        <v/>
      </c>
    </row>
    <row r="503">
      <c r="A503" s="3" t="inlineStr">
        <is>
          <t>SF5116616189474</t>
        </is>
      </c>
      <c r="B503" s="3" t="n">
        <v>58424825741648</v>
      </c>
      <c r="C503" s="3" t="inlineStr">
        <is>
          <t>已簽收</t>
        </is>
      </c>
      <c r="D503" s="3" t="inlineStr">
        <is>
          <t>2026-07-03 11:41:07</t>
        </is>
      </c>
      <c r="E503" s="3" t="inlineStr">
        <is>
          <t>2026-07-04 09:14</t>
        </is>
      </c>
      <c r="F503" s="3" t="n">
        <v>23.64</v>
      </c>
      <c r="G503" s="3" t="n">
        <v>2</v>
      </c>
      <c r="H503" s="3" t="n"/>
      <c r="I503" s="3" t="inlineStr"/>
      <c r="J503" s="3" t="inlineStr">
        <is>
          <t>Keeta</t>
        </is>
      </c>
      <c r="K503" s="3" t="inlineStr">
        <is>
          <t>****9568</t>
        </is>
      </c>
      <c r="L503" s="3" t="n"/>
      <c r="M503" s="3" t="inlineStr">
        <is>
          <t>***** 物流中心5樓</t>
        </is>
      </c>
      <c r="N503" s="3" t="inlineStr">
        <is>
          <t>北区</t>
        </is>
      </c>
      <c r="O503" s="3" t="inlineStr">
        <is>
          <t>香港</t>
        </is>
      </c>
      <c r="P503" s="3" t="inlineStr">
        <is>
          <t>香港特别行政区</t>
        </is>
      </c>
      <c r="Q503" s="3" t="n">
        <v>600696</v>
      </c>
      <c r="R503" s="3" t="inlineStr">
        <is>
          <t>蛋白質兵團PROTEINTOGO(全新素食高蛋白健康系列純素麻婆豆腐暖笠笠雜菜豆乳湯登場)</t>
        </is>
      </c>
      <c r="S503" s="3" t="inlineStr">
        <is>
          <t>****62071689</t>
        </is>
      </c>
      <c r="T503" s="3" t="inlineStr">
        <is>
          <t>****62071689</t>
        </is>
      </c>
      <c r="U503" s="3" t="inlineStr">
        <is>
          <t>***** 室(C部分)</t>
        </is>
      </c>
      <c r="V503" s="3" t="inlineStr">
        <is>
          <t>香港</t>
        </is>
      </c>
      <c r="W503" s="3" t="inlineStr">
        <is>
          <t>无纺布【Preminum黑】/ 箱出</t>
        </is>
      </c>
      <c r="X503" s="3" t="inlineStr">
        <is>
          <t>ESS-SFTS-OTMS</t>
        </is>
      </c>
      <c r="Y503" s="3" t="n"/>
      <c r="Z503" s="3" t="inlineStr"/>
      <c r="AA503" s="3" t="inlineStr">
        <is>
          <t>寄付月結</t>
        </is>
      </c>
      <c r="AB503">
        <f>IFERROR(VLOOKUP(Q503&amp;"",對照表!$A:$B,1,FALSE),"")</f>
        <v/>
      </c>
      <c r="AC503">
        <f>IFERROR(VLOOKUP(Q503&amp;"",對照表!$A:$B,2,FALSE),"")</f>
        <v/>
      </c>
    </row>
    <row r="504">
      <c r="A504" s="3" t="inlineStr">
        <is>
          <t>SF5116616531828</t>
        </is>
      </c>
      <c r="B504" s="3" t="n">
        <v>58424825774093</v>
      </c>
      <c r="C504" s="3" t="inlineStr">
        <is>
          <t>已簽收</t>
        </is>
      </c>
      <c r="D504" s="3" t="inlineStr">
        <is>
          <t>2026-07-03 14:31:45</t>
        </is>
      </c>
      <c r="E504" s="3" t="inlineStr">
        <is>
          <t>2026-07-04 11:22</t>
        </is>
      </c>
      <c r="F504" s="3" t="n">
        <v>42.38</v>
      </c>
      <c r="G504" s="3" t="n">
        <v>5</v>
      </c>
      <c r="H504" s="3" t="n"/>
      <c r="I504" s="3" t="inlineStr"/>
      <c r="J504" s="3" t="inlineStr">
        <is>
          <t>Keeta</t>
        </is>
      </c>
      <c r="K504" s="3" t="inlineStr">
        <is>
          <t>****9568</t>
        </is>
      </c>
      <c r="L504" s="3" t="n"/>
      <c r="M504" s="3" t="inlineStr">
        <is>
          <t>***** 物流中心5樓</t>
        </is>
      </c>
      <c r="N504" s="3" t="inlineStr">
        <is>
          <t>北区</t>
        </is>
      </c>
      <c r="O504" s="3" t="inlineStr">
        <is>
          <t>香港</t>
        </is>
      </c>
      <c r="P504" s="3" t="inlineStr">
        <is>
          <t>香港特别行政区</t>
        </is>
      </c>
      <c r="Q504" s="3" t="n">
        <v>402355</v>
      </c>
      <c r="R504" s="3" t="inlineStr">
        <is>
          <t>曼谷車站泰裔廚師親自主理</t>
        </is>
      </c>
      <c r="S504" s="3" t="inlineStr">
        <is>
          <t>****28912298</t>
        </is>
      </c>
      <c r="T504" s="3" t="inlineStr">
        <is>
          <t>****28912298</t>
        </is>
      </c>
      <c r="U504" s="3" t="inlineStr">
        <is>
          <t>***** 樓218號舖</t>
        </is>
      </c>
      <c r="V504" s="3" t="inlineStr">
        <is>
          <t>香港</t>
        </is>
      </c>
      <c r="W504" s="3" t="inlineStr">
        <is>
          <t>无纺布【规格三中号】/ 箱出, 塑料袋【大】/ 扎出</t>
        </is>
      </c>
      <c r="X504" s="3" t="inlineStr">
        <is>
          <t>ESS-SFTS-OTMS</t>
        </is>
      </c>
      <c r="Y504" s="3" t="n"/>
      <c r="Z504" s="3" t="inlineStr"/>
      <c r="AA504" s="3" t="inlineStr">
        <is>
          <t>寄付月結</t>
        </is>
      </c>
      <c r="AB504">
        <f>IFERROR(VLOOKUP(Q504&amp;"",對照表!$A:$B,1,FALSE),"")</f>
        <v/>
      </c>
      <c r="AC504">
        <f>IFERROR(VLOOKUP(Q504&amp;"",對照表!$A:$B,2,FALSE),"")</f>
        <v/>
      </c>
    </row>
    <row r="505">
      <c r="A505" s="3" t="inlineStr">
        <is>
          <t>SF5116616189544</t>
        </is>
      </c>
      <c r="B505" s="3" t="n">
        <v>58424825741664</v>
      </c>
      <c r="C505" s="3" t="inlineStr">
        <is>
          <t>已簽收</t>
        </is>
      </c>
      <c r="D505" s="3" t="inlineStr">
        <is>
          <t>2026-07-03 13:45:03</t>
        </is>
      </c>
      <c r="E505" s="3" t="inlineStr">
        <is>
          <t>2026-07-04 13:13</t>
        </is>
      </c>
      <c r="F505" s="3" t="n">
        <v>23.2</v>
      </c>
      <c r="G505" s="3" t="n">
        <v>2</v>
      </c>
      <c r="H505" s="3" t="n"/>
      <c r="I505" s="3" t="inlineStr"/>
      <c r="J505" s="3" t="inlineStr">
        <is>
          <t>Keeta</t>
        </is>
      </c>
      <c r="K505" s="3" t="inlineStr">
        <is>
          <t>****9568</t>
        </is>
      </c>
      <c r="L505" s="3" t="n"/>
      <c r="M505" s="3" t="inlineStr">
        <is>
          <t>***** 物流中心5樓</t>
        </is>
      </c>
      <c r="N505" s="3" t="inlineStr">
        <is>
          <t>北区</t>
        </is>
      </c>
      <c r="O505" s="3" t="inlineStr">
        <is>
          <t>香港</t>
        </is>
      </c>
      <c r="P505" s="3" t="inlineStr">
        <is>
          <t>香港特别行政区</t>
        </is>
      </c>
      <c r="Q505" s="3" t="n">
        <v>584980</v>
      </c>
      <c r="R505" s="3" t="inlineStr">
        <is>
          <t>安居酒屋壽司及丼飯專門店(屯門店)</t>
        </is>
      </c>
      <c r="S505" s="3" t="inlineStr">
        <is>
          <t>****97822429</t>
        </is>
      </c>
      <c r="T505" s="3" t="inlineStr">
        <is>
          <t>****97822429</t>
        </is>
      </c>
      <c r="U505" s="3" t="inlineStr">
        <is>
          <t>***** 號鹿苑6號鋪</t>
        </is>
      </c>
      <c r="V505" s="3" t="inlineStr">
        <is>
          <t>香港</t>
        </is>
      </c>
      <c r="W505" s="3" t="inlineStr">
        <is>
          <t>无纺布【规格四大号】/ 箱出</t>
        </is>
      </c>
      <c r="X505" s="3" t="inlineStr">
        <is>
          <t>ESS-SFTS-OTMS</t>
        </is>
      </c>
      <c r="Y505" s="3" t="n"/>
      <c r="Z505" s="3" t="inlineStr"/>
      <c r="AA505" s="3" t="inlineStr">
        <is>
          <t>寄付月結</t>
        </is>
      </c>
      <c r="AB505">
        <f>IFERROR(VLOOKUP(Q505&amp;"",對照表!$A:$B,1,FALSE),"")</f>
        <v/>
      </c>
      <c r="AC505">
        <f>IFERROR(VLOOKUP(Q505&amp;"",對照表!$A:$B,2,FALSE),"")</f>
        <v/>
      </c>
    </row>
    <row r="506">
      <c r="A506" s="3" t="inlineStr">
        <is>
          <t>SF5116616531943</t>
        </is>
      </c>
      <c r="B506" s="3" t="n">
        <v>58424825774121</v>
      </c>
      <c r="C506" s="3" t="inlineStr">
        <is>
          <t>已簽收</t>
        </is>
      </c>
      <c r="D506" s="3" t="inlineStr">
        <is>
          <t>2026-07-03 13:44:51</t>
        </is>
      </c>
      <c r="E506" s="3" t="inlineStr">
        <is>
          <t>2026-07-06 10:59</t>
        </is>
      </c>
      <c r="F506" s="3" t="n">
        <v>23.2</v>
      </c>
      <c r="G506" s="3" t="n">
        <v>2</v>
      </c>
      <c r="H506" s="3" t="n"/>
      <c r="I506" s="3" t="inlineStr"/>
      <c r="J506" s="3" t="inlineStr">
        <is>
          <t>Keeta</t>
        </is>
      </c>
      <c r="K506" s="3" t="inlineStr">
        <is>
          <t>****9568</t>
        </is>
      </c>
      <c r="L506" s="3" t="n"/>
      <c r="M506" s="3" t="inlineStr">
        <is>
          <t>***** 物流中心5樓</t>
        </is>
      </c>
      <c r="N506" s="3" t="inlineStr">
        <is>
          <t>北区</t>
        </is>
      </c>
      <c r="O506" s="3" t="inlineStr">
        <is>
          <t>香港</t>
        </is>
      </c>
      <c r="P506" s="3" t="inlineStr">
        <is>
          <t>香港特别行政区</t>
        </is>
      </c>
      <c r="Q506" s="3" t="n">
        <v>721441340</v>
      </c>
      <c r="R506" s="3" t="inlineStr">
        <is>
          <t>OneMorepProtein極好飲高蛋白低卡奶昔xBagel</t>
        </is>
      </c>
      <c r="S506" s="3" t="inlineStr">
        <is>
          <t>****66719074</t>
        </is>
      </c>
      <c r="T506" s="3" t="inlineStr">
        <is>
          <t>****66719074</t>
        </is>
      </c>
      <c r="U506" s="3" t="inlineStr">
        <is>
          <t>***** 地下12A鋪</t>
        </is>
      </c>
      <c r="V506" s="3" t="inlineStr">
        <is>
          <t>香港</t>
        </is>
      </c>
      <c r="W506" s="3" t="inlineStr">
        <is>
          <t>无纺布【规格四大号】/ 箱出</t>
        </is>
      </c>
      <c r="X506" s="3" t="inlineStr">
        <is>
          <t>ESS-SFTS-OTMS</t>
        </is>
      </c>
      <c r="Y506" s="3" t="n"/>
      <c r="Z506" s="3" t="inlineStr"/>
      <c r="AA506" s="3" t="inlineStr">
        <is>
          <t>寄付月結</t>
        </is>
      </c>
      <c r="AB506">
        <f>IFERROR(VLOOKUP(Q506&amp;"",對照表!$A:$B,1,FALSE),"")</f>
        <v/>
      </c>
      <c r="AC506">
        <f>IFERROR(VLOOKUP(Q506&amp;"",對照表!$A:$B,2,FALSE),"")</f>
        <v/>
      </c>
    </row>
    <row r="507">
      <c r="A507" s="3" t="inlineStr">
        <is>
          <t>SF5116616532170</t>
        </is>
      </c>
      <c r="B507" s="3" t="n">
        <v>58424825774166</v>
      </c>
      <c r="C507" s="3" t="inlineStr">
        <is>
          <t>已簽收</t>
        </is>
      </c>
      <c r="D507" s="3" t="inlineStr">
        <is>
          <t>2026-07-03 13:49:35</t>
        </is>
      </c>
      <c r="E507" s="3" t="inlineStr">
        <is>
          <t>2026-07-04 12:38</t>
        </is>
      </c>
      <c r="F507" s="3" t="n">
        <v>34.8</v>
      </c>
      <c r="G507" s="3" t="n">
        <v>3</v>
      </c>
      <c r="H507" s="3" t="n"/>
      <c r="I507" s="3" t="inlineStr"/>
      <c r="J507" s="3" t="inlineStr">
        <is>
          <t>Keeta</t>
        </is>
      </c>
      <c r="K507" s="3" t="inlineStr">
        <is>
          <t>****9568</t>
        </is>
      </c>
      <c r="L507" s="3" t="n"/>
      <c r="M507" s="3" t="inlineStr">
        <is>
          <t>***** 物流中心5樓</t>
        </is>
      </c>
      <c r="N507" s="3" t="inlineStr">
        <is>
          <t>北区</t>
        </is>
      </c>
      <c r="O507" s="3" t="inlineStr">
        <is>
          <t>香港</t>
        </is>
      </c>
      <c r="P507" s="3" t="inlineStr">
        <is>
          <t>香港特别行政区</t>
        </is>
      </c>
      <c r="Q507" s="3" t="n">
        <v>721445381</v>
      </c>
      <c r="R507" s="3" t="inlineStr">
        <is>
          <t>魔記車仔麵</t>
        </is>
      </c>
      <c r="S507" s="3" t="inlineStr">
        <is>
          <t>****98898814</t>
        </is>
      </c>
      <c r="T507" s="3" t="inlineStr">
        <is>
          <t>****98898814</t>
        </is>
      </c>
      <c r="U507" s="3" t="inlineStr">
        <is>
          <t>***** 地下50號舖</t>
        </is>
      </c>
      <c r="V507" s="3" t="inlineStr">
        <is>
          <t>香港</t>
        </is>
      </c>
      <c r="W507" s="3" t="inlineStr">
        <is>
          <t>无纺布【规格四大号】/ 箱出</t>
        </is>
      </c>
      <c r="X507" s="3" t="inlineStr">
        <is>
          <t>ESS-SFTS-OTMS</t>
        </is>
      </c>
      <c r="Y507" s="3" t="n"/>
      <c r="Z507" s="3" t="inlineStr"/>
      <c r="AA507" s="3" t="inlineStr">
        <is>
          <t>寄付月結</t>
        </is>
      </c>
      <c r="AB507">
        <f>IFERROR(VLOOKUP(Q507&amp;"",對照表!$A:$B,1,FALSE),"")</f>
        <v/>
      </c>
      <c r="AC507">
        <f>IFERROR(VLOOKUP(Q507&amp;"",對照表!$A:$B,2,FALSE),"")</f>
        <v/>
      </c>
    </row>
    <row r="508">
      <c r="A508" s="3" t="inlineStr">
        <is>
          <t>SF5116616532204</t>
        </is>
      </c>
      <c r="B508" s="3" t="n">
        <v>58424825774178</v>
      </c>
      <c r="C508" s="3" t="inlineStr">
        <is>
          <t>已簽收</t>
        </is>
      </c>
      <c r="D508" s="3" t="inlineStr">
        <is>
          <t>2026-07-03 10:22:58</t>
        </is>
      </c>
      <c r="E508" s="3" t="inlineStr">
        <is>
          <t>2026-07-04 12:51</t>
        </is>
      </c>
      <c r="F508" s="3" t="n">
        <v>2.3</v>
      </c>
      <c r="G508" s="3" t="n">
        <v>1</v>
      </c>
      <c r="H508" s="3" t="n"/>
      <c r="I508" s="3" t="inlineStr"/>
      <c r="J508" s="3" t="inlineStr">
        <is>
          <t>Keeta</t>
        </is>
      </c>
      <c r="K508" s="3" t="inlineStr">
        <is>
          <t>****9568</t>
        </is>
      </c>
      <c r="L508" s="3" t="n"/>
      <c r="M508" s="3" t="inlineStr">
        <is>
          <t>***** 物流中心5樓</t>
        </is>
      </c>
      <c r="N508" s="3" t="inlineStr">
        <is>
          <t>北区</t>
        </is>
      </c>
      <c r="O508" s="3" t="inlineStr">
        <is>
          <t>香港</t>
        </is>
      </c>
      <c r="P508" s="3" t="inlineStr">
        <is>
          <t>香港特别行政区</t>
        </is>
      </c>
      <c r="Q508" s="3" t="n">
        <v>488311</v>
      </c>
      <c r="R508" s="3" t="inlineStr">
        <is>
          <t>新記香辣車仔麵(登龍街)銅鑼灣必食車仔麵</t>
        </is>
      </c>
      <c r="S508" s="3" t="inlineStr">
        <is>
          <t>****25735438</t>
        </is>
      </c>
      <c r="T508" s="3" t="inlineStr">
        <is>
          <t>****25735438</t>
        </is>
      </c>
      <c r="U508" s="3" t="inlineStr">
        <is>
          <t>***** 9號地下B舖</t>
        </is>
      </c>
      <c r="V508" s="3" t="inlineStr">
        <is>
          <t>香港</t>
        </is>
      </c>
      <c r="W508" s="3" t="inlineStr">
        <is>
          <t>塑料袋【大】/ 扎出</t>
        </is>
      </c>
      <c r="X508" s="3" t="inlineStr">
        <is>
          <t>ESS-SFTS-OTMS</t>
        </is>
      </c>
      <c r="Y508" s="3" t="n"/>
      <c r="Z508" s="3" t="inlineStr"/>
      <c r="AA508" s="3" t="inlineStr">
        <is>
          <t>寄付月結</t>
        </is>
      </c>
      <c r="AB508">
        <f>IFERROR(VLOOKUP(Q508&amp;"",對照表!$A:$B,1,FALSE),"")</f>
        <v/>
      </c>
      <c r="AC508">
        <f>IFERROR(VLOOKUP(Q508&amp;"",對照表!$A:$B,2,FALSE),"")</f>
        <v/>
      </c>
    </row>
    <row r="509">
      <c r="A509" s="3" t="inlineStr">
        <is>
          <t>SF5116616531800</t>
        </is>
      </c>
      <c r="B509" s="3" t="n">
        <v>58424825774088</v>
      </c>
      <c r="C509" s="3" t="inlineStr">
        <is>
          <t>已簽收</t>
        </is>
      </c>
      <c r="D509" s="3" t="inlineStr">
        <is>
          <t>2026-07-03 13:44:58</t>
        </is>
      </c>
      <c r="E509" s="3" t="inlineStr">
        <is>
          <t>2026-07-04 12:13</t>
        </is>
      </c>
      <c r="F509" s="3" t="n">
        <v>23.2</v>
      </c>
      <c r="G509" s="3" t="n">
        <v>2</v>
      </c>
      <c r="H509" s="3" t="n"/>
      <c r="I509" s="3" t="inlineStr"/>
      <c r="J509" s="3" t="inlineStr">
        <is>
          <t>Keeta</t>
        </is>
      </c>
      <c r="K509" s="3" t="inlineStr">
        <is>
          <t>****9568</t>
        </is>
      </c>
      <c r="L509" s="3" t="n"/>
      <c r="M509" s="3" t="inlineStr">
        <is>
          <t>***** 物流中心5樓</t>
        </is>
      </c>
      <c r="N509" s="3" t="inlineStr">
        <is>
          <t>北区</t>
        </is>
      </c>
      <c r="O509" s="3" t="inlineStr">
        <is>
          <t>香港</t>
        </is>
      </c>
      <c r="P509" s="3" t="inlineStr">
        <is>
          <t>香港特别行政区</t>
        </is>
      </c>
      <c r="Q509" s="3" t="n">
        <v>721538382</v>
      </c>
      <c r="R509" s="3" t="inlineStr">
        <is>
          <t>尋堡</t>
        </is>
      </c>
      <c r="S509" s="3" t="inlineStr">
        <is>
          <t>****97281442</t>
        </is>
      </c>
      <c r="T509" s="3" t="inlineStr">
        <is>
          <t>****97281442</t>
        </is>
      </c>
      <c r="U509" s="3" t="inlineStr">
        <is>
          <t>***** 街長沙灣香港</t>
        </is>
      </c>
      <c r="V509" s="3" t="inlineStr">
        <is>
          <t>香港</t>
        </is>
      </c>
      <c r="W509" s="3" t="inlineStr">
        <is>
          <t>无纺布【规格四大号】/ 箱出</t>
        </is>
      </c>
      <c r="X509" s="3" t="inlineStr">
        <is>
          <t>ESS-SFTS-OTMS</t>
        </is>
      </c>
      <c r="Y509" s="3" t="n"/>
      <c r="Z509" s="3" t="inlineStr"/>
      <c r="AA509" s="3" t="inlineStr">
        <is>
          <t>寄付月結</t>
        </is>
      </c>
      <c r="AB509">
        <f>IFERROR(VLOOKUP(Q509&amp;"",對照表!$A:$B,1,FALSE),"")</f>
        <v/>
      </c>
      <c r="AC509">
        <f>IFERROR(VLOOKUP(Q509&amp;"",對照表!$A:$B,2,FALSE),"")</f>
        <v/>
      </c>
    </row>
    <row r="510">
      <c r="A510" s="3" t="inlineStr">
        <is>
          <t>SF5116616189492</t>
        </is>
      </c>
      <c r="B510" s="3" t="n">
        <v>58424825741651</v>
      </c>
      <c r="C510" s="3" t="inlineStr">
        <is>
          <t>已簽收</t>
        </is>
      </c>
      <c r="D510" s="3" t="inlineStr">
        <is>
          <t>2026-07-03 14:15:13</t>
        </is>
      </c>
      <c r="E510" s="3" t="inlineStr">
        <is>
          <t>2026-07-04 11:32</t>
        </is>
      </c>
      <c r="F510" s="3" t="n">
        <v>40.4</v>
      </c>
      <c r="G510" s="3" t="n">
        <v>4</v>
      </c>
      <c r="H510" s="3" t="n"/>
      <c r="I510" s="3" t="inlineStr"/>
      <c r="J510" s="3" t="inlineStr">
        <is>
          <t>Keeta</t>
        </is>
      </c>
      <c r="K510" s="3" t="inlineStr">
        <is>
          <t>****9568</t>
        </is>
      </c>
      <c r="L510" s="3" t="n"/>
      <c r="M510" s="3" t="inlineStr">
        <is>
          <t>***** 物流中心5樓</t>
        </is>
      </c>
      <c r="N510" s="3" t="inlineStr">
        <is>
          <t>北区</t>
        </is>
      </c>
      <c r="O510" s="3" t="inlineStr">
        <is>
          <t>香港</t>
        </is>
      </c>
      <c r="P510" s="3" t="inlineStr">
        <is>
          <t>香港特别行政区</t>
        </is>
      </c>
      <c r="Q510" s="3" t="n">
        <v>721536385</v>
      </c>
      <c r="R510" s="3" t="inlineStr">
        <is>
          <t>蛋白質領域</t>
        </is>
      </c>
      <c r="S510" s="3" t="inlineStr">
        <is>
          <t>****65587470</t>
        </is>
      </c>
      <c r="T510" s="3" t="inlineStr">
        <is>
          <t>****65587470</t>
        </is>
      </c>
      <c r="U510" s="3" t="inlineStr">
        <is>
          <t>***** 舖(C部份)</t>
        </is>
      </c>
      <c r="V510" s="3" t="inlineStr">
        <is>
          <t>香港</t>
        </is>
      </c>
      <c r="W510" s="3" t="inlineStr">
        <is>
          <t>无纺布【规格三中号】/ 箱出</t>
        </is>
      </c>
      <c r="X510" s="3" t="inlineStr">
        <is>
          <t>ESS-SFTS-OTMS</t>
        </is>
      </c>
      <c r="Y510" s="3" t="n"/>
      <c r="Z510" s="3" t="inlineStr"/>
      <c r="AA510" s="3" t="inlineStr">
        <is>
          <t>寄付月結</t>
        </is>
      </c>
      <c r="AB510">
        <f>IFERROR(VLOOKUP(Q510&amp;"",對照表!$A:$B,1,FALSE),"")</f>
        <v/>
      </c>
      <c r="AC510">
        <f>IFERROR(VLOOKUP(Q510&amp;"",對照表!$A:$B,2,FALSE),"")</f>
        <v/>
      </c>
    </row>
    <row r="511">
      <c r="A511" s="3" t="inlineStr">
        <is>
          <t>SF5116616532222</t>
        </is>
      </c>
      <c r="B511" s="3" t="n">
        <v>58424825774184</v>
      </c>
      <c r="C511" s="3" t="inlineStr">
        <is>
          <t>已簽收</t>
        </is>
      </c>
      <c r="D511" s="3" t="inlineStr">
        <is>
          <t>2026-07-03 11:13:22</t>
        </is>
      </c>
      <c r="E511" s="3" t="inlineStr">
        <is>
          <t>2026-07-04 11:21</t>
        </is>
      </c>
      <c r="F511" s="3" t="n">
        <v>45</v>
      </c>
      <c r="G511" s="3" t="n">
        <v>3</v>
      </c>
      <c r="H511" s="3" t="n"/>
      <c r="I511" s="3" t="inlineStr"/>
      <c r="J511" s="3" t="inlineStr">
        <is>
          <t>Keeta</t>
        </is>
      </c>
      <c r="K511" s="3" t="inlineStr">
        <is>
          <t>****9568</t>
        </is>
      </c>
      <c r="L511" s="3" t="n"/>
      <c r="M511" s="3" t="inlineStr">
        <is>
          <t>***** 物流中心5樓</t>
        </is>
      </c>
      <c r="N511" s="3" t="inlineStr">
        <is>
          <t>北区</t>
        </is>
      </c>
      <c r="O511" s="3" t="inlineStr">
        <is>
          <t>香港</t>
        </is>
      </c>
      <c r="P511" s="3" t="inlineStr">
        <is>
          <t>香港特别行政区</t>
        </is>
      </c>
      <c r="Q511" s="3" t="n">
        <v>491478</v>
      </c>
      <c r="R511" s="3" t="inlineStr">
        <is>
          <t>十二味(大圍)</t>
        </is>
      </c>
      <c r="S511" s="3" t="inlineStr">
        <is>
          <t>****55395811</t>
        </is>
      </c>
      <c r="T511" s="3" t="inlineStr">
        <is>
          <t>****55395811</t>
        </is>
      </c>
      <c r="U511" s="3" t="inlineStr">
        <is>
          <t>***** 1樓11號舖</t>
        </is>
      </c>
      <c r="V511" s="3" t="inlineStr">
        <is>
          <t>香港</t>
        </is>
      </c>
      <c r="W511" s="3" t="inlineStr">
        <is>
          <t>纸袋【通版】/ 箱出</t>
        </is>
      </c>
      <c r="X511" s="3" t="inlineStr">
        <is>
          <t>ESS-SFTS-OTMS</t>
        </is>
      </c>
      <c r="Y511" s="3" t="n"/>
      <c r="Z511" s="3" t="inlineStr"/>
      <c r="AA511" s="3" t="inlineStr">
        <is>
          <t>寄付月結</t>
        </is>
      </c>
      <c r="AB511">
        <f>IFERROR(VLOOKUP(Q511&amp;"",對照表!$A:$B,1,FALSE),"")</f>
        <v/>
      </c>
      <c r="AC511">
        <f>IFERROR(VLOOKUP(Q511&amp;"",對照表!$A:$B,2,FALSE),"")</f>
        <v/>
      </c>
    </row>
    <row r="512">
      <c r="A512" s="3" t="inlineStr">
        <is>
          <t>SF5116616532198</t>
        </is>
      </c>
      <c r="B512" s="3" t="n">
        <v>58424825774173</v>
      </c>
      <c r="C512" s="3" t="inlineStr">
        <is>
          <t>已簽收</t>
        </is>
      </c>
      <c r="D512" s="3" t="inlineStr">
        <is>
          <t>2026-07-03 10:29:23</t>
        </is>
      </c>
      <c r="E512" s="3" t="inlineStr">
        <is>
          <t>2026-07-04 12:23</t>
        </is>
      </c>
      <c r="F512" s="3" t="n">
        <v>0.67</v>
      </c>
      <c r="G512" s="3" t="n">
        <v>1</v>
      </c>
      <c r="H512" s="3" t="n"/>
      <c r="I512" s="3" t="inlineStr"/>
      <c r="J512" s="3" t="inlineStr">
        <is>
          <t>Keeta</t>
        </is>
      </c>
      <c r="K512" s="3" t="inlineStr">
        <is>
          <t>****9568</t>
        </is>
      </c>
      <c r="L512" s="3" t="n"/>
      <c r="M512" s="3" t="inlineStr">
        <is>
          <t>***** 物流中心5樓</t>
        </is>
      </c>
      <c r="N512" s="3" t="inlineStr">
        <is>
          <t>北区</t>
        </is>
      </c>
      <c r="O512" s="3" t="inlineStr">
        <is>
          <t>香港</t>
        </is>
      </c>
      <c r="P512" s="3" t="inlineStr">
        <is>
          <t>香港特别行政区</t>
        </is>
      </c>
      <c r="Q512" s="3" t="n">
        <v>486206</v>
      </c>
      <c r="R512" s="3" t="inlineStr">
        <is>
          <t>盈彩燒臘唔呃你滿120即打8折</t>
        </is>
      </c>
      <c r="S512" s="3" t="inlineStr">
        <is>
          <t>****61554553</t>
        </is>
      </c>
      <c r="T512" s="3" t="inlineStr">
        <is>
          <t>****61554553</t>
        </is>
      </c>
      <c r="U512" s="3" t="inlineStr">
        <is>
          <t>***** B-12號舖</t>
        </is>
      </c>
      <c r="V512" s="3" t="inlineStr">
        <is>
          <t>香港</t>
        </is>
      </c>
      <c r="W512" s="3" t="inlineStr">
        <is>
          <t>塑料袋【小】/ 扎出</t>
        </is>
      </c>
      <c r="X512" s="3" t="inlineStr">
        <is>
          <t>ESS-SFTS-OTMS</t>
        </is>
      </c>
      <c r="Y512" s="3" t="n"/>
      <c r="Z512" s="3" t="inlineStr"/>
      <c r="AA512" s="3" t="inlineStr">
        <is>
          <t>寄付月結</t>
        </is>
      </c>
      <c r="AB512">
        <f>IFERROR(VLOOKUP(Q512&amp;"",對照表!$A:$B,1,FALSE),"")</f>
        <v/>
      </c>
      <c r="AC512">
        <f>IFERROR(VLOOKUP(Q512&amp;"",對照表!$A:$B,2,FALSE),"")</f>
        <v/>
      </c>
    </row>
    <row r="513">
      <c r="A513" s="3" t="inlineStr">
        <is>
          <t>SF5116616189517</t>
        </is>
      </c>
      <c r="B513" s="3" t="n">
        <v>58424825741659</v>
      </c>
      <c r="C513" s="3" t="inlineStr">
        <is>
          <t>已簽收</t>
        </is>
      </c>
      <c r="D513" s="3" t="inlineStr">
        <is>
          <t>2026-07-03 15:32:09</t>
        </is>
      </c>
      <c r="E513" s="3" t="inlineStr">
        <is>
          <t>2026-07-06 11:13</t>
        </is>
      </c>
      <c r="F513" s="3" t="n">
        <v>184.96</v>
      </c>
      <c r="G513" s="3" t="n">
        <v>18</v>
      </c>
      <c r="H513" s="3" t="n"/>
      <c r="I513" s="3" t="inlineStr"/>
      <c r="J513" s="3" t="inlineStr">
        <is>
          <t>Keeta</t>
        </is>
      </c>
      <c r="K513" s="3" t="inlineStr">
        <is>
          <t>****9568</t>
        </is>
      </c>
      <c r="L513" s="3" t="n"/>
      <c r="M513" s="3" t="inlineStr">
        <is>
          <t>***** 物流中心5樓</t>
        </is>
      </c>
      <c r="N513" s="3" t="inlineStr">
        <is>
          <t>北区</t>
        </is>
      </c>
      <c r="O513" s="3" t="inlineStr">
        <is>
          <t>香港</t>
        </is>
      </c>
      <c r="P513" s="3" t="inlineStr">
        <is>
          <t>香港特别行政区</t>
        </is>
      </c>
      <c r="Q513" s="3" t="n">
        <v>721538366</v>
      </c>
      <c r="R513" s="3" t="inlineStr">
        <is>
          <t>紅日-蛋包飯【全港人氣蛋包飯之最】（新蒲崗）</t>
        </is>
      </c>
      <c r="S513" s="3" t="inlineStr">
        <is>
          <t>****51235123</t>
        </is>
      </c>
      <c r="T513" s="3" t="inlineStr">
        <is>
          <t>****51235123</t>
        </is>
      </c>
      <c r="U513" s="3" t="inlineStr">
        <is>
          <t>***** 大廈6樓A室</t>
        </is>
      </c>
      <c r="V513" s="3" t="inlineStr">
        <is>
          <t>香港</t>
        </is>
      </c>
      <c r="W513" s="3" t="inlineStr">
        <is>
          <t>无纺布【规格三中号】/ 箱出, 无纺布【规格四大号】/ 箱出</t>
        </is>
      </c>
      <c r="X513" s="3" t="inlineStr">
        <is>
          <t>ESS-SFTS-OTMS</t>
        </is>
      </c>
      <c r="Y513" s="3" t="n"/>
      <c r="Z513" s="3" t="inlineStr"/>
      <c r="AA513" s="3" t="inlineStr">
        <is>
          <t>寄付月結</t>
        </is>
      </c>
      <c r="AB513">
        <f>IFERROR(VLOOKUP(Q513&amp;"",對照表!$A:$B,1,FALSE),"")</f>
        <v/>
      </c>
      <c r="AC513">
        <f>IFERROR(VLOOKUP(Q513&amp;"",對照表!$A:$B,2,FALSE),"")</f>
        <v/>
      </c>
    </row>
    <row r="514">
      <c r="A514" s="3" t="inlineStr">
        <is>
          <t>SF5116616532161</t>
        </is>
      </c>
      <c r="B514" s="3" t="n">
        <v>58424825774165</v>
      </c>
      <c r="C514" s="3" t="inlineStr">
        <is>
          <t>已簽收</t>
        </is>
      </c>
      <c r="D514" s="3" t="inlineStr">
        <is>
          <t>2026-07-03 11:36:33</t>
        </is>
      </c>
      <c r="E514" s="3" t="inlineStr">
        <is>
          <t>2026-07-04 11:44</t>
        </is>
      </c>
      <c r="F514" s="3" t="n">
        <v>20.2</v>
      </c>
      <c r="G514" s="3" t="n">
        <v>2</v>
      </c>
      <c r="H514" s="3" t="n"/>
      <c r="I514" s="3" t="inlineStr"/>
      <c r="J514" s="3" t="inlineStr">
        <is>
          <t>Keeta</t>
        </is>
      </c>
      <c r="K514" s="3" t="inlineStr">
        <is>
          <t>****9568</t>
        </is>
      </c>
      <c r="L514" s="3" t="n"/>
      <c r="M514" s="3" t="inlineStr">
        <is>
          <t>***** 物流中心5樓</t>
        </is>
      </c>
      <c r="N514" s="3" t="inlineStr">
        <is>
          <t>北区</t>
        </is>
      </c>
      <c r="O514" s="3" t="inlineStr">
        <is>
          <t>香港</t>
        </is>
      </c>
      <c r="P514" s="3" t="inlineStr">
        <is>
          <t>香港特别行政区</t>
        </is>
      </c>
      <c r="Q514" s="3" t="n">
        <v>721517358</v>
      </c>
      <c r="R514" s="3" t="inlineStr">
        <is>
          <t>一豚吉列豬扒</t>
        </is>
      </c>
      <c r="S514" s="3" t="inlineStr">
        <is>
          <t>****98360007</t>
        </is>
      </c>
      <c r="T514" s="3" t="inlineStr">
        <is>
          <t>****98360007</t>
        </is>
      </c>
      <c r="U514" s="3" t="inlineStr">
        <is>
          <t>***** P 11號舖</t>
        </is>
      </c>
      <c r="V514" s="3" t="inlineStr">
        <is>
          <t>香港</t>
        </is>
      </c>
      <c r="W514" s="3" t="inlineStr">
        <is>
          <t>无纺布【规格三中号】/ 箱出</t>
        </is>
      </c>
      <c r="X514" s="3" t="inlineStr">
        <is>
          <t>ESS-SFTS-OTMS</t>
        </is>
      </c>
      <c r="Y514" s="3" t="n"/>
      <c r="Z514" s="3" t="inlineStr"/>
      <c r="AA514" s="3" t="inlineStr">
        <is>
          <t>寄付月結</t>
        </is>
      </c>
      <c r="AB514">
        <f>IFERROR(VLOOKUP(Q514&amp;"",對照表!$A:$B,1,FALSE),"")</f>
        <v/>
      </c>
      <c r="AC514">
        <f>IFERROR(VLOOKUP(Q514&amp;"",對照表!$A:$B,2,FALSE),"")</f>
        <v/>
      </c>
    </row>
    <row r="515">
      <c r="A515" s="3" t="inlineStr">
        <is>
          <t>SF5116616532134</t>
        </is>
      </c>
      <c r="B515" s="3" t="n">
        <v>58424825774158</v>
      </c>
      <c r="C515" s="3" t="inlineStr">
        <is>
          <t>已簽收</t>
        </is>
      </c>
      <c r="D515" s="3" t="inlineStr">
        <is>
          <t>2026-07-03 15:32:15</t>
        </is>
      </c>
      <c r="E515" s="3" t="inlineStr">
        <is>
          <t>2026-07-04 11:54</t>
        </is>
      </c>
      <c r="F515" s="3" t="n">
        <v>21.7</v>
      </c>
      <c r="G515" s="3" t="n">
        <v>2</v>
      </c>
      <c r="H515" s="3" t="n"/>
      <c r="I515" s="3" t="inlineStr"/>
      <c r="J515" s="3" t="inlineStr">
        <is>
          <t>Keeta</t>
        </is>
      </c>
      <c r="K515" s="3" t="inlineStr">
        <is>
          <t>****9568</t>
        </is>
      </c>
      <c r="L515" s="3" t="n"/>
      <c r="M515" s="3" t="inlineStr">
        <is>
          <t>***** 物流中心5樓</t>
        </is>
      </c>
      <c r="N515" s="3" t="inlineStr">
        <is>
          <t>北区</t>
        </is>
      </c>
      <c r="O515" s="3" t="inlineStr">
        <is>
          <t>香港</t>
        </is>
      </c>
      <c r="P515" s="3" t="inlineStr">
        <is>
          <t>香港特别行政区</t>
        </is>
      </c>
      <c r="Q515" s="3" t="n">
        <v>721521387</v>
      </c>
      <c r="R515" s="3" t="inlineStr">
        <is>
          <t>串說</t>
        </is>
      </c>
      <c r="S515" s="3" t="inlineStr">
        <is>
          <t>****34622140</t>
        </is>
      </c>
      <c r="T515" s="3" t="inlineStr">
        <is>
          <t>****34622140</t>
        </is>
      </c>
      <c r="U515" s="3" t="inlineStr">
        <is>
          <t>***** 3號地下A室</t>
        </is>
      </c>
      <c r="V515" s="3" t="inlineStr">
        <is>
          <t>香港</t>
        </is>
      </c>
      <c r="W515" s="3" t="inlineStr">
        <is>
          <t>无纺布【规格四大号】/ 箱出, 无纺布【规格三中号】/ 箱出</t>
        </is>
      </c>
      <c r="X515" s="3" t="inlineStr">
        <is>
          <t>ESS-SFTS-OTMS</t>
        </is>
      </c>
      <c r="Y515" s="3" t="n"/>
      <c r="Z515" s="3" t="inlineStr"/>
      <c r="AA515" s="3" t="inlineStr">
        <is>
          <t>寄付月結</t>
        </is>
      </c>
      <c r="AB515">
        <f>IFERROR(VLOOKUP(Q515&amp;"",對照表!$A:$B,1,FALSE),"")</f>
        <v/>
      </c>
      <c r="AC515">
        <f>IFERROR(VLOOKUP(Q515&amp;"",對照表!$A:$B,2,FALSE),"")</f>
        <v/>
      </c>
    </row>
    <row r="516">
      <c r="A516" s="3" t="inlineStr">
        <is>
          <t>SF5116616532055</t>
        </is>
      </c>
      <c r="B516" s="3" t="n">
        <v>58424825774144</v>
      </c>
      <c r="C516" s="3" t="inlineStr">
        <is>
          <t>已簽收</t>
        </is>
      </c>
      <c r="D516" s="3" t="inlineStr">
        <is>
          <t>2026-07-03 11:52:18</t>
        </is>
      </c>
      <c r="E516" s="3" t="inlineStr">
        <is>
          <t>2026-07-04 12:09</t>
        </is>
      </c>
      <c r="F516" s="3" t="n">
        <v>10.1</v>
      </c>
      <c r="G516" s="3" t="n">
        <v>1</v>
      </c>
      <c r="H516" s="3" t="n"/>
      <c r="I516" s="3" t="inlineStr"/>
      <c r="J516" s="3" t="inlineStr">
        <is>
          <t>Keeta</t>
        </is>
      </c>
      <c r="K516" s="3" t="inlineStr">
        <is>
          <t>****9568</t>
        </is>
      </c>
      <c r="L516" s="3" t="n"/>
      <c r="M516" s="3" t="inlineStr">
        <is>
          <t>***** 物流中心5樓</t>
        </is>
      </c>
      <c r="N516" s="3" t="inlineStr">
        <is>
          <t>北区</t>
        </is>
      </c>
      <c r="O516" s="3" t="inlineStr">
        <is>
          <t>香港</t>
        </is>
      </c>
      <c r="P516" s="3" t="inlineStr">
        <is>
          <t>香港特别行政区</t>
        </is>
      </c>
      <c r="Q516" s="3" t="n">
        <v>461699</v>
      </c>
      <c r="R516" s="3" t="inlineStr">
        <is>
          <t>泰國佬餐廳</t>
        </is>
      </c>
      <c r="S516" s="3" t="inlineStr">
        <is>
          <t>****94414194</t>
        </is>
      </c>
      <c r="T516" s="3" t="inlineStr">
        <is>
          <t>****94414194</t>
        </is>
      </c>
      <c r="U516" s="3" t="inlineStr">
        <is>
          <t>***** 座2樓B8室</t>
        </is>
      </c>
      <c r="V516" s="3" t="inlineStr">
        <is>
          <t>香港</t>
        </is>
      </c>
      <c r="W516" s="3" t="inlineStr">
        <is>
          <t>无纺布【规格三中号】/ 箱出</t>
        </is>
      </c>
      <c r="X516" s="3" t="inlineStr">
        <is>
          <t>ESS-SFTS-OTMS</t>
        </is>
      </c>
      <c r="Y516" s="3" t="n"/>
      <c r="Z516" s="3" t="inlineStr"/>
      <c r="AA516" s="3" t="inlineStr">
        <is>
          <t>寄付月結</t>
        </is>
      </c>
      <c r="AB516">
        <f>IFERROR(VLOOKUP(Q516&amp;"",對照表!$A:$B,1,FALSE),"")</f>
        <v/>
      </c>
      <c r="AC516">
        <f>IFERROR(VLOOKUP(Q516&amp;"",對照表!$A:$B,2,FALSE),"")</f>
        <v/>
      </c>
    </row>
    <row r="517">
      <c r="A517" s="3" t="inlineStr">
        <is>
          <t>SF5116616532000</t>
        </is>
      </c>
      <c r="B517" s="3" t="n">
        <v>58424825774132</v>
      </c>
      <c r="C517" s="3" t="inlineStr">
        <is>
          <t>已簽收</t>
        </is>
      </c>
      <c r="D517" s="3" t="inlineStr">
        <is>
          <t>2026-07-03 10:22:15</t>
        </is>
      </c>
      <c r="E517" s="3" t="inlineStr">
        <is>
          <t>2026-07-04 17:33</t>
        </is>
      </c>
      <c r="F517" s="3" t="n">
        <v>1.2</v>
      </c>
      <c r="G517" s="3" t="n">
        <v>1</v>
      </c>
      <c r="H517" s="3" t="n"/>
      <c r="I517" s="3" t="inlineStr"/>
      <c r="J517" s="3" t="inlineStr">
        <is>
          <t>Keeta</t>
        </is>
      </c>
      <c r="K517" s="3" t="inlineStr">
        <is>
          <t>****9568</t>
        </is>
      </c>
      <c r="L517" s="3" t="n"/>
      <c r="M517" s="3" t="inlineStr">
        <is>
          <t>***** 物流中心5樓</t>
        </is>
      </c>
      <c r="N517" s="3" t="inlineStr">
        <is>
          <t>北区</t>
        </is>
      </c>
      <c r="O517" s="3" t="inlineStr">
        <is>
          <t>香港</t>
        </is>
      </c>
      <c r="P517" s="3" t="inlineStr">
        <is>
          <t>香港特别行政区</t>
        </is>
      </c>
      <c r="Q517" s="3" t="n">
        <v>474191</v>
      </c>
      <c r="R517" s="3" t="inlineStr">
        <is>
          <t>新潮流茶餐廳(康怡廣場)</t>
        </is>
      </c>
      <c r="S517" s="3" t="inlineStr">
        <is>
          <t>****60154079</t>
        </is>
      </c>
      <c r="T517" s="3" t="inlineStr">
        <is>
          <t>****60154079</t>
        </is>
      </c>
      <c r="U517" s="3" t="inlineStr">
        <is>
          <t>***** ll, 香港</t>
        </is>
      </c>
      <c r="V517" s="3" t="inlineStr">
        <is>
          <t>香港</t>
        </is>
      </c>
      <c r="W517" s="3" t="inlineStr">
        <is>
          <t>塑料袋【大】/ 扎出</t>
        </is>
      </c>
      <c r="X517" s="3" t="inlineStr">
        <is>
          <t>ESS-SFTS-OTMS</t>
        </is>
      </c>
      <c r="Y517" s="3" t="n"/>
      <c r="Z517" s="3" t="inlineStr"/>
      <c r="AA517" s="3" t="inlineStr">
        <is>
          <t>寄付月結</t>
        </is>
      </c>
      <c r="AB517">
        <f>IFERROR(VLOOKUP(Q517&amp;"",對照表!$A:$B,1,FALSE),"")</f>
        <v/>
      </c>
      <c r="AC517">
        <f>IFERROR(VLOOKUP(Q517&amp;"",對照表!$A:$B,2,FALSE),"")</f>
        <v/>
      </c>
    </row>
    <row r="518">
      <c r="A518" s="3" t="inlineStr">
        <is>
          <t>SF5116616532189</t>
        </is>
      </c>
      <c r="B518" s="3" t="n">
        <v>58424825774168</v>
      </c>
      <c r="C518" s="3" t="inlineStr">
        <is>
          <t>已簽收</t>
        </is>
      </c>
      <c r="D518" s="3" t="inlineStr">
        <is>
          <t>2026-07-03 10:30:56</t>
        </is>
      </c>
      <c r="E518" s="3" t="inlineStr">
        <is>
          <t>2026-07-04 10:17</t>
        </is>
      </c>
      <c r="F518" s="3" t="n">
        <v>11.6</v>
      </c>
      <c r="G518" s="3" t="n">
        <v>1</v>
      </c>
      <c r="H518" s="3" t="n"/>
      <c r="I518" s="3" t="inlineStr"/>
      <c r="J518" s="3" t="inlineStr">
        <is>
          <t>Keeta</t>
        </is>
      </c>
      <c r="K518" s="3" t="inlineStr">
        <is>
          <t>****9568</t>
        </is>
      </c>
      <c r="L518" s="3" t="n"/>
      <c r="M518" s="3" t="inlineStr">
        <is>
          <t>***** 物流中心5樓</t>
        </is>
      </c>
      <c r="N518" s="3" t="inlineStr">
        <is>
          <t>北区</t>
        </is>
      </c>
      <c r="O518" s="3" t="inlineStr">
        <is>
          <t>香港</t>
        </is>
      </c>
      <c r="P518" s="3" t="inlineStr">
        <is>
          <t>香港特别行政区</t>
        </is>
      </c>
      <c r="Q518" s="3" t="n">
        <v>458844</v>
      </c>
      <c r="R518" s="3" t="inlineStr">
        <is>
          <t>泰富盈美食及甜品(總有一款啱你食)</t>
        </is>
      </c>
      <c r="S518" s="3" t="inlineStr">
        <is>
          <t>****95161685</t>
        </is>
      </c>
      <c r="T518" s="3" t="inlineStr">
        <is>
          <t>****95161685</t>
        </is>
      </c>
      <c r="U518" s="3" t="inlineStr">
        <is>
          <t>***** 3樓24A室</t>
        </is>
      </c>
      <c r="V518" s="3" t="inlineStr">
        <is>
          <t>香港</t>
        </is>
      </c>
      <c r="W518" s="3" t="inlineStr">
        <is>
          <t>无纺布【规格四大号】/ 箱出</t>
        </is>
      </c>
      <c r="X518" s="3" t="inlineStr">
        <is>
          <t>ESS-SFTS-OTMS</t>
        </is>
      </c>
      <c r="Y518" s="3" t="n"/>
      <c r="Z518" s="3" t="inlineStr"/>
      <c r="AA518" s="3" t="inlineStr">
        <is>
          <t>寄付月結</t>
        </is>
      </c>
      <c r="AB518">
        <f>IFERROR(VLOOKUP(Q518&amp;"",對照表!$A:$B,1,FALSE),"")</f>
        <v/>
      </c>
      <c r="AC518">
        <f>IFERROR(VLOOKUP(Q518&amp;"",對照表!$A:$B,2,FALSE),"")</f>
        <v/>
      </c>
    </row>
    <row r="519">
      <c r="A519" s="3" t="inlineStr">
        <is>
          <t>SF5116616532213</t>
        </is>
      </c>
      <c r="B519" s="3" t="n">
        <v>58424825774180</v>
      </c>
      <c r="C519" s="3" t="inlineStr">
        <is>
          <t>運送中</t>
        </is>
      </c>
      <c r="D519" s="3" t="inlineStr">
        <is>
          <t>2026-07-03 10:29:21</t>
        </is>
      </c>
      <c r="E519" s="3" t="n"/>
      <c r="F519" s="3" t="n">
        <v>0.67</v>
      </c>
      <c r="G519" s="3" t="n">
        <v>1</v>
      </c>
      <c r="H519" s="3" t="n"/>
      <c r="I519" s="3" t="inlineStr"/>
      <c r="J519" s="3" t="inlineStr">
        <is>
          <t>Keeta</t>
        </is>
      </c>
      <c r="K519" s="3" t="inlineStr">
        <is>
          <t>****9568</t>
        </is>
      </c>
      <c r="L519" s="3" t="n"/>
      <c r="M519" s="3" t="inlineStr">
        <is>
          <t>***** 物流中心5樓</t>
        </is>
      </c>
      <c r="N519" s="3" t="inlineStr">
        <is>
          <t>北区</t>
        </is>
      </c>
      <c r="O519" s="3" t="inlineStr">
        <is>
          <t>香港</t>
        </is>
      </c>
      <c r="P519" s="3" t="inlineStr">
        <is>
          <t>香港特别行政区</t>
        </is>
      </c>
      <c r="Q519" s="3" t="n">
        <v>494812</v>
      </c>
      <c r="R519" s="3" t="inlineStr">
        <is>
          <t>湘滿人家（BY村里村外）</t>
        </is>
      </c>
      <c r="S519" s="3" t="inlineStr">
        <is>
          <t>****26660983</t>
        </is>
      </c>
      <c r="T519" s="3" t="inlineStr">
        <is>
          <t>****26660983</t>
        </is>
      </c>
      <c r="U519" s="3" t="inlineStr">
        <is>
          <t>***** -27B號舖</t>
        </is>
      </c>
      <c r="V519" s="3" t="inlineStr">
        <is>
          <t>香港</t>
        </is>
      </c>
      <c r="W519" s="3" t="inlineStr">
        <is>
          <t>塑料袋【小】/ 扎出</t>
        </is>
      </c>
      <c r="X519" s="3" t="inlineStr">
        <is>
          <t>ESS-SFTS-OTMS</t>
        </is>
      </c>
      <c r="Y519" s="3" t="n"/>
      <c r="Z519" s="3" t="inlineStr"/>
      <c r="AA519" s="3" t="inlineStr">
        <is>
          <t>寄付月結</t>
        </is>
      </c>
      <c r="AB519">
        <f>IFERROR(VLOOKUP(Q519&amp;"",對照表!$A:$B,1,FALSE),"")</f>
        <v/>
      </c>
      <c r="AC519">
        <f>IFERROR(VLOOKUP(Q519&amp;"",對照表!$A:$B,2,FALSE),"")</f>
        <v/>
      </c>
    </row>
    <row r="520">
      <c r="A520" s="3" t="inlineStr">
        <is>
          <t>SF5116616532231</t>
        </is>
      </c>
      <c r="B520" s="3" t="n">
        <v>58424825774187</v>
      </c>
      <c r="C520" s="3" t="inlineStr">
        <is>
          <t>已簽收</t>
        </is>
      </c>
      <c r="D520" s="3" t="inlineStr">
        <is>
          <t>2026-07-03 11:10:25</t>
        </is>
      </c>
      <c r="E520" s="3" t="inlineStr">
        <is>
          <t>2026-07-04 11:38</t>
        </is>
      </c>
      <c r="F520" s="3" t="n">
        <v>30</v>
      </c>
      <c r="G520" s="3" t="n">
        <v>2</v>
      </c>
      <c r="H520" s="3" t="n"/>
      <c r="I520" s="3" t="inlineStr"/>
      <c r="J520" s="3" t="inlineStr">
        <is>
          <t>Keeta</t>
        </is>
      </c>
      <c r="K520" s="3" t="inlineStr">
        <is>
          <t>****9568</t>
        </is>
      </c>
      <c r="L520" s="3" t="n"/>
      <c r="M520" s="3" t="inlineStr">
        <is>
          <t>***** 物流中心5樓</t>
        </is>
      </c>
      <c r="N520" s="3" t="inlineStr">
        <is>
          <t>北区</t>
        </is>
      </c>
      <c r="O520" s="3" t="inlineStr">
        <is>
          <t>香港</t>
        </is>
      </c>
      <c r="P520" s="3" t="inlineStr">
        <is>
          <t>香港特别行政区</t>
        </is>
      </c>
      <c r="Q520" s="3" t="n">
        <v>607534</v>
      </c>
      <c r="R520" s="3" t="inlineStr">
        <is>
          <t>牛魔（旺角必食平靚正丼飯烏冬）</t>
        </is>
      </c>
      <c r="S520" s="3" t="inlineStr">
        <is>
          <t>****23871118</t>
        </is>
      </c>
      <c r="T520" s="3" t="inlineStr">
        <is>
          <t>****23871118</t>
        </is>
      </c>
      <c r="U520" s="3" t="inlineStr">
        <is>
          <t>***** 富達大廈地下</t>
        </is>
      </c>
      <c r="V520" s="3" t="inlineStr">
        <is>
          <t>香港</t>
        </is>
      </c>
      <c r="W520" s="3" t="inlineStr">
        <is>
          <t>纸袋【通版】/ 箱出</t>
        </is>
      </c>
      <c r="X520" s="3" t="inlineStr">
        <is>
          <t>ESS-SFTS-OTMS</t>
        </is>
      </c>
      <c r="Y520" s="3" t="n"/>
      <c r="Z520" s="3" t="inlineStr"/>
      <c r="AA520" s="3" t="inlineStr">
        <is>
          <t>寄付月結</t>
        </is>
      </c>
      <c r="AB520">
        <f>IFERROR(VLOOKUP(Q520&amp;"",對照表!$A:$B,1,FALSE),"")</f>
        <v/>
      </c>
      <c r="AC520">
        <f>IFERROR(VLOOKUP(Q520&amp;"",對照表!$A:$B,2,FALSE),"")</f>
        <v/>
      </c>
    </row>
    <row r="521">
      <c r="A521" s="3" t="inlineStr">
        <is>
          <t>SF5116616531952</t>
        </is>
      </c>
      <c r="B521" s="3" t="n">
        <v>58424825774122</v>
      </c>
      <c r="C521" s="3" t="inlineStr">
        <is>
          <t>已簽收</t>
        </is>
      </c>
      <c r="D521" s="3" t="inlineStr">
        <is>
          <t>2026-07-03 14:13:57</t>
        </is>
      </c>
      <c r="E521" s="3" t="inlineStr">
        <is>
          <t>2026-07-04 10:18</t>
        </is>
      </c>
      <c r="F521" s="3" t="n">
        <v>35.8</v>
      </c>
      <c r="G521" s="3" t="n">
        <v>4</v>
      </c>
      <c r="H521" s="3" t="n"/>
      <c r="I521" s="3" t="inlineStr"/>
      <c r="J521" s="3" t="inlineStr">
        <is>
          <t>Keeta</t>
        </is>
      </c>
      <c r="K521" s="3" t="inlineStr">
        <is>
          <t>****9568</t>
        </is>
      </c>
      <c r="L521" s="3" t="n"/>
      <c r="M521" s="3" t="inlineStr">
        <is>
          <t>***** 物流中心5樓</t>
        </is>
      </c>
      <c r="N521" s="3" t="inlineStr">
        <is>
          <t>北区</t>
        </is>
      </c>
      <c r="O521" s="3" t="inlineStr">
        <is>
          <t>香港</t>
        </is>
      </c>
      <c r="P521" s="3" t="inlineStr">
        <is>
          <t>香港特别行政区</t>
        </is>
      </c>
      <c r="Q521" s="3" t="n">
        <v>721517375</v>
      </c>
      <c r="R521" s="3" t="inlineStr">
        <is>
          <t>華萊士漢堡炸雞（九龍廣場店）</t>
        </is>
      </c>
      <c r="S521" s="3" t="inlineStr">
        <is>
          <t>****65541093</t>
        </is>
      </c>
      <c r="T521" s="3" t="inlineStr">
        <is>
          <t>****65541093</t>
        </is>
      </c>
      <c r="U521" s="3" t="inlineStr">
        <is>
          <t>***** B112號鋪</t>
        </is>
      </c>
      <c r="V521" s="3" t="inlineStr">
        <is>
          <t>香港</t>
        </is>
      </c>
      <c r="W521" s="3" t="inlineStr">
        <is>
          <t>无纺布【规格二双杯】/ 箱出, 无纺布【规格三中号】/ 箱出</t>
        </is>
      </c>
      <c r="X521" s="3" t="inlineStr">
        <is>
          <t>ESS-SFTS-OTMS</t>
        </is>
      </c>
      <c r="Y521" s="3" t="n"/>
      <c r="Z521" s="3" t="inlineStr"/>
      <c r="AA521" s="3" t="inlineStr">
        <is>
          <t>寄付月結</t>
        </is>
      </c>
      <c r="AB521">
        <f>IFERROR(VLOOKUP(Q521&amp;"",對照表!$A:$B,1,FALSE),"")</f>
        <v/>
      </c>
      <c r="AC521">
        <f>IFERROR(VLOOKUP(Q521&amp;"",對照表!$A:$B,2,FALSE),"")</f>
        <v/>
      </c>
    </row>
    <row r="522">
      <c r="A522" s="3" t="inlineStr">
        <is>
          <t>SF5116616188530</t>
        </is>
      </c>
      <c r="B522" s="3" t="n">
        <v>58424825741437</v>
      </c>
      <c r="C522" s="3" t="inlineStr">
        <is>
          <t>已簽收</t>
        </is>
      </c>
      <c r="D522" s="3" t="inlineStr">
        <is>
          <t>2026-07-03 15:12:18</t>
        </is>
      </c>
      <c r="E522" s="3" t="inlineStr">
        <is>
          <t>2026-07-04 12:54</t>
        </is>
      </c>
      <c r="F522" s="3" t="n">
        <v>5.2</v>
      </c>
      <c r="G522" s="3" t="n">
        <v>1</v>
      </c>
      <c r="H522" s="3" t="n"/>
      <c r="I522" s="3" t="inlineStr"/>
      <c r="J522" s="3" t="inlineStr">
        <is>
          <t>Keeta</t>
        </is>
      </c>
      <c r="K522" s="3" t="inlineStr">
        <is>
          <t>****9568</t>
        </is>
      </c>
      <c r="L522" s="3" t="n"/>
      <c r="M522" s="3" t="inlineStr">
        <is>
          <t>***** 物流中心5樓</t>
        </is>
      </c>
      <c r="N522" s="3" t="inlineStr">
        <is>
          <t>北区</t>
        </is>
      </c>
      <c r="O522" s="3" t="inlineStr">
        <is>
          <t>香港</t>
        </is>
      </c>
      <c r="P522" s="3" t="inlineStr">
        <is>
          <t>香港特别行政区</t>
        </is>
      </c>
      <c r="Q522" s="3" t="n">
        <v>458378</v>
      </c>
      <c r="R522" s="3" t="inlineStr">
        <is>
          <t>兆和茶餐廳荃灣廿年老字號招牌腿蛋治僅售10快啲嚟睇la</t>
        </is>
      </c>
      <c r="S522" s="3" t="inlineStr">
        <is>
          <t>****95511518</t>
        </is>
      </c>
      <c r="T522" s="3" t="inlineStr">
        <is>
          <t>****95511518</t>
        </is>
      </c>
      <c r="U522" s="3" t="inlineStr">
        <is>
          <t>***** 街36號地下</t>
        </is>
      </c>
      <c r="V522" s="3" t="inlineStr">
        <is>
          <t>香港</t>
        </is>
      </c>
      <c r="W522" s="3" t="inlineStr">
        <is>
          <t>塑料袋【大】/ 扎出, 塑料袋【小】/ 扎出</t>
        </is>
      </c>
      <c r="X522" s="3" t="inlineStr">
        <is>
          <t>ESS-SFTS-OTMS</t>
        </is>
      </c>
      <c r="Y522" s="3" t="n"/>
      <c r="Z522" s="3" t="inlineStr"/>
      <c r="AA522" s="3" t="inlineStr">
        <is>
          <t>寄付月結</t>
        </is>
      </c>
      <c r="AB522">
        <f>IFERROR(VLOOKUP(Q522&amp;"",對照表!$A:$B,1,FALSE),"")</f>
        <v/>
      </c>
      <c r="AC522">
        <f>IFERROR(VLOOKUP(Q522&amp;"",對照表!$A:$B,2,FALSE),"")</f>
        <v/>
      </c>
    </row>
    <row r="523">
      <c r="A523" s="3" t="inlineStr">
        <is>
          <t>SF5116616532152</t>
        </is>
      </c>
      <c r="B523" s="3" t="n">
        <v>58424825774162</v>
      </c>
      <c r="C523" s="3" t="inlineStr">
        <is>
          <t>已簽收</t>
        </is>
      </c>
      <c r="D523" s="3" t="inlineStr">
        <is>
          <t>2026-07-03 11:52:13</t>
        </is>
      </c>
      <c r="E523" s="3" t="inlineStr">
        <is>
          <t>2026-07-04 13:07</t>
        </is>
      </c>
      <c r="F523" s="3" t="n">
        <v>10.1</v>
      </c>
      <c r="G523" s="3" t="n">
        <v>1</v>
      </c>
      <c r="H523" s="3" t="n"/>
      <c r="I523" s="3" t="inlineStr"/>
      <c r="J523" s="3" t="inlineStr">
        <is>
          <t>Keeta</t>
        </is>
      </c>
      <c r="K523" s="3" t="inlineStr">
        <is>
          <t>****9568</t>
        </is>
      </c>
      <c r="L523" s="3" t="n"/>
      <c r="M523" s="3" t="inlineStr">
        <is>
          <t>***** 物流中心5樓</t>
        </is>
      </c>
      <c r="N523" s="3" t="inlineStr">
        <is>
          <t>北区</t>
        </is>
      </c>
      <c r="O523" s="3" t="inlineStr">
        <is>
          <t>香港</t>
        </is>
      </c>
      <c r="P523" s="3" t="inlineStr">
        <is>
          <t>香港特别行政区</t>
        </is>
      </c>
      <c r="Q523" s="3" t="n">
        <v>494564</v>
      </c>
      <c r="R523" s="3" t="inlineStr">
        <is>
          <t>豬仔石磨腸粉(上水最滑腸粉)</t>
        </is>
      </c>
      <c r="S523" s="3" t="inlineStr">
        <is>
          <t>****60935704</t>
        </is>
      </c>
      <c r="T523" s="3" t="inlineStr">
        <is>
          <t>****60935704</t>
        </is>
      </c>
      <c r="U523" s="3" t="inlineStr">
        <is>
          <t>***** 地下2A號舖</t>
        </is>
      </c>
      <c r="V523" s="3" t="inlineStr">
        <is>
          <t>香港</t>
        </is>
      </c>
      <c r="W523" s="3" t="inlineStr">
        <is>
          <t>无纺布【规格三中号】/ 箱出</t>
        </is>
      </c>
      <c r="X523" s="3" t="inlineStr">
        <is>
          <t>ESS-SFTS-OTMS</t>
        </is>
      </c>
      <c r="Y523" s="3" t="n"/>
      <c r="Z523" s="3" t="inlineStr"/>
      <c r="AA523" s="3" t="inlineStr">
        <is>
          <t>寄付月結</t>
        </is>
      </c>
      <c r="AB523">
        <f>IFERROR(VLOOKUP(Q523&amp;"",對照表!$A:$B,1,FALSE),"")</f>
        <v/>
      </c>
      <c r="AC523">
        <f>IFERROR(VLOOKUP(Q523&amp;"",對照表!$A:$B,2,FALSE),"")</f>
        <v/>
      </c>
    </row>
    <row r="524">
      <c r="A524" s="3" t="inlineStr">
        <is>
          <t>SF5116616532513</t>
        </is>
      </c>
      <c r="B524" s="3" t="n">
        <v>58424825774262</v>
      </c>
      <c r="C524" s="3" t="inlineStr">
        <is>
          <t>已簽收</t>
        </is>
      </c>
      <c r="D524" s="3" t="inlineStr">
        <is>
          <t>2026-07-03 15:11:14</t>
        </is>
      </c>
      <c r="E524" s="3" t="inlineStr">
        <is>
          <t>2026-07-04 11:15</t>
        </is>
      </c>
      <c r="F524" s="3" t="n">
        <v>3.6</v>
      </c>
      <c r="G524" s="3" t="n">
        <v>1</v>
      </c>
      <c r="H524" s="3" t="n"/>
      <c r="I524" s="3" t="inlineStr"/>
      <c r="J524" s="3" t="inlineStr">
        <is>
          <t>Keeta</t>
        </is>
      </c>
      <c r="K524" s="3" t="inlineStr">
        <is>
          <t>****9568</t>
        </is>
      </c>
      <c r="L524" s="3" t="n"/>
      <c r="M524" s="3" t="inlineStr">
        <is>
          <t>***** 物流中心5樓</t>
        </is>
      </c>
      <c r="N524" s="3" t="inlineStr">
        <is>
          <t>北区</t>
        </is>
      </c>
      <c r="O524" s="3" t="inlineStr">
        <is>
          <t>香港</t>
        </is>
      </c>
      <c r="P524" s="3" t="inlineStr">
        <is>
          <t>香港特别行政区</t>
        </is>
      </c>
      <c r="Q524" s="3" t="n">
        <v>469762</v>
      </c>
      <c r="R524" s="3" t="inlineStr">
        <is>
          <t>VivaPasta（多國菜下午茶）</t>
        </is>
      </c>
      <c r="S524" s="3" t="inlineStr">
        <is>
          <t>****55190975</t>
        </is>
      </c>
      <c r="T524" s="3" t="inlineStr">
        <is>
          <t>****55190975</t>
        </is>
      </c>
      <c r="U524" s="3" t="inlineStr">
        <is>
          <t>***** 樓201號舖</t>
        </is>
      </c>
      <c r="V524" s="3" t="inlineStr">
        <is>
          <t>香港</t>
        </is>
      </c>
      <c r="W524" s="3" t="inlineStr">
        <is>
          <t>塑料袋【大】/ 扎出, 塑料袋【小】/ 扎出</t>
        </is>
      </c>
      <c r="X524" s="3" t="inlineStr">
        <is>
          <t>ESS-SFTS-OTMS</t>
        </is>
      </c>
      <c r="Y524" s="3" t="n"/>
      <c r="Z524" s="3" t="inlineStr"/>
      <c r="AA524" s="3" t="inlineStr">
        <is>
          <t>寄付月結</t>
        </is>
      </c>
      <c r="AB524">
        <f>IFERROR(VLOOKUP(Q524&amp;"",對照表!$A:$B,1,FALSE),"")</f>
        <v/>
      </c>
      <c r="AC524">
        <f>IFERROR(VLOOKUP(Q524&amp;"",對照表!$A:$B,2,FALSE),"")</f>
        <v/>
      </c>
    </row>
    <row r="525">
      <c r="A525" s="3" t="inlineStr">
        <is>
          <t>SF5116616532489</t>
        </is>
      </c>
      <c r="B525" s="3" t="n">
        <v>58424825774254</v>
      </c>
      <c r="C525" s="3" t="inlineStr">
        <is>
          <t>已簽收</t>
        </is>
      </c>
      <c r="D525" s="3" t="inlineStr">
        <is>
          <t>2026-07-03 10:30:58</t>
        </is>
      </c>
      <c r="E525" s="3" t="inlineStr">
        <is>
          <t>2026-07-04 11:08</t>
        </is>
      </c>
      <c r="F525" s="3" t="n">
        <v>11.6</v>
      </c>
      <c r="G525" s="3" t="n">
        <v>1</v>
      </c>
      <c r="H525" s="3" t="n"/>
      <c r="I525" s="3" t="inlineStr"/>
      <c r="J525" s="3" t="inlineStr">
        <is>
          <t>Keeta</t>
        </is>
      </c>
      <c r="K525" s="3" t="inlineStr">
        <is>
          <t>****9568</t>
        </is>
      </c>
      <c r="L525" s="3" t="n"/>
      <c r="M525" s="3" t="inlineStr">
        <is>
          <t>***** 物流中心5樓</t>
        </is>
      </c>
      <c r="N525" s="3" t="inlineStr">
        <is>
          <t>北区</t>
        </is>
      </c>
      <c r="O525" s="3" t="inlineStr">
        <is>
          <t>香港</t>
        </is>
      </c>
      <c r="P525" s="3" t="inlineStr">
        <is>
          <t>香港特别行政区</t>
        </is>
      </c>
      <c r="Q525" s="3" t="n">
        <v>574120</v>
      </c>
      <c r="R525" s="3" t="inlineStr">
        <is>
          <t>醉雞火鍋店</t>
        </is>
      </c>
      <c r="S525" s="3" t="inlineStr">
        <is>
          <t>****67388345</t>
        </is>
      </c>
      <c r="T525" s="3" t="inlineStr">
        <is>
          <t>****67388345</t>
        </is>
      </c>
      <c r="U525" s="3" t="inlineStr">
        <is>
          <t>***** 居地下C號舖</t>
        </is>
      </c>
      <c r="V525" s="3" t="inlineStr">
        <is>
          <t>香港</t>
        </is>
      </c>
      <c r="W525" s="3" t="inlineStr">
        <is>
          <t>无纺布【规格四大号】/ 箱出</t>
        </is>
      </c>
      <c r="X525" s="3" t="inlineStr">
        <is>
          <t>ESS-SFTS-OTMS</t>
        </is>
      </c>
      <c r="Y525" s="3" t="n"/>
      <c r="Z525" s="3" t="inlineStr"/>
      <c r="AA525" s="3" t="inlineStr">
        <is>
          <t>寄付月結</t>
        </is>
      </c>
      <c r="AB525">
        <f>IFERROR(VLOOKUP(Q525&amp;"",對照表!$A:$B,1,FALSE),"")</f>
        <v/>
      </c>
      <c r="AC525">
        <f>IFERROR(VLOOKUP(Q525&amp;"",對照表!$A:$B,2,FALSE),"")</f>
        <v/>
      </c>
    </row>
    <row r="526">
      <c r="A526" s="3" t="inlineStr">
        <is>
          <t>SF5116616532125</t>
        </is>
      </c>
      <c r="B526" s="3" t="n">
        <v>58424825774157</v>
      </c>
      <c r="C526" s="3" t="inlineStr">
        <is>
          <t>已簽收</t>
        </is>
      </c>
      <c r="D526" s="3" t="inlineStr">
        <is>
          <t>2026-07-03 15:27:53</t>
        </is>
      </c>
      <c r="E526" s="3" t="inlineStr">
        <is>
          <t>2026-07-04 11:55</t>
        </is>
      </c>
      <c r="F526" s="3" t="n">
        <v>3.22</v>
      </c>
      <c r="G526" s="3" t="n">
        <v>1</v>
      </c>
      <c r="H526" s="3" t="n"/>
      <c r="I526" s="3" t="inlineStr"/>
      <c r="J526" s="3" t="inlineStr">
        <is>
          <t>Keeta</t>
        </is>
      </c>
      <c r="K526" s="3" t="inlineStr">
        <is>
          <t>****9568</t>
        </is>
      </c>
      <c r="L526" s="3" t="n"/>
      <c r="M526" s="3" t="inlineStr">
        <is>
          <t>***** 物流中心5樓</t>
        </is>
      </c>
      <c r="N526" s="3" t="inlineStr">
        <is>
          <t>北区</t>
        </is>
      </c>
      <c r="O526" s="3" t="inlineStr">
        <is>
          <t>香港</t>
        </is>
      </c>
      <c r="P526" s="3" t="inlineStr">
        <is>
          <t>香港特别行政区</t>
        </is>
      </c>
      <c r="Q526" s="3" t="n">
        <v>750746</v>
      </c>
      <c r="R526" s="3" t="inlineStr">
        <is>
          <t>牛品x一品手作（銅鑼灣店）新出台灣料理招牌台灣甜品奶茶招牌便當送珍珠奶茶</t>
        </is>
      </c>
      <c r="S526" s="3" t="inlineStr">
        <is>
          <t>****62329999</t>
        </is>
      </c>
      <c r="T526" s="3" t="inlineStr">
        <is>
          <t>****62329999</t>
        </is>
      </c>
      <c r="U526" s="3" t="inlineStr">
        <is>
          <t>***** TOWN1樓</t>
        </is>
      </c>
      <c r="V526" s="3" t="inlineStr">
        <is>
          <t>香港</t>
        </is>
      </c>
      <c r="W526" s="3" t="inlineStr">
        <is>
          <t>塑料袋【大】/ 扎出</t>
        </is>
      </c>
      <c r="X526" s="3" t="inlineStr">
        <is>
          <t>ESS-SFTS-OTMS</t>
        </is>
      </c>
      <c r="Y526" s="3" t="n"/>
      <c r="Z526" s="3" t="inlineStr"/>
      <c r="AA526" s="3" t="inlineStr">
        <is>
          <t>寄付月結</t>
        </is>
      </c>
      <c r="AB526">
        <f>IFERROR(VLOOKUP(Q526&amp;"",對照表!$A:$B,1,FALSE),"")</f>
        <v/>
      </c>
      <c r="AC526">
        <f>IFERROR(VLOOKUP(Q526&amp;"",對照表!$A:$B,2,FALSE),"")</f>
        <v/>
      </c>
    </row>
    <row r="527">
      <c r="A527" s="3" t="inlineStr">
        <is>
          <t>SF5116616532286</t>
        </is>
      </c>
      <c r="B527" s="3" t="n">
        <v>58424825774201</v>
      </c>
      <c r="C527" s="3" t="inlineStr">
        <is>
          <t>已簽收</t>
        </is>
      </c>
      <c r="D527" s="3" t="inlineStr">
        <is>
          <t>2026-07-03 11:45:27</t>
        </is>
      </c>
      <c r="E527" s="3" t="inlineStr">
        <is>
          <t>2026-07-04 12:44</t>
        </is>
      </c>
      <c r="F527" s="3" t="n">
        <v>11.9</v>
      </c>
      <c r="G527" s="3" t="n">
        <v>1</v>
      </c>
      <c r="H527" s="3" t="n"/>
      <c r="I527" s="3" t="inlineStr"/>
      <c r="J527" s="3" t="inlineStr">
        <is>
          <t>Keeta</t>
        </is>
      </c>
      <c r="K527" s="3" t="inlineStr">
        <is>
          <t>****9568</t>
        </is>
      </c>
      <c r="L527" s="3" t="n"/>
      <c r="M527" s="3" t="inlineStr">
        <is>
          <t>***** 物流中心5樓</t>
        </is>
      </c>
      <c r="N527" s="3" t="inlineStr">
        <is>
          <t>北区</t>
        </is>
      </c>
      <c r="O527" s="3" t="inlineStr">
        <is>
          <t>香港</t>
        </is>
      </c>
      <c r="P527" s="3" t="inlineStr">
        <is>
          <t>香港特别行政区</t>
        </is>
      </c>
      <c r="Q527" s="3" t="n">
        <v>675119</v>
      </c>
      <c r="R527" s="3" t="inlineStr">
        <is>
          <t>PizzaExpressPizzaPasta(新城市廣場)</t>
        </is>
      </c>
      <c r="S527" s="3" t="inlineStr">
        <is>
          <t>****31641328</t>
        </is>
      </c>
      <c r="T527" s="3" t="inlineStr">
        <is>
          <t>****31641328</t>
        </is>
      </c>
      <c r="U527" s="3" t="inlineStr">
        <is>
          <t>***** 樓121號舖</t>
        </is>
      </c>
      <c r="V527" s="3" t="inlineStr">
        <is>
          <t>香港</t>
        </is>
      </c>
      <c r="W527" s="3" t="inlineStr">
        <is>
          <t>无纺布【Preminum黑】/ 箱出</t>
        </is>
      </c>
      <c r="X527" s="3" t="inlineStr">
        <is>
          <t>ESS-SFTS-OTMS</t>
        </is>
      </c>
      <c r="Y527" s="3" t="n"/>
      <c r="Z527" s="3" t="inlineStr"/>
      <c r="AA527" s="3" t="inlineStr">
        <is>
          <t>寄付月結</t>
        </is>
      </c>
      <c r="AB527">
        <f>IFERROR(VLOOKUP(Q527&amp;"",對照表!$A:$B,1,FALSE),"")</f>
        <v/>
      </c>
      <c r="AC527">
        <f>IFERROR(VLOOKUP(Q527&amp;"",對照表!$A:$B,2,FALSE),"")</f>
        <v/>
      </c>
    </row>
    <row r="528">
      <c r="A528" s="3" t="inlineStr">
        <is>
          <t>SF5116616532434</t>
        </is>
      </c>
      <c r="B528" s="3" t="n">
        <v>58424825774240</v>
      </c>
      <c r="C528" s="3" t="inlineStr">
        <is>
          <t>已簽收</t>
        </is>
      </c>
      <c r="D528" s="3" t="inlineStr">
        <is>
          <t>2026-07-03 10:30:57</t>
        </is>
      </c>
      <c r="E528" s="3" t="inlineStr">
        <is>
          <t>2026-07-04 10:25</t>
        </is>
      </c>
      <c r="F528" s="3" t="n">
        <v>11.6</v>
      </c>
      <c r="G528" s="3" t="n">
        <v>1</v>
      </c>
      <c r="H528" s="3" t="n"/>
      <c r="I528" s="3" t="inlineStr"/>
      <c r="J528" s="3" t="inlineStr">
        <is>
          <t>Keeta</t>
        </is>
      </c>
      <c r="K528" s="3" t="inlineStr">
        <is>
          <t>****9568</t>
        </is>
      </c>
      <c r="L528" s="3" t="n"/>
      <c r="M528" s="3" t="inlineStr">
        <is>
          <t>***** 物流中心5樓</t>
        </is>
      </c>
      <c r="N528" s="3" t="inlineStr">
        <is>
          <t>北区</t>
        </is>
      </c>
      <c r="O528" s="3" t="inlineStr">
        <is>
          <t>香港</t>
        </is>
      </c>
      <c r="P528" s="3" t="inlineStr">
        <is>
          <t>香港特别行政区</t>
        </is>
      </c>
      <c r="Q528" s="3" t="n">
        <v>478451</v>
      </c>
      <c r="R528" s="3" t="inlineStr">
        <is>
          <t>馬鞍山甜意糖水</t>
        </is>
      </c>
      <c r="S528" s="3" t="inlineStr">
        <is>
          <t>****61022495</t>
        </is>
      </c>
      <c r="T528" s="3" t="inlineStr">
        <is>
          <t>****61022495</t>
        </is>
      </c>
      <c r="U528" s="3" t="inlineStr">
        <is>
          <t>***** 園地下6號舖</t>
        </is>
      </c>
      <c r="V528" s="3" t="inlineStr">
        <is>
          <t>香港</t>
        </is>
      </c>
      <c r="W528" s="3" t="inlineStr">
        <is>
          <t>无纺布【规格四大号】/ 箱出</t>
        </is>
      </c>
      <c r="X528" s="3" t="inlineStr">
        <is>
          <t>ESS-SFTS-OTMS</t>
        </is>
      </c>
      <c r="Y528" s="3" t="n"/>
      <c r="Z528" s="3" t="inlineStr"/>
      <c r="AA528" s="3" t="inlineStr">
        <is>
          <t>寄付月結</t>
        </is>
      </c>
      <c r="AB528">
        <f>IFERROR(VLOOKUP(Q528&amp;"",對照表!$A:$B,1,FALSE),"")</f>
        <v/>
      </c>
      <c r="AC528">
        <f>IFERROR(VLOOKUP(Q528&amp;"",對照表!$A:$B,2,FALSE),"")</f>
        <v/>
      </c>
    </row>
    <row r="529">
      <c r="A529" s="3" t="inlineStr">
        <is>
          <t>SF5116616532383</t>
        </is>
      </c>
      <c r="B529" s="3" t="n">
        <v>58424825774226</v>
      </c>
      <c r="C529" s="3" t="inlineStr">
        <is>
          <t>已簽收</t>
        </is>
      </c>
      <c r="D529" s="3" t="inlineStr">
        <is>
          <t>2026-07-03 16:45:49</t>
        </is>
      </c>
      <c r="E529" s="3" t="inlineStr">
        <is>
          <t>2026-07-04 12:12</t>
        </is>
      </c>
      <c r="F529" s="3" t="n">
        <v>35.5</v>
      </c>
      <c r="G529" s="3" t="n">
        <v>3</v>
      </c>
      <c r="H529" s="3" t="n"/>
      <c r="I529" s="3" t="inlineStr"/>
      <c r="J529" s="3" t="inlineStr">
        <is>
          <t>Keeta</t>
        </is>
      </c>
      <c r="K529" s="3" t="inlineStr">
        <is>
          <t>****9568</t>
        </is>
      </c>
      <c r="L529" s="3" t="n"/>
      <c r="M529" s="3" t="inlineStr">
        <is>
          <t>***** 物流中心5樓</t>
        </is>
      </c>
      <c r="N529" s="3" t="inlineStr">
        <is>
          <t>北区</t>
        </is>
      </c>
      <c r="O529" s="3" t="inlineStr">
        <is>
          <t>香港</t>
        </is>
      </c>
      <c r="P529" s="3" t="inlineStr">
        <is>
          <t>香港特别行政区</t>
        </is>
      </c>
      <c r="Q529" s="3" t="n">
        <v>721524339</v>
      </c>
      <c r="R529" s="3" t="inlineStr">
        <is>
          <t>luluBAOBAO黃竹坑</t>
        </is>
      </c>
      <c r="S529" s="3" t="inlineStr">
        <is>
          <t>****34604247</t>
        </is>
      </c>
      <c r="T529" s="3" t="inlineStr">
        <is>
          <t>****34604247</t>
        </is>
      </c>
      <c r="U529" s="3" t="inlineStr">
        <is>
          <t>***** 樓102號舖</t>
        </is>
      </c>
      <c r="V529" s="3" t="inlineStr">
        <is>
          <t>香港</t>
        </is>
      </c>
      <c r="W529" s="3" t="inlineStr">
        <is>
          <t>无纺布【Preminum黑】/ 箱出, 纸袋【Preminum黑】/ 箱出</t>
        </is>
      </c>
      <c r="X529" s="3" t="inlineStr">
        <is>
          <t>ESS-SFTS-OTMS</t>
        </is>
      </c>
      <c r="Y529" s="3" t="n"/>
      <c r="Z529" s="3" t="inlineStr"/>
      <c r="AA529" s="3" t="inlineStr">
        <is>
          <t>寄付月結</t>
        </is>
      </c>
      <c r="AB529">
        <f>IFERROR(VLOOKUP(Q529&amp;"",對照表!$A:$B,1,FALSE),"")</f>
        <v/>
      </c>
      <c r="AC529">
        <f>IFERROR(VLOOKUP(Q529&amp;"",對照表!$A:$B,2,FALSE),"")</f>
        <v/>
      </c>
    </row>
    <row r="530">
      <c r="A530" s="3" t="inlineStr">
        <is>
          <t>SF5116616532143</t>
        </is>
      </c>
      <c r="B530" s="3" t="n">
        <v>58424825774160</v>
      </c>
      <c r="C530" s="3" t="inlineStr">
        <is>
          <t>已簽收</t>
        </is>
      </c>
      <c r="D530" s="3" t="inlineStr">
        <is>
          <t>2026-07-03 13:52:30</t>
        </is>
      </c>
      <c r="E530" s="3" t="inlineStr">
        <is>
          <t>2026-07-04 11:35</t>
        </is>
      </c>
      <c r="F530" s="3" t="n">
        <v>75.36</v>
      </c>
      <c r="G530" s="3" t="n">
        <v>6</v>
      </c>
      <c r="H530" s="3" t="n"/>
      <c r="I530" s="3" t="inlineStr"/>
      <c r="J530" s="3" t="inlineStr">
        <is>
          <t>Keeta</t>
        </is>
      </c>
      <c r="K530" s="3" t="inlineStr">
        <is>
          <t>****9568</t>
        </is>
      </c>
      <c r="L530" s="3" t="n"/>
      <c r="M530" s="3" t="inlineStr">
        <is>
          <t>***** 物流中心5樓</t>
        </is>
      </c>
      <c r="N530" s="3" t="inlineStr">
        <is>
          <t>北区</t>
        </is>
      </c>
      <c r="O530" s="3" t="inlineStr">
        <is>
          <t>香港</t>
        </is>
      </c>
      <c r="P530" s="3" t="inlineStr">
        <is>
          <t>香港特别行政区</t>
        </is>
      </c>
      <c r="Q530" s="3" t="n">
        <v>721533375</v>
      </c>
      <c r="R530" s="3" t="inlineStr">
        <is>
          <t>TacoGo屯門人氣Taco開到嚟將軍澳啦</t>
        </is>
      </c>
      <c r="S530" s="3" t="inlineStr">
        <is>
          <t>****62539532</t>
        </is>
      </c>
      <c r="T530" s="3" t="inlineStr">
        <is>
          <t>****62539532</t>
        </is>
      </c>
      <c r="U530" s="3" t="inlineStr">
        <is>
          <t>***** 電梯落B1）</t>
        </is>
      </c>
      <c r="V530" s="3" t="inlineStr">
        <is>
          <t>香港</t>
        </is>
      </c>
      <c r="W530" s="3" t="inlineStr">
        <is>
          <t>纸袋【通版】/ 箱出, 无纺布【规格四大号】/ 箱出</t>
        </is>
      </c>
      <c r="X530" s="3" t="inlineStr">
        <is>
          <t>ESS-SFTS-OTMS</t>
        </is>
      </c>
      <c r="Y530" s="3" t="n"/>
      <c r="Z530" s="3" t="inlineStr"/>
      <c r="AA530" s="3" t="inlineStr">
        <is>
          <t>寄付月結</t>
        </is>
      </c>
      <c r="AB530">
        <f>IFERROR(VLOOKUP(Q530&amp;"",對照表!$A:$B,1,FALSE),"")</f>
        <v/>
      </c>
      <c r="AC530">
        <f>IFERROR(VLOOKUP(Q530&amp;"",對照表!$A:$B,2,FALSE),"")</f>
        <v/>
      </c>
    </row>
    <row r="531">
      <c r="A531" s="3" t="inlineStr">
        <is>
          <t>SF5116616532277</t>
        </is>
      </c>
      <c r="B531" s="3" t="n">
        <v>58424825774198</v>
      </c>
      <c r="C531" s="3" t="inlineStr">
        <is>
          <t>已簽收</t>
        </is>
      </c>
      <c r="D531" s="3" t="inlineStr">
        <is>
          <t>2026-07-03 10:29:32</t>
        </is>
      </c>
      <c r="E531" s="3" t="inlineStr">
        <is>
          <t>2026-07-04 14:17</t>
        </is>
      </c>
      <c r="F531" s="3" t="n">
        <v>0.67</v>
      </c>
      <c r="G531" s="3" t="n">
        <v>1</v>
      </c>
      <c r="H531" s="3" t="n"/>
      <c r="I531" s="3" t="inlineStr"/>
      <c r="J531" s="3" t="inlineStr">
        <is>
          <t>Keeta</t>
        </is>
      </c>
      <c r="K531" s="3" t="inlineStr">
        <is>
          <t>****9568</t>
        </is>
      </c>
      <c r="L531" s="3" t="n"/>
      <c r="M531" s="3" t="inlineStr">
        <is>
          <t>***** 物流中心5樓</t>
        </is>
      </c>
      <c r="N531" s="3" t="inlineStr">
        <is>
          <t>北区</t>
        </is>
      </c>
      <c r="O531" s="3" t="inlineStr">
        <is>
          <t>香港</t>
        </is>
      </c>
      <c r="P531" s="3" t="inlineStr">
        <is>
          <t>香港特别行政区</t>
        </is>
      </c>
      <c r="Q531" s="3" t="n">
        <v>606112</v>
      </c>
      <c r="R531" s="3" t="inlineStr">
        <is>
          <t>豪大大雞排(恆安商場)HOTSTARLargeFriedChicken(HengOnCommercialCentre)</t>
        </is>
      </c>
      <c r="S531" s="3" t="inlineStr">
        <is>
          <t>****94842386</t>
        </is>
      </c>
      <c r="T531" s="3" t="inlineStr">
        <is>
          <t>****94842386</t>
        </is>
      </c>
      <c r="U531" s="3" t="inlineStr">
        <is>
          <t>***** 市場34號舖</t>
        </is>
      </c>
      <c r="V531" s="3" t="inlineStr">
        <is>
          <t>香港</t>
        </is>
      </c>
      <c r="W531" s="3" t="inlineStr">
        <is>
          <t>塑料袋【小】/ 扎出</t>
        </is>
      </c>
      <c r="X531" s="3" t="inlineStr">
        <is>
          <t>ESS-SFTS-OTMS</t>
        </is>
      </c>
      <c r="Y531" s="3" t="n"/>
      <c r="Z531" s="3" t="inlineStr"/>
      <c r="AA531" s="3" t="inlineStr">
        <is>
          <t>寄付月結</t>
        </is>
      </c>
      <c r="AB531">
        <f>IFERROR(VLOOKUP(Q531&amp;"",對照表!$A:$B,1,FALSE),"")</f>
        <v/>
      </c>
      <c r="AC531">
        <f>IFERROR(VLOOKUP(Q531&amp;"",對照表!$A:$B,2,FALSE),"")</f>
        <v/>
      </c>
    </row>
    <row r="532">
      <c r="A532" s="3" t="inlineStr">
        <is>
          <t>SF5116616532425</t>
        </is>
      </c>
      <c r="B532" s="3" t="n">
        <v>58424825774238</v>
      </c>
      <c r="C532" s="3" t="inlineStr">
        <is>
          <t>已簽收</t>
        </is>
      </c>
      <c r="D532" s="3" t="inlineStr">
        <is>
          <t>2026-07-03 15:33:35</t>
        </is>
      </c>
      <c r="E532" s="3" t="inlineStr">
        <is>
          <t>2026-07-05 16:27</t>
        </is>
      </c>
      <c r="F532" s="3" t="n">
        <v>31.8</v>
      </c>
      <c r="G532" s="3" t="n">
        <v>3</v>
      </c>
      <c r="H532" s="3" t="n"/>
      <c r="I532" s="3" t="inlineStr"/>
      <c r="J532" s="3" t="inlineStr">
        <is>
          <t>Keeta</t>
        </is>
      </c>
      <c r="K532" s="3" t="inlineStr">
        <is>
          <t>****9568</t>
        </is>
      </c>
      <c r="L532" s="3" t="n"/>
      <c r="M532" s="3" t="inlineStr">
        <is>
          <t>***** 物流中心5樓</t>
        </is>
      </c>
      <c r="N532" s="3" t="inlineStr">
        <is>
          <t>北区</t>
        </is>
      </c>
      <c r="O532" s="3" t="inlineStr">
        <is>
          <t>香港</t>
        </is>
      </c>
      <c r="P532" s="3" t="inlineStr">
        <is>
          <t>香港特别行政区</t>
        </is>
      </c>
      <c r="Q532" s="3" t="n">
        <v>468526</v>
      </c>
      <c r="R532" s="3" t="inlineStr">
        <is>
          <t>富華冰室FuWahCafe（荃灣眾安街）</t>
        </is>
      </c>
      <c r="S532" s="3" t="inlineStr">
        <is>
          <t>****98806039</t>
        </is>
      </c>
      <c r="T532" s="3" t="inlineStr">
        <is>
          <t>****98806039</t>
        </is>
      </c>
      <c r="U532" s="3" t="inlineStr">
        <is>
          <t>***** 下A-C號舖</t>
        </is>
      </c>
      <c r="V532" s="3" t="inlineStr">
        <is>
          <t>香港</t>
        </is>
      </c>
      <c r="W532" s="3" t="inlineStr">
        <is>
          <t>无纺布【规格三中号】/ 箱出, 无纺布【规格四大号】/ 箱出</t>
        </is>
      </c>
      <c r="X532" s="3" t="inlineStr">
        <is>
          <t>ESS-SFTS-OTMS</t>
        </is>
      </c>
      <c r="Y532" s="3" t="n"/>
      <c r="Z532" s="3" t="inlineStr"/>
      <c r="AA532" s="3" t="inlineStr">
        <is>
          <t>寄付月結</t>
        </is>
      </c>
      <c r="AB532">
        <f>IFERROR(VLOOKUP(Q532&amp;"",對照表!$A:$B,1,FALSE),"")</f>
        <v/>
      </c>
      <c r="AC532">
        <f>IFERROR(VLOOKUP(Q532&amp;"",對照表!$A:$B,2,FALSE),"")</f>
        <v/>
      </c>
    </row>
    <row r="533">
      <c r="A533" s="3" t="inlineStr">
        <is>
          <t>SF5116616531698</t>
        </is>
      </c>
      <c r="B533" s="3" t="n">
        <v>58424825741693</v>
      </c>
      <c r="C533" s="3" t="inlineStr">
        <is>
          <t>已簽收</t>
        </is>
      </c>
      <c r="D533" s="3" t="inlineStr">
        <is>
          <t>2026-07-03 16:44:30</t>
        </is>
      </c>
      <c r="E533" s="3" t="inlineStr">
        <is>
          <t>2026-07-04 11:37</t>
        </is>
      </c>
      <c r="F533" s="3" t="n">
        <v>23.68</v>
      </c>
      <c r="G533" s="3" t="n">
        <v>2</v>
      </c>
      <c r="H533" s="3" t="n"/>
      <c r="I533" s="3" t="inlineStr"/>
      <c r="J533" s="3" t="inlineStr">
        <is>
          <t>Keeta</t>
        </is>
      </c>
      <c r="K533" s="3" t="inlineStr">
        <is>
          <t>****9568</t>
        </is>
      </c>
      <c r="L533" s="3" t="n"/>
      <c r="M533" s="3" t="inlineStr">
        <is>
          <t>***** 物流中心5樓</t>
        </is>
      </c>
      <c r="N533" s="3" t="inlineStr">
        <is>
          <t>北区</t>
        </is>
      </c>
      <c r="O533" s="3" t="inlineStr">
        <is>
          <t>香港</t>
        </is>
      </c>
      <c r="P533" s="3" t="inlineStr">
        <is>
          <t>香港特别行政区</t>
        </is>
      </c>
      <c r="Q533" s="3" t="n">
        <v>721531313</v>
      </c>
      <c r="R533" s="3" t="inlineStr">
        <is>
          <t>FlatIronSteak(灣仔)</t>
        </is>
      </c>
      <c r="S533" s="3" t="inlineStr">
        <is>
          <t>****98421883</t>
        </is>
      </c>
      <c r="T533" s="3" t="inlineStr">
        <is>
          <t>****98421883</t>
        </is>
      </c>
      <c r="U533" s="3" t="inlineStr">
        <is>
          <t>***** HAI HK</t>
        </is>
      </c>
      <c r="V533" s="3" t="inlineStr">
        <is>
          <t>香港</t>
        </is>
      </c>
      <c r="W533" s="3" t="inlineStr">
        <is>
          <t>纸袋【Preminum黑】/ 箱出, 无纺布【Preminum黑】/ 箱出</t>
        </is>
      </c>
      <c r="X533" s="3" t="inlineStr">
        <is>
          <t>ESS-SFTS-OTMS</t>
        </is>
      </c>
      <c r="Y533" s="3" t="n"/>
      <c r="Z533" s="3" t="inlineStr"/>
      <c r="AA533" s="3" t="inlineStr">
        <is>
          <t>寄付月結</t>
        </is>
      </c>
      <c r="AB533">
        <f>IFERROR(VLOOKUP(Q533&amp;"",對照表!$A:$B,1,FALSE),"")</f>
        <v/>
      </c>
      <c r="AC533">
        <f>IFERROR(VLOOKUP(Q533&amp;"",對照表!$A:$B,2,FALSE),"")</f>
        <v/>
      </c>
    </row>
    <row r="534">
      <c r="A534" s="3" t="inlineStr">
        <is>
          <t>SF5116616532116</t>
        </is>
      </c>
      <c r="B534" s="3" t="n">
        <v>58424825774155</v>
      </c>
      <c r="C534" s="3" t="inlineStr">
        <is>
          <t>已簽收</t>
        </is>
      </c>
      <c r="D534" s="3" t="inlineStr">
        <is>
          <t>2026-07-03 11:13:21</t>
        </is>
      </c>
      <c r="E534" s="3" t="inlineStr">
        <is>
          <t>2026-07-04 15:30</t>
        </is>
      </c>
      <c r="F534" s="3" t="n">
        <v>45</v>
      </c>
      <c r="G534" s="3" t="n">
        <v>3</v>
      </c>
      <c r="H534" s="3" t="n"/>
      <c r="I534" s="3" t="inlineStr"/>
      <c r="J534" s="3" t="inlineStr">
        <is>
          <t>Keeta</t>
        </is>
      </c>
      <c r="K534" s="3" t="inlineStr">
        <is>
          <t>****9568</t>
        </is>
      </c>
      <c r="L534" s="3" t="n"/>
      <c r="M534" s="3" t="inlineStr">
        <is>
          <t>***** 物流中心5樓</t>
        </is>
      </c>
      <c r="N534" s="3" t="inlineStr">
        <is>
          <t>北区</t>
        </is>
      </c>
      <c r="O534" s="3" t="inlineStr">
        <is>
          <t>香港</t>
        </is>
      </c>
      <c r="P534" s="3" t="inlineStr">
        <is>
          <t>香港特别行政区</t>
        </is>
      </c>
      <c r="Q534" s="3" t="n">
        <v>579850</v>
      </c>
      <c r="R534" s="3" t="inlineStr">
        <is>
          <t>十二味(筲箕灣)</t>
        </is>
      </c>
      <c r="S534" s="3" t="inlineStr">
        <is>
          <t>****52720117</t>
        </is>
      </c>
      <c r="T534" s="3" t="inlineStr">
        <is>
          <t>****52720117</t>
        </is>
      </c>
      <c r="U534" s="3" t="inlineStr">
        <is>
          <t>***** 號地下B號舖</t>
        </is>
      </c>
      <c r="V534" s="3" t="inlineStr">
        <is>
          <t>香港</t>
        </is>
      </c>
      <c r="W534" s="3" t="inlineStr">
        <is>
          <t>纸袋【通版】/ 箱出</t>
        </is>
      </c>
      <c r="X534" s="3" t="inlineStr">
        <is>
          <t>ESS-SFTS-OTMS</t>
        </is>
      </c>
      <c r="Y534" s="3" t="n"/>
      <c r="Z534" s="3" t="inlineStr"/>
      <c r="AA534" s="3" t="inlineStr">
        <is>
          <t>寄付月結</t>
        </is>
      </c>
      <c r="AB534">
        <f>IFERROR(VLOOKUP(Q534&amp;"",對照表!$A:$B,1,FALSE),"")</f>
        <v/>
      </c>
      <c r="AC534">
        <f>IFERROR(VLOOKUP(Q534&amp;"",對照表!$A:$B,2,FALSE),"")</f>
        <v/>
      </c>
    </row>
    <row r="535">
      <c r="A535" s="3" t="inlineStr">
        <is>
          <t>SF5116616532407</t>
        </is>
      </c>
      <c r="B535" s="3" t="n">
        <v>58424825774233</v>
      </c>
      <c r="C535" s="3" t="inlineStr">
        <is>
          <t>已簽收</t>
        </is>
      </c>
      <c r="D535" s="3" t="inlineStr">
        <is>
          <t>2026-07-03 10:29:42</t>
        </is>
      </c>
      <c r="E535" s="3" t="inlineStr">
        <is>
          <t>2026-07-04 13:43</t>
        </is>
      </c>
      <c r="F535" s="3" t="n">
        <v>0.67</v>
      </c>
      <c r="G535" s="3" t="n">
        <v>1</v>
      </c>
      <c r="H535" s="3" t="n"/>
      <c r="I535" s="3" t="inlineStr"/>
      <c r="J535" s="3" t="inlineStr">
        <is>
          <t>Keeta</t>
        </is>
      </c>
      <c r="K535" s="3" t="inlineStr">
        <is>
          <t>****9568</t>
        </is>
      </c>
      <c r="L535" s="3" t="n"/>
      <c r="M535" s="3" t="inlineStr">
        <is>
          <t>***** 物流中心5樓</t>
        </is>
      </c>
      <c r="N535" s="3" t="inlineStr">
        <is>
          <t>北区</t>
        </is>
      </c>
      <c r="O535" s="3" t="inlineStr">
        <is>
          <t>香港</t>
        </is>
      </c>
      <c r="P535" s="3" t="inlineStr">
        <is>
          <t>香港特别行政区</t>
        </is>
      </c>
      <c r="Q535" s="3" t="n">
        <v>481353</v>
      </c>
      <c r="R535" s="3" t="inlineStr">
        <is>
          <t>一品米線上水爆店</t>
        </is>
      </c>
      <c r="S535" s="3" t="inlineStr">
        <is>
          <t>****95258018</t>
        </is>
      </c>
      <c r="T535" s="3" t="inlineStr">
        <is>
          <t>****95258018</t>
        </is>
      </c>
      <c r="U535" s="3" t="inlineStr">
        <is>
          <t>***** UI,N.T</t>
        </is>
      </c>
      <c r="V535" s="3" t="inlineStr">
        <is>
          <t>香港</t>
        </is>
      </c>
      <c r="W535" s="3" t="inlineStr">
        <is>
          <t>塑料袋【小】/ 扎出</t>
        </is>
      </c>
      <c r="X535" s="3" t="inlineStr">
        <is>
          <t>ESS-SFTS-OTMS</t>
        </is>
      </c>
      <c r="Y535" s="3" t="n"/>
      <c r="Z535" s="3" t="inlineStr"/>
      <c r="AA535" s="3" t="inlineStr">
        <is>
          <t>寄付月結</t>
        </is>
      </c>
      <c r="AB535">
        <f>IFERROR(VLOOKUP(Q535&amp;"",對照表!$A:$B,1,FALSE),"")</f>
        <v/>
      </c>
      <c r="AC535">
        <f>IFERROR(VLOOKUP(Q535&amp;"",對照表!$A:$B,2,FALSE),"")</f>
        <v/>
      </c>
    </row>
    <row r="536">
      <c r="A536" s="3" t="inlineStr">
        <is>
          <t>SF5116616532452</t>
        </is>
      </c>
      <c r="B536" s="3" t="n">
        <v>58424825774249</v>
      </c>
      <c r="C536" s="3" t="inlineStr">
        <is>
          <t>已簽收</t>
        </is>
      </c>
      <c r="D536" s="3" t="inlineStr">
        <is>
          <t>2026-07-03 10:29:41</t>
        </is>
      </c>
      <c r="E536" s="3" t="inlineStr">
        <is>
          <t>2026-07-04 17:08</t>
        </is>
      </c>
      <c r="F536" s="3" t="n">
        <v>0.67</v>
      </c>
      <c r="G536" s="3" t="n">
        <v>1</v>
      </c>
      <c r="H536" s="3" t="n"/>
      <c r="I536" s="3" t="inlineStr"/>
      <c r="J536" s="3" t="inlineStr">
        <is>
          <t>Keeta</t>
        </is>
      </c>
      <c r="K536" s="3" t="inlineStr">
        <is>
          <t>****9568</t>
        </is>
      </c>
      <c r="L536" s="3" t="n"/>
      <c r="M536" s="3" t="inlineStr">
        <is>
          <t>***** 物流中心5樓</t>
        </is>
      </c>
      <c r="N536" s="3" t="inlineStr">
        <is>
          <t>北区</t>
        </is>
      </c>
      <c r="O536" s="3" t="inlineStr">
        <is>
          <t>香港</t>
        </is>
      </c>
      <c r="P536" s="3" t="inlineStr">
        <is>
          <t>香港特别行政区</t>
        </is>
      </c>
      <c r="Q536" s="3" t="n">
        <v>583112</v>
      </c>
      <c r="R536" s="3" t="inlineStr">
        <is>
          <t>正宗山東餃子店</t>
        </is>
      </c>
      <c r="S536" s="3" t="inlineStr">
        <is>
          <t>****26830811</t>
        </is>
      </c>
      <c r="T536" s="3" t="inlineStr">
        <is>
          <t>****26830811</t>
        </is>
      </c>
      <c r="U536" s="3" t="inlineStr">
        <is>
          <t>***** 樓地下B號舖</t>
        </is>
      </c>
      <c r="V536" s="3" t="inlineStr">
        <is>
          <t>香港</t>
        </is>
      </c>
      <c r="W536" s="3" t="inlineStr">
        <is>
          <t>塑料袋【小】/ 扎出</t>
        </is>
      </c>
      <c r="X536" s="3" t="inlineStr">
        <is>
          <t>ESS-SFTS-OTMS</t>
        </is>
      </c>
      <c r="Y536" s="3" t="n"/>
      <c r="Z536" s="3" t="inlineStr"/>
      <c r="AA536" s="3" t="inlineStr">
        <is>
          <t>寄付月結</t>
        </is>
      </c>
      <c r="AB536">
        <f>IFERROR(VLOOKUP(Q536&amp;"",對照表!$A:$B,1,FALSE),"")</f>
        <v/>
      </c>
      <c r="AC536">
        <f>IFERROR(VLOOKUP(Q536&amp;"",對照表!$A:$B,2,FALSE),"")</f>
        <v/>
      </c>
    </row>
    <row r="537">
      <c r="A537" s="3" t="inlineStr">
        <is>
          <t>SF5116616532295</t>
        </is>
      </c>
      <c r="B537" s="3" t="n">
        <v>58424825774205</v>
      </c>
      <c r="C537" s="3" t="inlineStr">
        <is>
          <t>已簽收</t>
        </is>
      </c>
      <c r="D537" s="3" t="inlineStr">
        <is>
          <t>2026-07-03 12:19:52</t>
        </is>
      </c>
      <c r="E537" s="3" t="inlineStr">
        <is>
          <t>2026-07-04 11:53</t>
        </is>
      </c>
      <c r="F537" s="3" t="n">
        <v>46.4</v>
      </c>
      <c r="G537" s="3" t="n">
        <v>4</v>
      </c>
      <c r="H537" s="3" t="n"/>
      <c r="I537" s="3" t="inlineStr"/>
      <c r="J537" s="3" t="inlineStr">
        <is>
          <t>Keeta</t>
        </is>
      </c>
      <c r="K537" s="3" t="inlineStr">
        <is>
          <t>****9568</t>
        </is>
      </c>
      <c r="L537" s="3" t="n"/>
      <c r="M537" s="3" t="inlineStr">
        <is>
          <t>***** 物流中心5樓</t>
        </is>
      </c>
      <c r="N537" s="3" t="inlineStr">
        <is>
          <t>北区</t>
        </is>
      </c>
      <c r="O537" s="3" t="inlineStr">
        <is>
          <t>香港</t>
        </is>
      </c>
      <c r="P537" s="3" t="inlineStr">
        <is>
          <t>香港特别行政区</t>
        </is>
      </c>
      <c r="Q537" s="3" t="n">
        <v>721530389</v>
      </c>
      <c r="R537" s="3" t="inlineStr">
        <is>
          <t>潮神貿易有限公司</t>
        </is>
      </c>
      <c r="S537" s="3" t="inlineStr">
        <is>
          <t>****53753368</t>
        </is>
      </c>
      <c r="T537" s="3" t="inlineStr">
        <is>
          <t>****53753368</t>
        </is>
      </c>
      <c r="U537" s="3" t="inlineStr">
        <is>
          <t>***** 業大廈13樓</t>
        </is>
      </c>
      <c r="V537" s="3" t="inlineStr">
        <is>
          <t>香港</t>
        </is>
      </c>
      <c r="W537" s="3" t="inlineStr">
        <is>
          <t>无纺布【规格四大号】/ 箱出</t>
        </is>
      </c>
      <c r="X537" s="3" t="inlineStr">
        <is>
          <t>ESS-SFTS-OTMS</t>
        </is>
      </c>
      <c r="Y537" s="3" t="n"/>
      <c r="Z537" s="3" t="inlineStr"/>
      <c r="AA537" s="3" t="inlineStr">
        <is>
          <t>寄付月結</t>
        </is>
      </c>
      <c r="AB537">
        <f>IFERROR(VLOOKUP(Q537&amp;"",對照表!$A:$B,1,FALSE),"")</f>
        <v/>
      </c>
      <c r="AC537">
        <f>IFERROR(VLOOKUP(Q537&amp;"",對照表!$A:$B,2,FALSE),"")</f>
        <v/>
      </c>
    </row>
    <row r="538">
      <c r="A538" s="3" t="inlineStr">
        <is>
          <t>SF5116616532310</t>
        </is>
      </c>
      <c r="B538" s="3" t="n">
        <v>58424825774213</v>
      </c>
      <c r="C538" s="3" t="inlineStr">
        <is>
          <t>已簽收</t>
        </is>
      </c>
      <c r="D538" s="3" t="inlineStr">
        <is>
          <t>2026-07-03 13:44:50</t>
        </is>
      </c>
      <c r="E538" s="3" t="inlineStr">
        <is>
          <t>2026-07-04 10:52</t>
        </is>
      </c>
      <c r="F538" s="3" t="n">
        <v>23.2</v>
      </c>
      <c r="G538" s="3" t="n">
        <v>2</v>
      </c>
      <c r="H538" s="3" t="n"/>
      <c r="I538" s="3" t="inlineStr"/>
      <c r="J538" s="3" t="inlineStr">
        <is>
          <t>Keeta</t>
        </is>
      </c>
      <c r="K538" s="3" t="inlineStr">
        <is>
          <t>****9568</t>
        </is>
      </c>
      <c r="L538" s="3" t="n"/>
      <c r="M538" s="3" t="inlineStr">
        <is>
          <t>***** 物流中心5樓</t>
        </is>
      </c>
      <c r="N538" s="3" t="inlineStr">
        <is>
          <t>北区</t>
        </is>
      </c>
      <c r="O538" s="3" t="inlineStr">
        <is>
          <t>香港</t>
        </is>
      </c>
      <c r="P538" s="3" t="inlineStr">
        <is>
          <t>香港特别行政区</t>
        </is>
      </c>
      <c r="Q538" s="3" t="n">
        <v>721449396</v>
      </c>
      <c r="R538" s="3" t="inlineStr">
        <is>
          <t>CatchA首爾炸雞經典首爾炸雞及各款韓式主食(鰂魚涌店)</t>
        </is>
      </c>
      <c r="S538" s="3" t="inlineStr">
        <is>
          <t>****59773497</t>
        </is>
      </c>
      <c r="T538" s="3" t="inlineStr">
        <is>
          <t>****59773497</t>
        </is>
      </c>
      <c r="U538" s="3" t="inlineStr">
        <is>
          <t>***** 5樓503室</t>
        </is>
      </c>
      <c r="V538" s="3" t="inlineStr">
        <is>
          <t>香港</t>
        </is>
      </c>
      <c r="W538" s="3" t="inlineStr">
        <is>
          <t>无纺布【规格四大号】/ 箱出</t>
        </is>
      </c>
      <c r="X538" s="3" t="inlineStr">
        <is>
          <t>ESS-SFTS-OTMS</t>
        </is>
      </c>
      <c r="Y538" s="3" t="n"/>
      <c r="Z538" s="3" t="inlineStr"/>
      <c r="AA538" s="3" t="inlineStr">
        <is>
          <t>寄付月結</t>
        </is>
      </c>
      <c r="AB538">
        <f>IFERROR(VLOOKUP(Q538&amp;"",對照表!$A:$B,1,FALSE),"")</f>
        <v/>
      </c>
      <c r="AC538">
        <f>IFERROR(VLOOKUP(Q538&amp;"",對照表!$A:$B,2,FALSE),"")</f>
        <v/>
      </c>
    </row>
    <row r="539">
      <c r="A539" s="3" t="inlineStr">
        <is>
          <t>SF5116616532522</t>
        </is>
      </c>
      <c r="B539" s="3" t="n">
        <v>58424825774264</v>
      </c>
      <c r="C539" s="3" t="inlineStr">
        <is>
          <t>已簽收</t>
        </is>
      </c>
      <c r="D539" s="3" t="inlineStr">
        <is>
          <t>2026-07-03 10:23:01</t>
        </is>
      </c>
      <c r="E539" s="3" t="inlineStr">
        <is>
          <t>2026-07-04 09:28</t>
        </is>
      </c>
      <c r="F539" s="3" t="n">
        <v>2.3</v>
      </c>
      <c r="G539" s="3" t="n">
        <v>1</v>
      </c>
      <c r="H539" s="3" t="n"/>
      <c r="I539" s="3" t="inlineStr"/>
      <c r="J539" s="3" t="inlineStr">
        <is>
          <t>Keeta</t>
        </is>
      </c>
      <c r="K539" s="3" t="inlineStr">
        <is>
          <t>****9568</t>
        </is>
      </c>
      <c r="L539" s="3" t="n"/>
      <c r="M539" s="3" t="inlineStr">
        <is>
          <t>***** 物流中心5樓</t>
        </is>
      </c>
      <c r="N539" s="3" t="inlineStr">
        <is>
          <t>北区</t>
        </is>
      </c>
      <c r="O539" s="3" t="inlineStr">
        <is>
          <t>香港</t>
        </is>
      </c>
      <c r="P539" s="3" t="inlineStr">
        <is>
          <t>香港特别行政区</t>
        </is>
      </c>
      <c r="Q539" s="3" t="n">
        <v>475118</v>
      </c>
      <c r="R539" s="3" t="inlineStr">
        <is>
          <t>MARCOSOYSTERBARGRILL</t>
        </is>
      </c>
      <c r="S539" s="3" t="inlineStr">
        <is>
          <t>****97532029</t>
        </is>
      </c>
      <c r="T539" s="3" t="inlineStr">
        <is>
          <t>****97532029</t>
        </is>
      </c>
      <c r="U539" s="3" t="inlineStr">
        <is>
          <t>***** JORDAN</t>
        </is>
      </c>
      <c r="V539" s="3" t="inlineStr">
        <is>
          <t>香港</t>
        </is>
      </c>
      <c r="W539" s="3" t="inlineStr">
        <is>
          <t>塑料袋【大】/ 扎出</t>
        </is>
      </c>
      <c r="X539" s="3" t="inlineStr">
        <is>
          <t>ESS-SFTS-OTMS</t>
        </is>
      </c>
      <c r="Y539" s="3" t="n"/>
      <c r="Z539" s="3" t="inlineStr"/>
      <c r="AA539" s="3" t="inlineStr">
        <is>
          <t>寄付月結</t>
        </is>
      </c>
      <c r="AB539">
        <f>IFERROR(VLOOKUP(Q539&amp;"",對照表!$A:$B,1,FALSE),"")</f>
        <v/>
      </c>
      <c r="AC539">
        <f>IFERROR(VLOOKUP(Q539&amp;"",對照表!$A:$B,2,FALSE),"")</f>
        <v/>
      </c>
    </row>
    <row r="540">
      <c r="A540" s="3" t="inlineStr">
        <is>
          <t>SF5116616532443</t>
        </is>
      </c>
      <c r="B540" s="3" t="n">
        <v>58424825774242</v>
      </c>
      <c r="C540" s="3" t="inlineStr">
        <is>
          <t>已簽收</t>
        </is>
      </c>
      <c r="D540" s="3" t="inlineStr">
        <is>
          <t>2026-07-03 11:52:10</t>
        </is>
      </c>
      <c r="E540" s="3" t="inlineStr">
        <is>
          <t>2026-07-04 14:40</t>
        </is>
      </c>
      <c r="F540" s="3" t="n">
        <v>10.1</v>
      </c>
      <c r="G540" s="3" t="n">
        <v>1</v>
      </c>
      <c r="H540" s="3" t="n"/>
      <c r="I540" s="3" t="inlineStr"/>
      <c r="J540" s="3" t="inlineStr">
        <is>
          <t>Keeta</t>
        </is>
      </c>
      <c r="K540" s="3" t="inlineStr">
        <is>
          <t>****9568</t>
        </is>
      </c>
      <c r="L540" s="3" t="n"/>
      <c r="M540" s="3" t="inlineStr">
        <is>
          <t>***** 物流中心5樓</t>
        </is>
      </c>
      <c r="N540" s="3" t="inlineStr">
        <is>
          <t>北区</t>
        </is>
      </c>
      <c r="O540" s="3" t="inlineStr">
        <is>
          <t>香港</t>
        </is>
      </c>
      <c r="P540" s="3" t="inlineStr">
        <is>
          <t>香港特别行政区</t>
        </is>
      </c>
      <c r="Q540" s="3" t="n">
        <v>485149</v>
      </c>
      <c r="R540" s="3" t="inlineStr">
        <is>
          <t>A100餐廳A100Restaurant</t>
        </is>
      </c>
      <c r="S540" s="3" t="inlineStr">
        <is>
          <t>****26721299</t>
        </is>
      </c>
      <c r="T540" s="3" t="inlineStr">
        <is>
          <t>****26721299</t>
        </is>
      </c>
      <c r="U540" s="3" t="inlineStr">
        <is>
          <t>***** 街34號地下</t>
        </is>
      </c>
      <c r="V540" s="3" t="inlineStr">
        <is>
          <t>香港</t>
        </is>
      </c>
      <c r="W540" s="3" t="inlineStr">
        <is>
          <t>无纺布【规格三中号】/ 箱出</t>
        </is>
      </c>
      <c r="X540" s="3" t="inlineStr">
        <is>
          <t>ESS-SFTS-OTMS</t>
        </is>
      </c>
      <c r="Y540" s="3" t="n"/>
      <c r="Z540" s="3" t="inlineStr"/>
      <c r="AA540" s="3" t="inlineStr">
        <is>
          <t>寄付月結</t>
        </is>
      </c>
      <c r="AB540">
        <f>IFERROR(VLOOKUP(Q540&amp;"",對照表!$A:$B,1,FALSE),"")</f>
        <v/>
      </c>
      <c r="AC540">
        <f>IFERROR(VLOOKUP(Q540&amp;"",對照表!$A:$B,2,FALSE),"")</f>
        <v/>
      </c>
    </row>
    <row r="541">
      <c r="A541" s="3" t="inlineStr">
        <is>
          <t>SF5116616532461</t>
        </is>
      </c>
      <c r="B541" s="3" t="n">
        <v>58424825774250</v>
      </c>
      <c r="C541" s="3" t="inlineStr">
        <is>
          <t>已簽收</t>
        </is>
      </c>
      <c r="D541" s="3" t="inlineStr">
        <is>
          <t>2026-07-03 13:49:39</t>
        </is>
      </c>
      <c r="E541" s="3" t="inlineStr">
        <is>
          <t>2026-07-04 12:23</t>
        </is>
      </c>
      <c r="F541" s="3" t="n">
        <v>34.8</v>
      </c>
      <c r="G541" s="3" t="n">
        <v>3</v>
      </c>
      <c r="H541" s="3" t="n"/>
      <c r="I541" s="3" t="inlineStr"/>
      <c r="J541" s="3" t="inlineStr">
        <is>
          <t>Keeta</t>
        </is>
      </c>
      <c r="K541" s="3" t="inlineStr">
        <is>
          <t>****9568</t>
        </is>
      </c>
      <c r="L541" s="3" t="n"/>
      <c r="M541" s="3" t="inlineStr">
        <is>
          <t>***** 物流中心5樓</t>
        </is>
      </c>
      <c r="N541" s="3" t="inlineStr">
        <is>
          <t>北区</t>
        </is>
      </c>
      <c r="O541" s="3" t="inlineStr">
        <is>
          <t>香港</t>
        </is>
      </c>
      <c r="P541" s="3" t="inlineStr">
        <is>
          <t>香港特别行政区</t>
        </is>
      </c>
      <c r="Q541" s="3" t="n">
        <v>721423344</v>
      </c>
      <c r="R541" s="3" t="inlineStr">
        <is>
          <t>韓國嫲嫲韓國人主理還原韓國風味</t>
        </is>
      </c>
      <c r="S541" s="3" t="inlineStr">
        <is>
          <t>****90331475</t>
        </is>
      </c>
      <c r="T541" s="3" t="inlineStr">
        <is>
          <t>****90331475</t>
        </is>
      </c>
      <c r="U541" s="3" t="inlineStr">
        <is>
          <t>***** 地下14號鋪</t>
        </is>
      </c>
      <c r="V541" s="3" t="inlineStr">
        <is>
          <t>香港</t>
        </is>
      </c>
      <c r="W541" s="3" t="inlineStr">
        <is>
          <t>无纺布【规格四大号】/ 箱出</t>
        </is>
      </c>
      <c r="X541" s="3" t="inlineStr">
        <is>
          <t>ESS-SFTS-OTMS</t>
        </is>
      </c>
      <c r="Y541" s="3" t="n"/>
      <c r="Z541" s="3" t="inlineStr"/>
      <c r="AA541" s="3" t="inlineStr">
        <is>
          <t>寄付月結</t>
        </is>
      </c>
      <c r="AB541">
        <f>IFERROR(VLOOKUP(Q541&amp;"",對照表!$A:$B,1,FALSE),"")</f>
        <v/>
      </c>
      <c r="AC541">
        <f>IFERROR(VLOOKUP(Q541&amp;"",對照表!$A:$B,2,FALSE),"")</f>
        <v/>
      </c>
    </row>
    <row r="542">
      <c r="A542" s="3" t="inlineStr">
        <is>
          <t>SF5116616532268</t>
        </is>
      </c>
      <c r="B542" s="3" t="n">
        <v>58424825774197</v>
      </c>
      <c r="C542" s="3" t="inlineStr">
        <is>
          <t>已簽收</t>
        </is>
      </c>
      <c r="D542" s="3" t="inlineStr">
        <is>
          <t>2026-07-03 11:52:09</t>
        </is>
      </c>
      <c r="E542" s="3" t="inlineStr">
        <is>
          <t>2026-07-04 16:30</t>
        </is>
      </c>
      <c r="F542" s="3" t="n">
        <v>10.1</v>
      </c>
      <c r="G542" s="3" t="n">
        <v>1</v>
      </c>
      <c r="H542" s="3" t="n"/>
      <c r="I542" s="3" t="inlineStr"/>
      <c r="J542" s="3" t="inlineStr">
        <is>
          <t>Keeta</t>
        </is>
      </c>
      <c r="K542" s="3" t="inlineStr">
        <is>
          <t>****9568</t>
        </is>
      </c>
      <c r="L542" s="3" t="n"/>
      <c r="M542" s="3" t="inlineStr">
        <is>
          <t>***** 物流中心5樓</t>
        </is>
      </c>
      <c r="N542" s="3" t="inlineStr">
        <is>
          <t>北区</t>
        </is>
      </c>
      <c r="O542" s="3" t="inlineStr">
        <is>
          <t>香港</t>
        </is>
      </c>
      <c r="P542" s="3" t="inlineStr">
        <is>
          <t>香港特别行政区</t>
        </is>
      </c>
      <c r="Q542" s="3" t="n">
        <v>573311</v>
      </c>
      <c r="R542" s="3" t="inlineStr">
        <is>
          <t>成記麵家(粉嶺)招牌車仔麵</t>
        </is>
      </c>
      <c r="S542" s="3" t="inlineStr">
        <is>
          <t>****26722668</t>
        </is>
      </c>
      <c r="T542" s="3" t="inlineStr">
        <is>
          <t>****26722668</t>
        </is>
      </c>
      <c r="U542" s="3" t="inlineStr">
        <is>
          <t>***** -15號地舖</t>
        </is>
      </c>
      <c r="V542" s="3" t="inlineStr">
        <is>
          <t>香港</t>
        </is>
      </c>
      <c r="W542" s="3" t="inlineStr">
        <is>
          <t>无纺布【规格三中号】/ 箱出</t>
        </is>
      </c>
      <c r="X542" s="3" t="inlineStr">
        <is>
          <t>ESS-SFTS-OTMS</t>
        </is>
      </c>
      <c r="Y542" s="3" t="n"/>
      <c r="Z542" s="3" t="inlineStr"/>
      <c r="AA542" s="3" t="inlineStr">
        <is>
          <t>寄付月結</t>
        </is>
      </c>
      <c r="AB542">
        <f>IFERROR(VLOOKUP(Q542&amp;"",對照表!$A:$B,1,FALSE),"")</f>
        <v/>
      </c>
      <c r="AC542">
        <f>IFERROR(VLOOKUP(Q542&amp;"",對照表!$A:$B,2,FALSE),"")</f>
        <v/>
      </c>
    </row>
    <row r="543">
      <c r="A543" s="3" t="inlineStr">
        <is>
          <t>SF5116616532656</t>
        </is>
      </c>
      <c r="B543" s="3" t="n">
        <v>58424825774296</v>
      </c>
      <c r="C543" s="3" t="inlineStr">
        <is>
          <t>已簽收</t>
        </is>
      </c>
      <c r="D543" s="3" t="inlineStr">
        <is>
          <t>2026-07-03 11:52:12</t>
        </is>
      </c>
      <c r="E543" s="3" t="inlineStr">
        <is>
          <t>2026-07-04 10:14</t>
        </is>
      </c>
      <c r="F543" s="3" t="n">
        <v>10.1</v>
      </c>
      <c r="G543" s="3" t="n">
        <v>1</v>
      </c>
      <c r="H543" s="3" t="n"/>
      <c r="I543" s="3" t="inlineStr"/>
      <c r="J543" s="3" t="inlineStr">
        <is>
          <t>Keeta</t>
        </is>
      </c>
      <c r="K543" s="3" t="inlineStr">
        <is>
          <t>****9568</t>
        </is>
      </c>
      <c r="L543" s="3" t="n"/>
      <c r="M543" s="3" t="inlineStr">
        <is>
          <t>***** 物流中心5樓</t>
        </is>
      </c>
      <c r="N543" s="3" t="inlineStr">
        <is>
          <t>北区</t>
        </is>
      </c>
      <c r="O543" s="3" t="inlineStr">
        <is>
          <t>香港</t>
        </is>
      </c>
      <c r="P543" s="3" t="inlineStr">
        <is>
          <t>香港特别行政区</t>
        </is>
      </c>
      <c r="Q543" s="3" t="n">
        <v>458909</v>
      </c>
      <c r="R543" s="3" t="inlineStr">
        <is>
          <t>四方果甜品屋</t>
        </is>
      </c>
      <c r="S543" s="3" t="inlineStr">
        <is>
          <t>****92002914</t>
        </is>
      </c>
      <c r="T543" s="3" t="inlineStr">
        <is>
          <t>****92002914</t>
        </is>
      </c>
      <c r="U543" s="3" t="inlineStr">
        <is>
          <t>***** 地下5D號舖</t>
        </is>
      </c>
      <c r="V543" s="3" t="inlineStr">
        <is>
          <t>香港</t>
        </is>
      </c>
      <c r="W543" s="3" t="inlineStr">
        <is>
          <t>无纺布【规格三中号】/ 箱出</t>
        </is>
      </c>
      <c r="X543" s="3" t="inlineStr">
        <is>
          <t>ESS-SFTS-OTMS</t>
        </is>
      </c>
      <c r="Y543" s="3" t="n"/>
      <c r="Z543" s="3" t="inlineStr"/>
      <c r="AA543" s="3" t="inlineStr">
        <is>
          <t>寄付月結</t>
        </is>
      </c>
      <c r="AB543">
        <f>IFERROR(VLOOKUP(Q543&amp;"",對照表!$A:$B,1,FALSE),"")</f>
        <v/>
      </c>
      <c r="AC543">
        <f>IFERROR(VLOOKUP(Q543&amp;"",對照表!$A:$B,2,FALSE),"")</f>
        <v/>
      </c>
    </row>
    <row r="544">
      <c r="A544" s="3" t="inlineStr">
        <is>
          <t>SF5116616532601</t>
        </is>
      </c>
      <c r="B544" s="3" t="n">
        <v>58424825774284</v>
      </c>
      <c r="C544" s="3" t="inlineStr">
        <is>
          <t>已簽收</t>
        </is>
      </c>
      <c r="D544" s="3" t="inlineStr">
        <is>
          <t>2026-07-03 11:52:11</t>
        </is>
      </c>
      <c r="E544" s="3" t="inlineStr">
        <is>
          <t>2026-07-04 13:06</t>
        </is>
      </c>
      <c r="F544" s="3" t="n">
        <v>10.1</v>
      </c>
      <c r="G544" s="3" t="n">
        <v>1</v>
      </c>
      <c r="H544" s="3" t="n"/>
      <c r="I544" s="3" t="inlineStr"/>
      <c r="J544" s="3" t="inlineStr">
        <is>
          <t>Keeta</t>
        </is>
      </c>
      <c r="K544" s="3" t="inlineStr">
        <is>
          <t>****9568</t>
        </is>
      </c>
      <c r="L544" s="3" t="n"/>
      <c r="M544" s="3" t="inlineStr">
        <is>
          <t>***** 物流中心5樓</t>
        </is>
      </c>
      <c r="N544" s="3" t="inlineStr">
        <is>
          <t>北区</t>
        </is>
      </c>
      <c r="O544" s="3" t="inlineStr">
        <is>
          <t>香港</t>
        </is>
      </c>
      <c r="P544" s="3" t="inlineStr">
        <is>
          <t>香港特别行政区</t>
        </is>
      </c>
      <c r="Q544" s="3" t="n">
        <v>448575</v>
      </c>
      <c r="R544" s="3" t="inlineStr">
        <is>
          <t>葉味雞煲(小廚)</t>
        </is>
      </c>
      <c r="S544" s="3" t="inlineStr">
        <is>
          <t>****54049151</t>
        </is>
      </c>
      <c r="T544" s="3" t="inlineStr">
        <is>
          <t>****54049151</t>
        </is>
      </c>
      <c r="U544" s="3" t="inlineStr">
        <is>
          <t>***** 號地下E號舖</t>
        </is>
      </c>
      <c r="V544" s="3" t="inlineStr">
        <is>
          <t>香港</t>
        </is>
      </c>
      <c r="W544" s="3" t="inlineStr">
        <is>
          <t>无纺布【规格三中号】/ 箱出</t>
        </is>
      </c>
      <c r="X544" s="3" t="inlineStr">
        <is>
          <t>ESS-SFTS-OTMS</t>
        </is>
      </c>
      <c r="Y544" s="3" t="n"/>
      <c r="Z544" s="3" t="inlineStr"/>
      <c r="AA544" s="3" t="inlineStr">
        <is>
          <t>寄付月結</t>
        </is>
      </c>
      <c r="AB544">
        <f>IFERROR(VLOOKUP(Q544&amp;"",對照表!$A:$B,1,FALSE),"")</f>
        <v/>
      </c>
      <c r="AC544">
        <f>IFERROR(VLOOKUP(Q544&amp;"",對照表!$A:$B,2,FALSE),"")</f>
        <v/>
      </c>
    </row>
    <row r="545">
      <c r="A545" s="3" t="inlineStr">
        <is>
          <t>SF5116616532107</t>
        </is>
      </c>
      <c r="B545" s="3" t="n">
        <v>58424825774153</v>
      </c>
      <c r="C545" s="3" t="inlineStr">
        <is>
          <t>已簽收</t>
        </is>
      </c>
      <c r="D545" s="3" t="inlineStr">
        <is>
          <t>2026-07-03 14:48:04</t>
        </is>
      </c>
      <c r="E545" s="3" t="inlineStr">
        <is>
          <t>2026-07-04 13:32</t>
        </is>
      </c>
      <c r="F545" s="3" t="n">
        <v>78.27</v>
      </c>
      <c r="G545" s="3" t="n">
        <v>6</v>
      </c>
      <c r="H545" s="3" t="n"/>
      <c r="I545" s="3" t="inlineStr"/>
      <c r="J545" s="3" t="inlineStr">
        <is>
          <t>Keeta</t>
        </is>
      </c>
      <c r="K545" s="3" t="inlineStr">
        <is>
          <t>****9568</t>
        </is>
      </c>
      <c r="L545" s="3" t="n"/>
      <c r="M545" s="3" t="inlineStr">
        <is>
          <t>***** 物流中心5樓</t>
        </is>
      </c>
      <c r="N545" s="3" t="inlineStr">
        <is>
          <t>北区</t>
        </is>
      </c>
      <c r="O545" s="3" t="inlineStr">
        <is>
          <t>香港</t>
        </is>
      </c>
      <c r="P545" s="3" t="inlineStr">
        <is>
          <t>香港特别行政区</t>
        </is>
      </c>
      <c r="Q545" s="3" t="n">
        <v>721432337</v>
      </c>
      <c r="R545" s="3" t="inlineStr">
        <is>
          <t>蘑歡雲南菜</t>
        </is>
      </c>
      <c r="S545" s="3" t="inlineStr">
        <is>
          <t>****65023559</t>
        </is>
      </c>
      <c r="T545" s="3" t="inlineStr">
        <is>
          <t>****65023559</t>
        </is>
      </c>
      <c r="U545" s="3" t="inlineStr">
        <is>
          <t>***** 加州大廈7樓</t>
        </is>
      </c>
      <c r="V545" s="3" t="inlineStr">
        <is>
          <t>香港</t>
        </is>
      </c>
      <c r="W545" s="3" t="inlineStr">
        <is>
          <t>无纺布【规格四大号】/ 箱出, 纸袋【通版】/ 箱出</t>
        </is>
      </c>
      <c r="X545" s="3" t="inlineStr">
        <is>
          <t>ESS-SFTS-OTMS</t>
        </is>
      </c>
      <c r="Y545" s="3" t="n"/>
      <c r="Z545" s="3" t="inlineStr"/>
      <c r="AA545" s="3" t="inlineStr">
        <is>
          <t>寄付月結</t>
        </is>
      </c>
      <c r="AB545">
        <f>IFERROR(VLOOKUP(Q545&amp;"",對照表!$A:$B,1,FALSE),"")</f>
        <v/>
      </c>
      <c r="AC545">
        <f>IFERROR(VLOOKUP(Q545&amp;"",對照表!$A:$B,2,FALSE),"")</f>
        <v/>
      </c>
    </row>
    <row r="546">
      <c r="A546" s="3" t="inlineStr">
        <is>
          <t>SF5116616532365</t>
        </is>
      </c>
      <c r="B546" s="3" t="n">
        <v>58424825774222</v>
      </c>
      <c r="C546" s="3" t="inlineStr">
        <is>
          <t>已簽收</t>
        </is>
      </c>
      <c r="D546" s="3" t="inlineStr">
        <is>
          <t>2026-07-03 14:48:27</t>
        </is>
      </c>
      <c r="E546" s="3" t="inlineStr">
        <is>
          <t>2026-07-04 11:36</t>
        </is>
      </c>
      <c r="F546" s="3" t="n">
        <v>78.36</v>
      </c>
      <c r="G546" s="3" t="n">
        <v>8</v>
      </c>
      <c r="H546" s="3" t="n"/>
      <c r="I546" s="3" t="inlineStr"/>
      <c r="J546" s="3" t="inlineStr">
        <is>
          <t>Keeta</t>
        </is>
      </c>
      <c r="K546" s="3" t="inlineStr">
        <is>
          <t>****9568</t>
        </is>
      </c>
      <c r="L546" s="3" t="n"/>
      <c r="M546" s="3" t="inlineStr">
        <is>
          <t>***** 物流中心5樓</t>
        </is>
      </c>
      <c r="N546" s="3" t="inlineStr">
        <is>
          <t>北区</t>
        </is>
      </c>
      <c r="O546" s="3" t="inlineStr">
        <is>
          <t>香港</t>
        </is>
      </c>
      <c r="P546" s="3" t="inlineStr">
        <is>
          <t>香港特别行政区</t>
        </is>
      </c>
      <c r="Q546" s="3" t="n">
        <v>721449310</v>
      </c>
      <c r="R546" s="3" t="inlineStr">
        <is>
          <t>祥興記上海生煎包旺角店2026米芝蓮必比登推介</t>
        </is>
      </c>
      <c r="S546" s="3" t="inlineStr">
        <is>
          <t>****70408304</t>
        </is>
      </c>
      <c r="T546" s="3" t="inlineStr">
        <is>
          <t>****70408304</t>
        </is>
      </c>
      <c r="U546" s="3" t="inlineStr">
        <is>
          <t>***** 號地下B號鋪</t>
        </is>
      </c>
      <c r="V546" s="3" t="inlineStr">
        <is>
          <t>香港</t>
        </is>
      </c>
      <c r="W546" s="3" t="inlineStr">
        <is>
          <t>无纺布【规格二双杯】/ 箱出, 无纺布【规格四大号】/ 箱出</t>
        </is>
      </c>
      <c r="X546" s="3" t="inlineStr">
        <is>
          <t>ESS-SFTS-OTMS</t>
        </is>
      </c>
      <c r="Y546" s="3" t="n"/>
      <c r="Z546" s="3" t="inlineStr"/>
      <c r="AA546" s="3" t="inlineStr">
        <is>
          <t>寄付月結</t>
        </is>
      </c>
      <c r="AB546">
        <f>IFERROR(VLOOKUP(Q546&amp;"",對照表!$A:$B,1,FALSE),"")</f>
        <v/>
      </c>
      <c r="AC546">
        <f>IFERROR(VLOOKUP(Q546&amp;"",對照表!$A:$B,2,FALSE),"")</f>
        <v/>
      </c>
    </row>
    <row r="547">
      <c r="A547" s="3" t="inlineStr">
        <is>
          <t>SF5116616532240</t>
        </is>
      </c>
      <c r="B547" s="3" t="n">
        <v>58424825774190</v>
      </c>
      <c r="C547" s="3" t="inlineStr">
        <is>
          <t>已簽收</t>
        </is>
      </c>
      <c r="D547" s="3" t="inlineStr">
        <is>
          <t>2026-07-03 14:19:10</t>
        </is>
      </c>
      <c r="E547" s="3" t="inlineStr">
        <is>
          <t>2026-07-05 16:40</t>
        </is>
      </c>
      <c r="F547" s="3" t="n">
        <v>101</v>
      </c>
      <c r="G547" s="3" t="n">
        <v>10</v>
      </c>
      <c r="H547" s="3" t="n"/>
      <c r="I547" s="3" t="inlineStr"/>
      <c r="J547" s="3" t="inlineStr">
        <is>
          <t>Keeta</t>
        </is>
      </c>
      <c r="K547" s="3" t="inlineStr">
        <is>
          <t>****9568</t>
        </is>
      </c>
      <c r="L547" s="3" t="n"/>
      <c r="M547" s="3" t="inlineStr">
        <is>
          <t>***** 物流中心5樓</t>
        </is>
      </c>
      <c r="N547" s="3" t="inlineStr">
        <is>
          <t>北区</t>
        </is>
      </c>
      <c r="O547" s="3" t="inlineStr">
        <is>
          <t>香港</t>
        </is>
      </c>
      <c r="P547" s="3" t="inlineStr">
        <is>
          <t>香港特别行政区</t>
        </is>
      </c>
      <c r="Q547" s="3" t="n">
        <v>589642</v>
      </c>
      <c r="R547" s="3" t="inlineStr">
        <is>
          <t>雄記燒臘鹵水</t>
        </is>
      </c>
      <c r="S547" s="3" t="inlineStr">
        <is>
          <t>****63832816</t>
        </is>
      </c>
      <c r="T547" s="3" t="inlineStr">
        <is>
          <t>****63832816</t>
        </is>
      </c>
      <c r="U547" s="3" t="inlineStr">
        <is>
          <t>***** 1071號舖</t>
        </is>
      </c>
      <c r="V547" s="3" t="inlineStr">
        <is>
          <t>香港</t>
        </is>
      </c>
      <c r="W547" s="3" t="inlineStr">
        <is>
          <t>无纺布【规格三中号】/ 箱出</t>
        </is>
      </c>
      <c r="X547" s="3" t="inlineStr">
        <is>
          <t>ESS-SFTS-OTMS</t>
        </is>
      </c>
      <c r="Y547" s="3" t="n"/>
      <c r="Z547" s="3" t="inlineStr"/>
      <c r="AA547" s="3" t="inlineStr">
        <is>
          <t>寄付月結</t>
        </is>
      </c>
      <c r="AB547">
        <f>IFERROR(VLOOKUP(Q547&amp;"",對照表!$A:$B,1,FALSE),"")</f>
        <v/>
      </c>
      <c r="AC547">
        <f>IFERROR(VLOOKUP(Q547&amp;"",對照表!$A:$B,2,FALSE),"")</f>
        <v/>
      </c>
    </row>
    <row r="548">
      <c r="A548" s="3" t="inlineStr">
        <is>
          <t>SF5116616532301</t>
        </is>
      </c>
      <c r="B548" s="3" t="n">
        <v>58424825774211</v>
      </c>
      <c r="C548" s="3" t="inlineStr">
        <is>
          <t>派送中</t>
        </is>
      </c>
      <c r="D548" s="3" t="inlineStr">
        <is>
          <t>2026-07-03 11:13:22</t>
        </is>
      </c>
      <c r="E548" s="3" t="n"/>
      <c r="F548" s="3" t="n">
        <v>45</v>
      </c>
      <c r="G548" s="3" t="n">
        <v>3</v>
      </c>
      <c r="H548" s="3" t="n"/>
      <c r="I548" s="3" t="inlineStr"/>
      <c r="J548" s="3" t="inlineStr">
        <is>
          <t>Keeta</t>
        </is>
      </c>
      <c r="K548" s="3" t="inlineStr">
        <is>
          <t>****9568</t>
        </is>
      </c>
      <c r="L548" s="3" t="n"/>
      <c r="M548" s="3" t="inlineStr">
        <is>
          <t>***** 物流中心5樓</t>
        </is>
      </c>
      <c r="N548" s="3" t="inlineStr">
        <is>
          <t>北区</t>
        </is>
      </c>
      <c r="O548" s="3" t="inlineStr">
        <is>
          <t>香港</t>
        </is>
      </c>
      <c r="P548" s="3" t="inlineStr">
        <is>
          <t>香港特别行政区</t>
        </is>
      </c>
      <c r="Q548" s="3" t="n">
        <v>593881</v>
      </c>
      <c r="R548" s="3" t="inlineStr">
        <is>
          <t>十二味(旺角文華店)</t>
        </is>
      </c>
      <c r="S548" s="3" t="inlineStr">
        <is>
          <t>****65022791</t>
        </is>
      </c>
      <c r="T548" s="3" t="inlineStr">
        <is>
          <t>****65022791</t>
        </is>
      </c>
      <c r="U548" s="3" t="inlineStr">
        <is>
          <t>***** 商場5樓B室</t>
        </is>
      </c>
      <c r="V548" s="3" t="inlineStr">
        <is>
          <t>香港</t>
        </is>
      </c>
      <c r="W548" s="3" t="inlineStr">
        <is>
          <t>纸袋【通版】/ 箱出</t>
        </is>
      </c>
      <c r="X548" s="3" t="inlineStr">
        <is>
          <t>ESS-SFTS-OTMS</t>
        </is>
      </c>
      <c r="Y548" s="3" t="n"/>
      <c r="Z548" s="3" t="inlineStr"/>
      <c r="AA548" s="3" t="inlineStr">
        <is>
          <t>寄付月結</t>
        </is>
      </c>
      <c r="AB548">
        <f>IFERROR(VLOOKUP(Q548&amp;"",對照表!$A:$B,1,FALSE),"")</f>
        <v/>
      </c>
      <c r="AC548">
        <f>IFERROR(VLOOKUP(Q548&amp;"",對照表!$A:$B,2,FALSE),"")</f>
        <v/>
      </c>
    </row>
    <row r="549">
      <c r="A549" s="3" t="inlineStr">
        <is>
          <t>SF5116616532329</t>
        </is>
      </c>
      <c r="B549" s="3" t="n">
        <v>58424825774214</v>
      </c>
      <c r="C549" s="3" t="inlineStr">
        <is>
          <t>已簽收</t>
        </is>
      </c>
      <c r="D549" s="3" t="inlineStr">
        <is>
          <t>2026-07-03 13:49:34</t>
        </is>
      </c>
      <c r="E549" s="3" t="inlineStr">
        <is>
          <t>2026-07-04 11:30</t>
        </is>
      </c>
      <c r="F549" s="3" t="n">
        <v>34.8</v>
      </c>
      <c r="G549" s="3" t="n">
        <v>3</v>
      </c>
      <c r="H549" s="3" t="n"/>
      <c r="I549" s="3" t="inlineStr"/>
      <c r="J549" s="3" t="inlineStr">
        <is>
          <t>Keeta</t>
        </is>
      </c>
      <c r="K549" s="3" t="inlineStr">
        <is>
          <t>****9568</t>
        </is>
      </c>
      <c r="L549" s="3" t="n"/>
      <c r="M549" s="3" t="inlineStr">
        <is>
          <t>***** 物流中心5樓</t>
        </is>
      </c>
      <c r="N549" s="3" t="inlineStr">
        <is>
          <t>北区</t>
        </is>
      </c>
      <c r="O549" s="3" t="inlineStr">
        <is>
          <t>香港</t>
        </is>
      </c>
      <c r="P549" s="3" t="inlineStr">
        <is>
          <t>香港特别行政区</t>
        </is>
      </c>
      <c r="Q549" s="3" t="n">
        <v>458379</v>
      </c>
      <c r="R549" s="3" t="inlineStr">
        <is>
          <t>陳六記飯店(全新多人餐上架喇快啲嗌返幾碟小菜食)</t>
        </is>
      </c>
      <c r="S549" s="3" t="inlineStr">
        <is>
          <t>****26700612</t>
        </is>
      </c>
      <c r="T549" s="3" t="inlineStr">
        <is>
          <t>****26700612</t>
        </is>
      </c>
      <c r="U549" s="3" t="inlineStr">
        <is>
          <t>***** 巡撫街4號</t>
        </is>
      </c>
      <c r="V549" s="3" t="inlineStr">
        <is>
          <t>香港</t>
        </is>
      </c>
      <c r="W549" s="3" t="inlineStr">
        <is>
          <t>无纺布【规格四大号】/ 箱出</t>
        </is>
      </c>
      <c r="X549" s="3" t="inlineStr">
        <is>
          <t>ESS-SFTS-OTMS</t>
        </is>
      </c>
      <c r="Y549" s="3" t="n"/>
      <c r="Z549" s="3" t="inlineStr"/>
      <c r="AA549" s="3" t="inlineStr">
        <is>
          <t>寄付月結</t>
        </is>
      </c>
      <c r="AB549">
        <f>IFERROR(VLOOKUP(Q549&amp;"",對照表!$A:$B,1,FALSE),"")</f>
        <v/>
      </c>
      <c r="AC549">
        <f>IFERROR(VLOOKUP(Q549&amp;"",對照表!$A:$B,2,FALSE),"")</f>
        <v/>
      </c>
    </row>
    <row r="550">
      <c r="A550" s="3" t="inlineStr">
        <is>
          <t>SF5116616532629</t>
        </is>
      </c>
      <c r="B550" s="3" t="n">
        <v>58424825774291</v>
      </c>
      <c r="C550" s="3" t="inlineStr">
        <is>
          <t>已簽收</t>
        </is>
      </c>
      <c r="D550" s="3" t="inlineStr">
        <is>
          <t>2026-07-03 16:33:36</t>
        </is>
      </c>
      <c r="E550" s="3" t="inlineStr">
        <is>
          <t>2026-07-04 11:36</t>
        </is>
      </c>
      <c r="F550" s="3" t="n">
        <v>23.72</v>
      </c>
      <c r="G550" s="3" t="n">
        <v>2</v>
      </c>
      <c r="H550" s="3" t="n"/>
      <c r="I550" s="3" t="inlineStr"/>
      <c r="J550" s="3" t="inlineStr">
        <is>
          <t>Keeta</t>
        </is>
      </c>
      <c r="K550" s="3" t="inlineStr">
        <is>
          <t>****9568</t>
        </is>
      </c>
      <c r="L550" s="3" t="n"/>
      <c r="M550" s="3" t="inlineStr">
        <is>
          <t>***** 物流中心5樓</t>
        </is>
      </c>
      <c r="N550" s="3" t="inlineStr">
        <is>
          <t>北区</t>
        </is>
      </c>
      <c r="O550" s="3" t="inlineStr">
        <is>
          <t>香港</t>
        </is>
      </c>
      <c r="P550" s="3" t="inlineStr">
        <is>
          <t>香港特别行政区</t>
        </is>
      </c>
      <c r="Q550" s="3" t="n">
        <v>575468</v>
      </c>
      <c r="R550" s="3" t="inlineStr">
        <is>
          <t>MapoTofuHouse荔枝角</t>
        </is>
      </c>
      <c r="S550" s="3" t="inlineStr">
        <is>
          <t>****95084161</t>
        </is>
      </c>
      <c r="T550" s="3" t="inlineStr">
        <is>
          <t>****95084161</t>
        </is>
      </c>
      <c r="U550" s="3" t="inlineStr">
        <is>
          <t>***** oad KL</t>
        </is>
      </c>
      <c r="V550" s="3" t="inlineStr">
        <is>
          <t>香港</t>
        </is>
      </c>
      <c r="W550" s="3" t="inlineStr">
        <is>
          <t>纸袋【Preminum黑】/ 箱出</t>
        </is>
      </c>
      <c r="X550" s="3" t="inlineStr">
        <is>
          <t>ESS-SFTS-OTMS</t>
        </is>
      </c>
      <c r="Y550" s="3" t="n"/>
      <c r="Z550" s="3" t="inlineStr"/>
      <c r="AA550" s="3" t="inlineStr">
        <is>
          <t>寄付月結</t>
        </is>
      </c>
      <c r="AB550">
        <f>IFERROR(VLOOKUP(Q550&amp;"",對照表!$A:$B,1,FALSE),"")</f>
        <v/>
      </c>
      <c r="AC550">
        <f>IFERROR(VLOOKUP(Q550&amp;"",對照表!$A:$B,2,FALSE),"")</f>
        <v/>
      </c>
    </row>
    <row r="551">
      <c r="A551" s="3" t="inlineStr">
        <is>
          <t>SF5116616532674</t>
        </is>
      </c>
      <c r="B551" s="3" t="n">
        <v>58424825774300</v>
      </c>
      <c r="C551" s="3" t="inlineStr">
        <is>
          <t>已簽收</t>
        </is>
      </c>
      <c r="D551" s="3" t="inlineStr">
        <is>
          <t>2026-07-03 15:10:27</t>
        </is>
      </c>
      <c r="E551" s="3" t="inlineStr">
        <is>
          <t>2026-07-04 14:54</t>
        </is>
      </c>
      <c r="F551" s="3" t="n">
        <v>2</v>
      </c>
      <c r="G551" s="3" t="n">
        <v>1</v>
      </c>
      <c r="H551" s="3" t="n"/>
      <c r="I551" s="3" t="inlineStr"/>
      <c r="J551" s="3" t="inlineStr">
        <is>
          <t>Keeta</t>
        </is>
      </c>
      <c r="K551" s="3" t="inlineStr">
        <is>
          <t>****9568</t>
        </is>
      </c>
      <c r="L551" s="3" t="n"/>
      <c r="M551" s="3" t="inlineStr">
        <is>
          <t>***** 物流中心5樓</t>
        </is>
      </c>
      <c r="N551" s="3" t="inlineStr">
        <is>
          <t>北区</t>
        </is>
      </c>
      <c r="O551" s="3" t="inlineStr">
        <is>
          <t>香港</t>
        </is>
      </c>
      <c r="P551" s="3" t="inlineStr">
        <is>
          <t>香港特别行政区</t>
        </is>
      </c>
      <c r="Q551" s="3" t="n">
        <v>721519349</v>
      </c>
      <c r="R551" s="3" t="inlineStr">
        <is>
          <t>心滿意粥(灣仔)</t>
        </is>
      </c>
      <c r="S551" s="3" t="inlineStr">
        <is>
          <t>****52230387</t>
        </is>
      </c>
      <c r="T551" s="3" t="inlineStr">
        <is>
          <t>****52230387</t>
        </is>
      </c>
      <c r="U551" s="3" t="inlineStr">
        <is>
          <t>***** 街29號地下</t>
        </is>
      </c>
      <c r="V551" s="3" t="inlineStr">
        <is>
          <t>香港</t>
        </is>
      </c>
      <c r="W551" s="3" t="inlineStr">
        <is>
          <t>塑料袋【小】/ 扎出, 塑料袋【大】/ 扎出</t>
        </is>
      </c>
      <c r="X551" s="3" t="inlineStr">
        <is>
          <t>ESS-SFTS-OTMS</t>
        </is>
      </c>
      <c r="Y551" s="3" t="n"/>
      <c r="Z551" s="3" t="inlineStr"/>
      <c r="AA551" s="3" t="inlineStr">
        <is>
          <t>寄付月結</t>
        </is>
      </c>
      <c r="AB551">
        <f>IFERROR(VLOOKUP(Q551&amp;"",對照表!$A:$B,1,FALSE),"")</f>
        <v/>
      </c>
      <c r="AC551">
        <f>IFERROR(VLOOKUP(Q551&amp;"",對照表!$A:$B,2,FALSE),"")</f>
        <v/>
      </c>
    </row>
    <row r="552">
      <c r="A552" s="3" t="inlineStr">
        <is>
          <t>SF5116616532259</t>
        </is>
      </c>
      <c r="B552" s="3" t="n">
        <v>58424825774195</v>
      </c>
      <c r="C552" s="3" t="inlineStr">
        <is>
          <t>已簽收</t>
        </is>
      </c>
      <c r="D552" s="3" t="inlineStr">
        <is>
          <t>2026-07-03 15:45:22</t>
        </is>
      </c>
      <c r="E552" s="3" t="inlineStr">
        <is>
          <t>2026-07-04 11:32</t>
        </is>
      </c>
      <c r="F552" s="3" t="n">
        <v>46.4</v>
      </c>
      <c r="G552" s="3" t="n">
        <v>4</v>
      </c>
      <c r="H552" s="3" t="n"/>
      <c r="I552" s="3" t="inlineStr"/>
      <c r="J552" s="3" t="inlineStr">
        <is>
          <t>Keeta</t>
        </is>
      </c>
      <c r="K552" s="3" t="inlineStr">
        <is>
          <t>****9568</t>
        </is>
      </c>
      <c r="L552" s="3" t="n"/>
      <c r="M552" s="3" t="inlineStr">
        <is>
          <t>***** 物流中心5樓</t>
        </is>
      </c>
      <c r="N552" s="3" t="inlineStr">
        <is>
          <t>北区</t>
        </is>
      </c>
      <c r="O552" s="3" t="inlineStr">
        <is>
          <t>香港</t>
        </is>
      </c>
      <c r="P552" s="3" t="inlineStr">
        <is>
          <t>香港特别行政区</t>
        </is>
      </c>
      <c r="Q552" s="3" t="n">
        <v>721534390</v>
      </c>
      <c r="R552" s="3" t="inlineStr">
        <is>
          <t>脆雞妹</t>
        </is>
      </c>
      <c r="S552" s="3" t="inlineStr">
        <is>
          <t>****93414965</t>
        </is>
      </c>
      <c r="T552" s="3" t="inlineStr">
        <is>
          <t>****93414965</t>
        </is>
      </c>
      <c r="U552" s="3" t="inlineStr">
        <is>
          <t>***** （S1部份）</t>
        </is>
      </c>
      <c r="V552" s="3" t="inlineStr">
        <is>
          <t>香港</t>
        </is>
      </c>
      <c r="W552" s="3" t="inlineStr">
        <is>
          <t>无纺布【规格四大号】/ 箱出</t>
        </is>
      </c>
      <c r="X552" s="3" t="inlineStr">
        <is>
          <t>ESS-SFTS-OTMS</t>
        </is>
      </c>
      <c r="Y552" s="3" t="n"/>
      <c r="Z552" s="3" t="inlineStr"/>
      <c r="AA552" s="3" t="inlineStr">
        <is>
          <t>寄付月結</t>
        </is>
      </c>
      <c r="AB552">
        <f>IFERROR(VLOOKUP(Q552&amp;"",對照表!$A:$B,1,FALSE),"")</f>
        <v/>
      </c>
      <c r="AC552">
        <f>IFERROR(VLOOKUP(Q552&amp;"",對照表!$A:$B,2,FALSE),"")</f>
        <v/>
      </c>
    </row>
    <row r="553">
      <c r="A553" s="3" t="inlineStr">
        <is>
          <t>SF5116616532374</t>
        </is>
      </c>
      <c r="B553" s="3" t="n">
        <v>58424825774224</v>
      </c>
      <c r="C553" s="3" t="inlineStr">
        <is>
          <t>已簽收</t>
        </is>
      </c>
      <c r="D553" s="3" t="inlineStr">
        <is>
          <t>2026-07-03 14:15:14</t>
        </is>
      </c>
      <c r="E553" s="3" t="inlineStr">
        <is>
          <t>2026-07-04 16:28</t>
        </is>
      </c>
      <c r="F553" s="3" t="n">
        <v>40.4</v>
      </c>
      <c r="G553" s="3" t="n">
        <v>4</v>
      </c>
      <c r="H553" s="3" t="n"/>
      <c r="I553" s="3" t="inlineStr"/>
      <c r="J553" s="3" t="inlineStr">
        <is>
          <t>Keeta</t>
        </is>
      </c>
      <c r="K553" s="3" t="inlineStr">
        <is>
          <t>****9568</t>
        </is>
      </c>
      <c r="L553" s="3" t="n"/>
      <c r="M553" s="3" t="inlineStr">
        <is>
          <t>***** 物流中心5樓</t>
        </is>
      </c>
      <c r="N553" s="3" t="inlineStr">
        <is>
          <t>北区</t>
        </is>
      </c>
      <c r="O553" s="3" t="inlineStr">
        <is>
          <t>香港</t>
        </is>
      </c>
      <c r="P553" s="3" t="inlineStr">
        <is>
          <t>香港特别行政区</t>
        </is>
      </c>
      <c r="Q553" s="3" t="n">
        <v>448956</v>
      </c>
      <c r="R553" s="3" t="inlineStr">
        <is>
          <t>潮味源牛雜粉麵</t>
        </is>
      </c>
      <c r="S553" s="3" t="inlineStr">
        <is>
          <t>****28322190</t>
        </is>
      </c>
      <c r="T553" s="3" t="inlineStr">
        <is>
          <t>****28322190</t>
        </is>
      </c>
      <c r="U553" s="3" t="inlineStr">
        <is>
          <t>***** 街77號地舖</t>
        </is>
      </c>
      <c r="V553" s="3" t="inlineStr">
        <is>
          <t>香港</t>
        </is>
      </c>
      <c r="W553" s="3" t="inlineStr">
        <is>
          <t>无纺布【规格三中号】/ 箱出</t>
        </is>
      </c>
      <c r="X553" s="3" t="inlineStr">
        <is>
          <t>ESS-SFTS-OTMS</t>
        </is>
      </c>
      <c r="Y553" s="3" t="n"/>
      <c r="Z553" s="3" t="inlineStr"/>
      <c r="AA553" s="3" t="inlineStr">
        <is>
          <t>寄付月結</t>
        </is>
      </c>
      <c r="AB553">
        <f>IFERROR(VLOOKUP(Q553&amp;"",對照表!$A:$B,1,FALSE),"")</f>
        <v/>
      </c>
      <c r="AC553">
        <f>IFERROR(VLOOKUP(Q553&amp;"",對照表!$A:$B,2,FALSE),"")</f>
        <v/>
      </c>
    </row>
    <row r="554">
      <c r="A554" s="3" t="inlineStr">
        <is>
          <t>SF5116616532647</t>
        </is>
      </c>
      <c r="B554" s="3" t="n">
        <v>58424825774295</v>
      </c>
      <c r="C554" s="3" t="inlineStr">
        <is>
          <t>已簽收</t>
        </is>
      </c>
      <c r="D554" s="3" t="inlineStr">
        <is>
          <t>2026-07-03 10:30:59</t>
        </is>
      </c>
      <c r="E554" s="3" t="inlineStr">
        <is>
          <t>2026-07-04 10:58</t>
        </is>
      </c>
      <c r="F554" s="3" t="n">
        <v>11.6</v>
      </c>
      <c r="G554" s="3" t="n">
        <v>1</v>
      </c>
      <c r="H554" s="3" t="n"/>
      <c r="I554" s="3" t="inlineStr"/>
      <c r="J554" s="3" t="inlineStr">
        <is>
          <t>Keeta</t>
        </is>
      </c>
      <c r="K554" s="3" t="inlineStr">
        <is>
          <t>****9568</t>
        </is>
      </c>
      <c r="L554" s="3" t="n"/>
      <c r="M554" s="3" t="inlineStr">
        <is>
          <t>***** 物流中心5樓</t>
        </is>
      </c>
      <c r="N554" s="3" t="inlineStr">
        <is>
          <t>北区</t>
        </is>
      </c>
      <c r="O554" s="3" t="inlineStr">
        <is>
          <t>香港</t>
        </is>
      </c>
      <c r="P554" s="3" t="inlineStr">
        <is>
          <t>香港特别行政区</t>
        </is>
      </c>
      <c r="Q554" s="3" t="n">
        <v>478046</v>
      </c>
      <c r="R554" s="3" t="inlineStr">
        <is>
          <t>波叔專門店（屹立在火炭超過10年）</t>
        </is>
      </c>
      <c r="S554" s="3" t="inlineStr">
        <is>
          <t>****26900711</t>
        </is>
      </c>
      <c r="T554" s="3" t="inlineStr">
        <is>
          <t>****26900711</t>
        </is>
      </c>
      <c r="U554" s="3" t="inlineStr">
        <is>
          <t>***** 色招牌入口）</t>
        </is>
      </c>
      <c r="V554" s="3" t="inlineStr">
        <is>
          <t>香港</t>
        </is>
      </c>
      <c r="W554" s="3" t="inlineStr">
        <is>
          <t>无纺布【规格四大号】/ 箱出</t>
        </is>
      </c>
      <c r="X554" s="3" t="inlineStr">
        <is>
          <t>ESS-SFTS-OTMS</t>
        </is>
      </c>
      <c r="Y554" s="3" t="n"/>
      <c r="Z554" s="3" t="inlineStr"/>
      <c r="AA554" s="3" t="inlineStr">
        <is>
          <t>寄付月結</t>
        </is>
      </c>
      <c r="AB554">
        <f>IFERROR(VLOOKUP(Q554&amp;"",對照表!$A:$B,1,FALSE),"")</f>
        <v/>
      </c>
      <c r="AC554">
        <f>IFERROR(VLOOKUP(Q554&amp;"",對照表!$A:$B,2,FALSE),"")</f>
        <v/>
      </c>
    </row>
    <row r="555">
      <c r="A555" s="3" t="inlineStr">
        <is>
          <t>SF5116616532091</t>
        </is>
      </c>
      <c r="B555" s="3" t="n">
        <v>58424825774150</v>
      </c>
      <c r="C555" s="3" t="inlineStr">
        <is>
          <t>已簽收</t>
        </is>
      </c>
      <c r="D555" s="3" t="inlineStr">
        <is>
          <t>2026-07-03 16:49:44</t>
        </is>
      </c>
      <c r="E555" s="3" t="inlineStr">
        <is>
          <t>2026-07-04 11:16</t>
        </is>
      </c>
      <c r="F555" s="3" t="n">
        <v>62.3</v>
      </c>
      <c r="G555" s="3" t="n">
        <v>5</v>
      </c>
      <c r="H555" s="3" t="n"/>
      <c r="I555" s="3" t="inlineStr"/>
      <c r="J555" s="3" t="inlineStr">
        <is>
          <t>Keeta</t>
        </is>
      </c>
      <c r="K555" s="3" t="inlineStr">
        <is>
          <t>****9568</t>
        </is>
      </c>
      <c r="L555" s="3" t="n"/>
      <c r="M555" s="3" t="inlineStr">
        <is>
          <t>***** 物流中心5樓</t>
        </is>
      </c>
      <c r="N555" s="3" t="inlineStr">
        <is>
          <t>北区</t>
        </is>
      </c>
      <c r="O555" s="3" t="inlineStr">
        <is>
          <t>香港</t>
        </is>
      </c>
      <c r="P555" s="3" t="inlineStr">
        <is>
          <t>香港特别行政区</t>
        </is>
      </c>
      <c r="Q555" s="3" t="n">
        <v>721537305</v>
      </c>
      <c r="R555" s="3" t="inlineStr">
        <is>
          <t>兄弟食堂第四分店強勢登陸新蒲崗</t>
        </is>
      </c>
      <c r="S555" s="3" t="inlineStr">
        <is>
          <t>****60373395</t>
        </is>
      </c>
      <c r="T555" s="3" t="inlineStr">
        <is>
          <t>****60373395</t>
        </is>
      </c>
      <c r="U555" s="3" t="inlineStr">
        <is>
          <t>***** 厦7樓D2室</t>
        </is>
      </c>
      <c r="V555" s="3" t="inlineStr">
        <is>
          <t>香港</t>
        </is>
      </c>
      <c r="W555" s="3" t="inlineStr">
        <is>
          <t>塑料袋【大】/ 扎出, 纸袋【通版】/ 箱出</t>
        </is>
      </c>
      <c r="X555" s="3" t="inlineStr">
        <is>
          <t>ESS-SFTS-OTMS</t>
        </is>
      </c>
      <c r="Y555" s="3" t="n"/>
      <c r="Z555" s="3" t="inlineStr"/>
      <c r="AA555" s="3" t="inlineStr">
        <is>
          <t>寄付月結</t>
        </is>
      </c>
      <c r="AB555">
        <f>IFERROR(VLOOKUP(Q555&amp;"",對照表!$A:$B,1,FALSE),"")</f>
        <v/>
      </c>
      <c r="AC555">
        <f>IFERROR(VLOOKUP(Q555&amp;"",對照表!$A:$B,2,FALSE),"")</f>
        <v/>
      </c>
    </row>
    <row r="556">
      <c r="A556" s="3" t="inlineStr">
        <is>
          <t>SF5116616532356</t>
        </is>
      </c>
      <c r="B556" s="3" t="n">
        <v>58424825774221</v>
      </c>
      <c r="C556" s="3" t="inlineStr">
        <is>
          <t>已簽收</t>
        </is>
      </c>
      <c r="D556" s="3" t="inlineStr">
        <is>
          <t>2026-07-03 11:10:03</t>
        </is>
      </c>
      <c r="E556" s="3" t="inlineStr">
        <is>
          <t>2026-07-04 10:39</t>
        </is>
      </c>
      <c r="F556" s="3" t="n">
        <v>60</v>
      </c>
      <c r="G556" s="3" t="n">
        <v>4</v>
      </c>
      <c r="H556" s="3" t="n"/>
      <c r="I556" s="3" t="inlineStr"/>
      <c r="J556" s="3" t="inlineStr">
        <is>
          <t>Keeta</t>
        </is>
      </c>
      <c r="K556" s="3" t="inlineStr">
        <is>
          <t>****9568</t>
        </is>
      </c>
      <c r="L556" s="3" t="n"/>
      <c r="M556" s="3" t="inlineStr">
        <is>
          <t>***** 物流中心5樓</t>
        </is>
      </c>
      <c r="N556" s="3" t="inlineStr">
        <is>
          <t>北区</t>
        </is>
      </c>
      <c r="O556" s="3" t="inlineStr">
        <is>
          <t>香港</t>
        </is>
      </c>
      <c r="P556" s="3" t="inlineStr">
        <is>
          <t>香港特别行政区</t>
        </is>
      </c>
      <c r="Q556" s="3" t="n">
        <v>422049</v>
      </c>
      <c r="R556" s="3" t="inlineStr">
        <is>
          <t>Joystick(D2Place)(健康能量碗)</t>
        </is>
      </c>
      <c r="S556" s="3" t="inlineStr">
        <is>
          <t>****52107735</t>
        </is>
      </c>
      <c r="T556" s="3" t="inlineStr">
        <is>
          <t>****52107735</t>
        </is>
      </c>
      <c r="U556" s="3" t="inlineStr">
        <is>
          <t>***** 211A號舖</t>
        </is>
      </c>
      <c r="V556" s="3" t="inlineStr">
        <is>
          <t>香港</t>
        </is>
      </c>
      <c r="W556" s="3" t="inlineStr">
        <is>
          <t>纸袋【通版】/ 箱出</t>
        </is>
      </c>
      <c r="X556" s="3" t="inlineStr">
        <is>
          <t>ESS-SFTS-OTMS</t>
        </is>
      </c>
      <c r="Y556" s="3" t="n"/>
      <c r="Z556" s="3" t="inlineStr"/>
      <c r="AA556" s="3" t="inlineStr">
        <is>
          <t>寄付月結</t>
        </is>
      </c>
      <c r="AB556">
        <f>IFERROR(VLOOKUP(Q556&amp;"",對照表!$A:$B,1,FALSE),"")</f>
        <v/>
      </c>
      <c r="AC556">
        <f>IFERROR(VLOOKUP(Q556&amp;"",對照表!$A:$B,2,FALSE),"")</f>
        <v/>
      </c>
    </row>
    <row r="557">
      <c r="A557" s="3" t="inlineStr">
        <is>
          <t>SF5116616532392</t>
        </is>
      </c>
      <c r="B557" s="3" t="n">
        <v>58424825774229</v>
      </c>
      <c r="C557" s="3" t="inlineStr">
        <is>
          <t>已簽收</t>
        </is>
      </c>
      <c r="D557" s="3" t="inlineStr">
        <is>
          <t>2026-07-03 12:16:09</t>
        </is>
      </c>
      <c r="E557" s="3" t="inlineStr">
        <is>
          <t>2026-07-04 16:02</t>
        </is>
      </c>
      <c r="F557" s="3" t="n">
        <v>69.59999999999999</v>
      </c>
      <c r="G557" s="3" t="n">
        <v>6</v>
      </c>
      <c r="H557" s="3" t="n"/>
      <c r="I557" s="3" t="inlineStr"/>
      <c r="J557" s="3" t="inlineStr">
        <is>
          <t>Keeta</t>
        </is>
      </c>
      <c r="K557" s="3" t="inlineStr">
        <is>
          <t>****9568</t>
        </is>
      </c>
      <c r="L557" s="3" t="n"/>
      <c r="M557" s="3" t="inlineStr">
        <is>
          <t>***** 物流中心5樓</t>
        </is>
      </c>
      <c r="N557" s="3" t="inlineStr">
        <is>
          <t>北区</t>
        </is>
      </c>
      <c r="O557" s="3" t="inlineStr">
        <is>
          <t>香港</t>
        </is>
      </c>
      <c r="P557" s="3" t="inlineStr">
        <is>
          <t>香港特别行政区</t>
        </is>
      </c>
      <c r="Q557" s="3" t="n">
        <v>458902</v>
      </c>
      <c r="R557" s="3" t="inlineStr">
        <is>
          <t>CookCook滋味漢堡Pizza18優惠價加配特色小食</t>
        </is>
      </c>
      <c r="S557" s="3" t="inlineStr">
        <is>
          <t>****61581738</t>
        </is>
      </c>
      <c r="T557" s="3" t="inlineStr">
        <is>
          <t>****61581738</t>
        </is>
      </c>
      <c r="U557" s="3" t="inlineStr">
        <is>
          <t>***** 苑地下7號舖</t>
        </is>
      </c>
      <c r="V557" s="3" t="inlineStr">
        <is>
          <t>香港</t>
        </is>
      </c>
      <c r="W557" s="3" t="inlineStr">
        <is>
          <t>无纺布【规格四大号】/ 箱出</t>
        </is>
      </c>
      <c r="X557" s="3" t="inlineStr">
        <is>
          <t>ESS-SFTS-OTMS</t>
        </is>
      </c>
      <c r="Y557" s="3" t="n"/>
      <c r="Z557" s="3" t="inlineStr"/>
      <c r="AA557" s="3" t="inlineStr">
        <is>
          <t>寄付月結</t>
        </is>
      </c>
      <c r="AB557">
        <f>IFERROR(VLOOKUP(Q557&amp;"",對照表!$A:$B,1,FALSE),"")</f>
        <v/>
      </c>
      <c r="AC557">
        <f>IFERROR(VLOOKUP(Q557&amp;"",對照表!$A:$B,2,FALSE),"")</f>
        <v/>
      </c>
    </row>
    <row r="558">
      <c r="A558" s="3" t="inlineStr">
        <is>
          <t>SF5116616532610</t>
        </is>
      </c>
      <c r="B558" s="3" t="n">
        <v>58424825774288</v>
      </c>
      <c r="C558" s="3" t="inlineStr">
        <is>
          <t>已簽收</t>
        </is>
      </c>
      <c r="D558" s="3" t="inlineStr">
        <is>
          <t>2026-07-03 15:45:19</t>
        </is>
      </c>
      <c r="E558" s="3" t="inlineStr">
        <is>
          <t>2026-07-04 09:49</t>
        </is>
      </c>
      <c r="F558" s="3" t="n">
        <v>46.4</v>
      </c>
      <c r="G558" s="3" t="n">
        <v>4</v>
      </c>
      <c r="H558" s="3" t="n"/>
      <c r="I558" s="3" t="inlineStr"/>
      <c r="J558" s="3" t="inlineStr">
        <is>
          <t>Keeta</t>
        </is>
      </c>
      <c r="K558" s="3" t="inlineStr">
        <is>
          <t>****9568</t>
        </is>
      </c>
      <c r="L558" s="3" t="n"/>
      <c r="M558" s="3" t="inlineStr">
        <is>
          <t>***** 物流中心5樓</t>
        </is>
      </c>
      <c r="N558" s="3" t="inlineStr">
        <is>
          <t>北区</t>
        </is>
      </c>
      <c r="O558" s="3" t="inlineStr">
        <is>
          <t>香港</t>
        </is>
      </c>
      <c r="P558" s="3" t="inlineStr">
        <is>
          <t>香港特别行政区</t>
        </is>
      </c>
      <c r="Q558" s="3" t="n">
        <v>721529371</v>
      </c>
      <c r="R558" s="3" t="inlineStr">
        <is>
          <t>滷肉飯</t>
        </is>
      </c>
      <c r="S558" s="3" t="inlineStr">
        <is>
          <t>****52487675</t>
        </is>
      </c>
      <c r="T558" s="3" t="inlineStr">
        <is>
          <t>****52487675</t>
        </is>
      </c>
      <c r="U558" s="3" t="inlineStr">
        <is>
          <t>***** 座10樓F室</t>
        </is>
      </c>
      <c r="V558" s="3" t="inlineStr">
        <is>
          <t>香港</t>
        </is>
      </c>
      <c r="W558" s="3" t="inlineStr">
        <is>
          <t>无纺布【规格四大号】/ 箱出</t>
        </is>
      </c>
      <c r="X558" s="3" t="inlineStr">
        <is>
          <t>ESS-SFTS-OTMS</t>
        </is>
      </c>
      <c r="Y558" s="3" t="n"/>
      <c r="Z558" s="3" t="inlineStr"/>
      <c r="AA558" s="3" t="inlineStr">
        <is>
          <t>寄付月結</t>
        </is>
      </c>
      <c r="AB558">
        <f>IFERROR(VLOOKUP(Q558&amp;"",對照表!$A:$B,1,FALSE),"")</f>
        <v/>
      </c>
      <c r="AC558">
        <f>IFERROR(VLOOKUP(Q558&amp;"",對照表!$A:$B,2,FALSE),"")</f>
        <v/>
      </c>
    </row>
    <row r="559">
      <c r="A559" s="3" t="inlineStr">
        <is>
          <t>SF5116616532347</t>
        </is>
      </c>
      <c r="B559" s="3" t="n">
        <v>58424825774219</v>
      </c>
      <c r="C559" s="3" t="inlineStr">
        <is>
          <t>已簽收</t>
        </is>
      </c>
      <c r="D559" s="3" t="inlineStr">
        <is>
          <t>2026-07-03 13:44:49</t>
        </is>
      </c>
      <c r="E559" s="3" t="inlineStr">
        <is>
          <t>2026-07-04 11:38</t>
        </is>
      </c>
      <c r="F559" s="3" t="n">
        <v>23.2</v>
      </c>
      <c r="G559" s="3" t="n">
        <v>2</v>
      </c>
      <c r="H559" s="3" t="n"/>
      <c r="I559" s="3" t="inlineStr"/>
      <c r="J559" s="3" t="inlineStr">
        <is>
          <t>Keeta</t>
        </is>
      </c>
      <c r="K559" s="3" t="inlineStr">
        <is>
          <t>****9568</t>
        </is>
      </c>
      <c r="L559" s="3" t="n"/>
      <c r="M559" s="3" t="inlineStr">
        <is>
          <t>***** 物流中心5樓</t>
        </is>
      </c>
      <c r="N559" s="3" t="inlineStr">
        <is>
          <t>北区</t>
        </is>
      </c>
      <c r="O559" s="3" t="inlineStr">
        <is>
          <t>香港</t>
        </is>
      </c>
      <c r="P559" s="3" t="inlineStr">
        <is>
          <t>香港特别行政区</t>
        </is>
      </c>
      <c r="Q559" s="3" t="n">
        <v>721431296</v>
      </c>
      <c r="R559" s="3" t="inlineStr">
        <is>
          <t>大門炸雞真正韓廚主理香港連鎖品牌(葵芳)</t>
        </is>
      </c>
      <c r="S559" s="3" t="inlineStr">
        <is>
          <t>****55020121</t>
        </is>
      </c>
      <c r="T559" s="3" t="inlineStr">
        <is>
          <t>****55020121</t>
        </is>
      </c>
      <c r="U559" s="3" t="inlineStr">
        <is>
          <t>***** 期4樓P1室</t>
        </is>
      </c>
      <c r="V559" s="3" t="inlineStr">
        <is>
          <t>香港</t>
        </is>
      </c>
      <c r="W559" s="3" t="inlineStr">
        <is>
          <t>无纺布【规格四大号】/ 箱出</t>
        </is>
      </c>
      <c r="X559" s="3" t="inlineStr">
        <is>
          <t>ESS-SFTS-OTMS</t>
        </is>
      </c>
      <c r="Y559" s="3" t="n"/>
      <c r="Z559" s="3" t="inlineStr"/>
      <c r="AA559" s="3" t="inlineStr">
        <is>
          <t>寄付月結</t>
        </is>
      </c>
      <c r="AB559">
        <f>IFERROR(VLOOKUP(Q559&amp;"",對照表!$A:$B,1,FALSE),"")</f>
        <v/>
      </c>
      <c r="AC559">
        <f>IFERROR(VLOOKUP(Q559&amp;"",對照表!$A:$B,2,FALSE),"")</f>
        <v/>
      </c>
    </row>
    <row r="560">
      <c r="A560" s="3" t="inlineStr">
        <is>
          <t>SF5116616532638</t>
        </is>
      </c>
      <c r="B560" s="3" t="n">
        <v>58424825774293</v>
      </c>
      <c r="C560" s="3" t="inlineStr">
        <is>
          <t>已簽收</t>
        </is>
      </c>
      <c r="D560" s="3" t="inlineStr">
        <is>
          <t>2026-07-03 14:15:17</t>
        </is>
      </c>
      <c r="E560" s="3" t="inlineStr">
        <is>
          <t>2026-07-06 09:53</t>
        </is>
      </c>
      <c r="F560" s="3" t="n">
        <v>40.4</v>
      </c>
      <c r="G560" s="3" t="n">
        <v>4</v>
      </c>
      <c r="H560" s="3" t="n"/>
      <c r="I560" s="3" t="inlineStr"/>
      <c r="J560" s="3" t="inlineStr">
        <is>
          <t>Keeta</t>
        </is>
      </c>
      <c r="K560" s="3" t="inlineStr">
        <is>
          <t>****9568</t>
        </is>
      </c>
      <c r="L560" s="3" t="n"/>
      <c r="M560" s="3" t="inlineStr">
        <is>
          <t>***** 物流中心5樓</t>
        </is>
      </c>
      <c r="N560" s="3" t="inlineStr">
        <is>
          <t>北区</t>
        </is>
      </c>
      <c r="O560" s="3" t="inlineStr">
        <is>
          <t>香港</t>
        </is>
      </c>
      <c r="P560" s="3" t="inlineStr">
        <is>
          <t>香港特别行政区</t>
        </is>
      </c>
      <c r="Q560" s="3" t="n">
        <v>721538291</v>
      </c>
      <c r="R560" s="3" t="inlineStr">
        <is>
          <t>蒸天下（九龍灣店）</t>
        </is>
      </c>
      <c r="S560" s="3" t="inlineStr">
        <is>
          <t>****96567047</t>
        </is>
      </c>
      <c r="T560" s="3" t="inlineStr">
        <is>
          <t>****96567047</t>
        </is>
      </c>
      <c r="U560" s="3" t="inlineStr">
        <is>
          <t>***** 心4樓45室</t>
        </is>
      </c>
      <c r="V560" s="3" t="inlineStr">
        <is>
          <t>香港</t>
        </is>
      </c>
      <c r="W560" s="3" t="inlineStr">
        <is>
          <t>无纺布【规格三中号】/ 箱出</t>
        </is>
      </c>
      <c r="X560" s="3" t="inlineStr">
        <is>
          <t>ESS-SFTS-OTMS</t>
        </is>
      </c>
      <c r="Y560" s="3" t="n"/>
      <c r="Z560" s="3" t="inlineStr"/>
      <c r="AA560" s="3" t="inlineStr">
        <is>
          <t>寄付月結</t>
        </is>
      </c>
      <c r="AB560">
        <f>IFERROR(VLOOKUP(Q560&amp;"",對照表!$A:$B,1,FALSE),"")</f>
        <v/>
      </c>
      <c r="AC560">
        <f>IFERROR(VLOOKUP(Q560&amp;"",對照表!$A:$B,2,FALSE),"")</f>
        <v/>
      </c>
    </row>
    <row r="561">
      <c r="A561" s="3" t="inlineStr">
        <is>
          <t>SF5116616532586</t>
        </is>
      </c>
      <c r="B561" s="3" t="n">
        <v>58424825774281</v>
      </c>
      <c r="C561" s="3" t="inlineStr">
        <is>
          <t>已簽收</t>
        </is>
      </c>
      <c r="D561" s="3" t="inlineStr">
        <is>
          <t>2026-07-03 13:44:48</t>
        </is>
      </c>
      <c r="E561" s="3" t="inlineStr">
        <is>
          <t>2026-07-04 14:59</t>
        </is>
      </c>
      <c r="F561" s="3" t="n">
        <v>23.2</v>
      </c>
      <c r="G561" s="3" t="n">
        <v>2</v>
      </c>
      <c r="H561" s="3" t="n"/>
      <c r="I561" s="3" t="inlineStr"/>
      <c r="J561" s="3" t="inlineStr">
        <is>
          <t>Keeta</t>
        </is>
      </c>
      <c r="K561" s="3" t="inlineStr">
        <is>
          <t>****9568</t>
        </is>
      </c>
      <c r="L561" s="3" t="n"/>
      <c r="M561" s="3" t="inlineStr">
        <is>
          <t>***** 物流中心5樓</t>
        </is>
      </c>
      <c r="N561" s="3" t="inlineStr">
        <is>
          <t>北区</t>
        </is>
      </c>
      <c r="O561" s="3" t="inlineStr">
        <is>
          <t>香港</t>
        </is>
      </c>
      <c r="P561" s="3" t="inlineStr">
        <is>
          <t>香港特别行政区</t>
        </is>
      </c>
      <c r="Q561" s="3" t="n">
        <v>487912</v>
      </c>
      <c r="R561" s="3" t="inlineStr">
        <is>
          <t>大門炸雞台灣奕杯茶一口炸雞一口茶高人氣韓式炸雞傳統韓食便當(藍田店)</t>
        </is>
      </c>
      <c r="S561" s="3" t="inlineStr">
        <is>
          <t>****26913668</t>
        </is>
      </c>
      <c r="T561" s="3" t="inlineStr">
        <is>
          <t>****26913668</t>
        </is>
      </c>
      <c r="U561" s="3" t="inlineStr">
        <is>
          <t>***** 心10A號舖</t>
        </is>
      </c>
      <c r="V561" s="3" t="inlineStr">
        <is>
          <t>香港</t>
        </is>
      </c>
      <c r="W561" s="3" t="inlineStr">
        <is>
          <t>无纺布【规格四大号】/ 箱出</t>
        </is>
      </c>
      <c r="X561" s="3" t="inlineStr">
        <is>
          <t>ESS-SFTS-OTMS</t>
        </is>
      </c>
      <c r="Y561" s="3" t="n"/>
      <c r="Z561" s="3" t="inlineStr"/>
      <c r="AA561" s="3" t="inlineStr">
        <is>
          <t>寄付月結</t>
        </is>
      </c>
      <c r="AB561">
        <f>IFERROR(VLOOKUP(Q561&amp;"",對照表!$A:$B,1,FALSE),"")</f>
        <v/>
      </c>
      <c r="AC561">
        <f>IFERROR(VLOOKUP(Q561&amp;"",對照表!$A:$B,2,FALSE),"")</f>
        <v/>
      </c>
    </row>
    <row r="562">
      <c r="A562" s="3" t="inlineStr">
        <is>
          <t>SF5116616532707</t>
        </is>
      </c>
      <c r="B562" s="3" t="n">
        <v>58424825774307</v>
      </c>
      <c r="C562" s="3" t="inlineStr">
        <is>
          <t>運送中</t>
        </is>
      </c>
      <c r="D562" s="3" t="inlineStr">
        <is>
          <t>2026-07-03 10:30:59</t>
        </is>
      </c>
      <c r="E562" s="3" t="n"/>
      <c r="F562" s="3" t="n">
        <v>11.6</v>
      </c>
      <c r="G562" s="3" t="n">
        <v>1</v>
      </c>
      <c r="H562" s="3" t="n"/>
      <c r="I562" s="3" t="inlineStr"/>
      <c r="J562" s="3" t="inlineStr">
        <is>
          <t>Keeta</t>
        </is>
      </c>
      <c r="K562" s="3" t="inlineStr">
        <is>
          <t>****9568</t>
        </is>
      </c>
      <c r="L562" s="3" t="n"/>
      <c r="M562" s="3" t="inlineStr">
        <is>
          <t>***** 物流中心5樓</t>
        </is>
      </c>
      <c r="N562" s="3" t="inlineStr">
        <is>
          <t>北区</t>
        </is>
      </c>
      <c r="O562" s="3" t="inlineStr">
        <is>
          <t>香港</t>
        </is>
      </c>
      <c r="P562" s="3" t="inlineStr">
        <is>
          <t>香港特别行政区</t>
        </is>
      </c>
      <c r="Q562" s="3" t="n">
        <v>491486</v>
      </c>
      <c r="R562" s="3" t="inlineStr">
        <is>
          <t>峇峇娘惹</t>
        </is>
      </c>
      <c r="S562" s="3" t="inlineStr">
        <is>
          <t>****34677895</t>
        </is>
      </c>
      <c r="T562" s="3" t="inlineStr">
        <is>
          <t>****34677895</t>
        </is>
      </c>
      <c r="U562" s="3" t="inlineStr">
        <is>
          <t>***** 3001號舖</t>
        </is>
      </c>
      <c r="V562" s="3" t="inlineStr">
        <is>
          <t>香港</t>
        </is>
      </c>
      <c r="W562" s="3" t="inlineStr">
        <is>
          <t>无纺布【规格四大号】/ 箱出</t>
        </is>
      </c>
      <c r="X562" s="3" t="inlineStr">
        <is>
          <t>ESS-SFTS-OTMS</t>
        </is>
      </c>
      <c r="Y562" s="3" t="n"/>
      <c r="Z562" s="3" t="inlineStr"/>
      <c r="AA562" s="3" t="inlineStr">
        <is>
          <t>寄付月結</t>
        </is>
      </c>
      <c r="AB562">
        <f>IFERROR(VLOOKUP(Q562&amp;"",對照表!$A:$B,1,FALSE),"")</f>
        <v/>
      </c>
      <c r="AC562">
        <f>IFERROR(VLOOKUP(Q562&amp;"",對照表!$A:$B,2,FALSE),"")</f>
        <v/>
      </c>
    </row>
    <row r="563">
      <c r="A563" s="3" t="inlineStr">
        <is>
          <t>SF5116616532577</t>
        </is>
      </c>
      <c r="B563" s="3" t="n">
        <v>58424825774279</v>
      </c>
      <c r="C563" s="3" t="inlineStr">
        <is>
          <t>已簽收</t>
        </is>
      </c>
      <c r="D563" s="3" t="inlineStr">
        <is>
          <t>2026-07-03 11:13:23</t>
        </is>
      </c>
      <c r="E563" s="3" t="inlineStr">
        <is>
          <t>2026-07-07 11:10</t>
        </is>
      </c>
      <c r="F563" s="3" t="n">
        <v>45</v>
      </c>
      <c r="G563" s="3" t="n">
        <v>3</v>
      </c>
      <c r="H563" s="3" t="n"/>
      <c r="I563" s="3" t="inlineStr"/>
      <c r="J563" s="3" t="inlineStr">
        <is>
          <t>Keeta</t>
        </is>
      </c>
      <c r="K563" s="3" t="inlineStr">
        <is>
          <t>****9568</t>
        </is>
      </c>
      <c r="L563" s="3" t="n"/>
      <c r="M563" s="3" t="inlineStr">
        <is>
          <t>***** 物流中心5樓</t>
        </is>
      </c>
      <c r="N563" s="3" t="inlineStr">
        <is>
          <t>北区</t>
        </is>
      </c>
      <c r="O563" s="3" t="inlineStr">
        <is>
          <t>香港</t>
        </is>
      </c>
      <c r="P563" s="3" t="inlineStr">
        <is>
          <t>香港特别行政区</t>
        </is>
      </c>
      <c r="Q563" s="3" t="n">
        <v>566729</v>
      </c>
      <c r="R563" s="3" t="inlineStr">
        <is>
          <t>十二味(荔枝角)</t>
        </is>
      </c>
      <c r="S563" s="3" t="inlineStr">
        <is>
          <t>****6588</t>
        </is>
      </c>
      <c r="T563" s="3" t="inlineStr">
        <is>
          <t>****6588</t>
        </is>
      </c>
      <c r="U563" s="3" t="inlineStr">
        <is>
          <t>***** 层舆地下底层</t>
        </is>
      </c>
      <c r="V563" s="3" t="inlineStr">
        <is>
          <t>香港</t>
        </is>
      </c>
      <c r="W563" s="3" t="inlineStr">
        <is>
          <t>纸袋【通版】/ 箱出</t>
        </is>
      </c>
      <c r="X563" s="3" t="inlineStr">
        <is>
          <t>ESS-SFTS-OTMS</t>
        </is>
      </c>
      <c r="Y563" s="3" t="n"/>
      <c r="Z563" s="3" t="inlineStr"/>
      <c r="AA563" s="3" t="inlineStr">
        <is>
          <t>寄付月結</t>
        </is>
      </c>
      <c r="AB563">
        <f>IFERROR(VLOOKUP(Q563&amp;"",對照表!$A:$B,1,FALSE),"")</f>
        <v/>
      </c>
      <c r="AC563">
        <f>IFERROR(VLOOKUP(Q563&amp;"",對照表!$A:$B,2,FALSE),"")</f>
        <v/>
      </c>
    </row>
    <row r="564">
      <c r="A564" s="3" t="inlineStr">
        <is>
          <t>SF5116616532752</t>
        </is>
      </c>
      <c r="B564" s="3" t="n">
        <v>58424825774316</v>
      </c>
      <c r="C564" s="3" t="inlineStr">
        <is>
          <t>已簽收</t>
        </is>
      </c>
      <c r="D564" s="3" t="inlineStr">
        <is>
          <t>2026-07-03 12:19:51</t>
        </is>
      </c>
      <c r="E564" s="3" t="inlineStr">
        <is>
          <t>2026-07-04 12:12</t>
        </is>
      </c>
      <c r="F564" s="3" t="n">
        <v>46.4</v>
      </c>
      <c r="G564" s="3" t="n">
        <v>4</v>
      </c>
      <c r="H564" s="3" t="n"/>
      <c r="I564" s="3" t="inlineStr"/>
      <c r="J564" s="3" t="inlineStr">
        <is>
          <t>Keeta</t>
        </is>
      </c>
      <c r="K564" s="3" t="inlineStr">
        <is>
          <t>****9568</t>
        </is>
      </c>
      <c r="L564" s="3" t="n"/>
      <c r="M564" s="3" t="inlineStr">
        <is>
          <t>***** 物流中心5樓</t>
        </is>
      </c>
      <c r="N564" s="3" t="inlineStr">
        <is>
          <t>北区</t>
        </is>
      </c>
      <c r="O564" s="3" t="inlineStr">
        <is>
          <t>香港</t>
        </is>
      </c>
      <c r="P564" s="3" t="inlineStr">
        <is>
          <t>香港特别行政区</t>
        </is>
      </c>
      <c r="Q564" s="3" t="n">
        <v>608024</v>
      </c>
      <c r="R564" s="3" t="inlineStr">
        <is>
          <t>秋田冰室（調景嶺店）</t>
        </is>
      </c>
      <c r="S564" s="3" t="inlineStr">
        <is>
          <t>****98011629</t>
        </is>
      </c>
      <c r="T564" s="3" t="inlineStr">
        <is>
          <t>****98011629</t>
        </is>
      </c>
      <c r="U564" s="3" t="inlineStr">
        <is>
          <t>***** N O,NT</t>
        </is>
      </c>
      <c r="V564" s="3" t="inlineStr">
        <is>
          <t>香港</t>
        </is>
      </c>
      <c r="W564" s="3" t="inlineStr">
        <is>
          <t>无纺布【规格四大号】/ 箱出</t>
        </is>
      </c>
      <c r="X564" s="3" t="inlineStr">
        <is>
          <t>ESS-SFTS-OTMS</t>
        </is>
      </c>
      <c r="Y564" s="3" t="n"/>
      <c r="Z564" s="3" t="inlineStr"/>
      <c r="AA564" s="3" t="inlineStr">
        <is>
          <t>寄付月結</t>
        </is>
      </c>
      <c r="AB564">
        <f>IFERROR(VLOOKUP(Q564&amp;"",對照表!$A:$B,1,FALSE),"")</f>
        <v/>
      </c>
      <c r="AC564">
        <f>IFERROR(VLOOKUP(Q564&amp;"",對照表!$A:$B,2,FALSE),"")</f>
        <v/>
      </c>
    </row>
    <row r="565">
      <c r="A565" s="3" t="inlineStr">
        <is>
          <t>SF5116616532683</t>
        </is>
      </c>
      <c r="B565" s="3" t="n">
        <v>58424825774303</v>
      </c>
      <c r="C565" s="3" t="inlineStr">
        <is>
          <t>已簽收</t>
        </is>
      </c>
      <c r="D565" s="3" t="inlineStr">
        <is>
          <t>2026-07-03 14:23:22</t>
        </is>
      </c>
      <c r="E565" s="3" t="inlineStr">
        <is>
          <t>2026-07-04 12:13</t>
        </is>
      </c>
      <c r="F565" s="3" t="n">
        <v>5.7</v>
      </c>
      <c r="G565" s="3" t="n">
        <v>1</v>
      </c>
      <c r="H565" s="3" t="n"/>
      <c r="I565" s="3" t="inlineStr"/>
      <c r="J565" s="3" t="inlineStr">
        <is>
          <t>Keeta</t>
        </is>
      </c>
      <c r="K565" s="3" t="inlineStr">
        <is>
          <t>****9568</t>
        </is>
      </c>
      <c r="L565" s="3" t="n"/>
      <c r="M565" s="3" t="inlineStr">
        <is>
          <t>***** 物流中心5樓</t>
        </is>
      </c>
      <c r="N565" s="3" t="inlineStr">
        <is>
          <t>北区</t>
        </is>
      </c>
      <c r="O565" s="3" t="inlineStr">
        <is>
          <t>香港</t>
        </is>
      </c>
      <c r="P565" s="3" t="inlineStr">
        <is>
          <t>香港特别行政区</t>
        </is>
      </c>
      <c r="Q565" s="3" t="n">
        <v>721433347</v>
      </c>
      <c r="R565" s="3" t="inlineStr">
        <is>
          <t>壹品燒鵝（石門）新店上線</t>
        </is>
      </c>
      <c r="S565" s="3" t="inlineStr">
        <is>
          <t>****68999306</t>
        </is>
      </c>
      <c r="T565" s="3" t="inlineStr">
        <is>
          <t>****68999306</t>
        </is>
      </c>
      <c r="U565" s="3" t="inlineStr">
        <is>
          <t>***** 下G18號舖</t>
        </is>
      </c>
      <c r="V565" s="3" t="inlineStr">
        <is>
          <t>香港</t>
        </is>
      </c>
      <c r="W565" s="3" t="inlineStr">
        <is>
          <t>塑料袋【大】/ 扎出</t>
        </is>
      </c>
      <c r="X565" s="3" t="inlineStr">
        <is>
          <t>ESS-SFTS-OTMS</t>
        </is>
      </c>
      <c r="Y565" s="3" t="n"/>
      <c r="Z565" s="3" t="inlineStr"/>
      <c r="AA565" s="3" t="inlineStr">
        <is>
          <t>寄付月結</t>
        </is>
      </c>
      <c r="AB565">
        <f>IFERROR(VLOOKUP(Q565&amp;"",對照表!$A:$B,1,FALSE),"")</f>
        <v/>
      </c>
      <c r="AC565">
        <f>IFERROR(VLOOKUP(Q565&amp;"",對照表!$A:$B,2,FALSE),"")</f>
        <v/>
      </c>
    </row>
    <row r="566">
      <c r="A566" s="3" t="inlineStr">
        <is>
          <t>SF5116616532568</t>
        </is>
      </c>
      <c r="B566" s="3" t="n">
        <v>58424825774276</v>
      </c>
      <c r="C566" s="3" t="inlineStr">
        <is>
          <t>已簽收</t>
        </is>
      </c>
      <c r="D566" s="3" t="inlineStr">
        <is>
          <t>2026-07-03 11:45:04</t>
        </is>
      </c>
      <c r="E566" s="3" t="inlineStr">
        <is>
          <t>2026-07-04 11:46</t>
        </is>
      </c>
      <c r="F566" s="3" t="n">
        <v>23.64</v>
      </c>
      <c r="G566" s="3" t="n">
        <v>2</v>
      </c>
      <c r="H566" s="3" t="n"/>
      <c r="I566" s="3" t="inlineStr"/>
      <c r="J566" s="3" t="inlineStr">
        <is>
          <t>Keeta</t>
        </is>
      </c>
      <c r="K566" s="3" t="inlineStr">
        <is>
          <t>****9568</t>
        </is>
      </c>
      <c r="L566" s="3" t="n"/>
      <c r="M566" s="3" t="inlineStr">
        <is>
          <t>***** 物流中心5樓</t>
        </is>
      </c>
      <c r="N566" s="3" t="inlineStr">
        <is>
          <t>北区</t>
        </is>
      </c>
      <c r="O566" s="3" t="inlineStr">
        <is>
          <t>香港</t>
        </is>
      </c>
      <c r="P566" s="3" t="inlineStr">
        <is>
          <t>香港特别行政区</t>
        </is>
      </c>
      <c r="Q566" s="3" t="n">
        <v>610460</v>
      </c>
      <c r="R566" s="3" t="inlineStr">
        <is>
          <t>樹屋TREEHOUSE(HCode)</t>
        </is>
      </c>
      <c r="S566" s="3" t="inlineStr">
        <is>
          <t>****60223262</t>
        </is>
      </c>
      <c r="T566" s="3" t="inlineStr">
        <is>
          <t>****60223262</t>
        </is>
      </c>
      <c r="U566" s="3" t="inlineStr">
        <is>
          <t>***** e地下1號舖</t>
        </is>
      </c>
      <c r="V566" s="3" t="inlineStr">
        <is>
          <t>香港</t>
        </is>
      </c>
      <c r="W566" s="3" t="inlineStr">
        <is>
          <t>无纺布【Preminum黑】/ 箱出</t>
        </is>
      </c>
      <c r="X566" s="3" t="inlineStr">
        <is>
          <t>ESS-SFTS-OTMS</t>
        </is>
      </c>
      <c r="Y566" s="3" t="n"/>
      <c r="Z566" s="3" t="inlineStr"/>
      <c r="AA566" s="3" t="inlineStr">
        <is>
          <t>寄付月結</t>
        </is>
      </c>
      <c r="AB566">
        <f>IFERROR(VLOOKUP(Q566&amp;"",對照表!$A:$B,1,FALSE),"")</f>
        <v/>
      </c>
      <c r="AC566">
        <f>IFERROR(VLOOKUP(Q566&amp;"",對照表!$A:$B,2,FALSE),"")</f>
        <v/>
      </c>
    </row>
    <row r="567">
      <c r="A567" s="3" t="inlineStr">
        <is>
          <t>SF5116616532692</t>
        </is>
      </c>
      <c r="B567" s="3" t="n">
        <v>58424825774304</v>
      </c>
      <c r="C567" s="3" t="inlineStr">
        <is>
          <t>已簽收</t>
        </is>
      </c>
      <c r="D567" s="3" t="inlineStr">
        <is>
          <t>2026-07-03 12:15:59</t>
        </is>
      </c>
      <c r="E567" s="3" t="inlineStr">
        <is>
          <t>2026-07-04 09:44</t>
        </is>
      </c>
      <c r="F567" s="3" t="n">
        <v>69.59999999999999</v>
      </c>
      <c r="G567" s="3" t="n">
        <v>6</v>
      </c>
      <c r="H567" s="3" t="n"/>
      <c r="I567" s="3" t="inlineStr"/>
      <c r="J567" s="3" t="inlineStr">
        <is>
          <t>Keeta</t>
        </is>
      </c>
      <c r="K567" s="3" t="inlineStr">
        <is>
          <t>****9568</t>
        </is>
      </c>
      <c r="L567" s="3" t="n"/>
      <c r="M567" s="3" t="inlineStr">
        <is>
          <t>***** 物流中心5樓</t>
        </is>
      </c>
      <c r="N567" s="3" t="inlineStr">
        <is>
          <t>北区</t>
        </is>
      </c>
      <c r="O567" s="3" t="inlineStr">
        <is>
          <t>香港</t>
        </is>
      </c>
      <c r="P567" s="3" t="inlineStr">
        <is>
          <t>香港特别行政区</t>
        </is>
      </c>
      <c r="Q567" s="3" t="n">
        <v>721514300</v>
      </c>
      <c r="R567" s="3" t="inlineStr">
        <is>
          <t>秋田冰室（灣仔店）</t>
        </is>
      </c>
      <c r="S567" s="3" t="inlineStr">
        <is>
          <t>****98808969</t>
        </is>
      </c>
      <c r="T567" s="3" t="inlineStr">
        <is>
          <t>****98808969</t>
        </is>
      </c>
      <c r="U567" s="3" t="inlineStr">
        <is>
          <t>***** 樓A及B號舖</t>
        </is>
      </c>
      <c r="V567" s="3" t="inlineStr">
        <is>
          <t>香港</t>
        </is>
      </c>
      <c r="W567" s="3" t="inlineStr">
        <is>
          <t>无纺布【规格四大号】/ 箱出</t>
        </is>
      </c>
      <c r="X567" s="3" t="inlineStr">
        <is>
          <t>ESS-SFTS-OTMS</t>
        </is>
      </c>
      <c r="Y567" s="3" t="n"/>
      <c r="Z567" s="3" t="inlineStr"/>
      <c r="AA567" s="3" t="inlineStr">
        <is>
          <t>寄付月結</t>
        </is>
      </c>
      <c r="AB567">
        <f>IFERROR(VLOOKUP(Q567&amp;"",對照表!$A:$B,1,FALSE),"")</f>
        <v/>
      </c>
      <c r="AC567">
        <f>IFERROR(VLOOKUP(Q567&amp;"",對照表!$A:$B,2,FALSE),"")</f>
        <v/>
      </c>
    </row>
    <row r="568">
      <c r="A568" s="3" t="inlineStr">
        <is>
          <t>SF5116616532540</t>
        </is>
      </c>
      <c r="B568" s="3" t="n">
        <v>58424825774271</v>
      </c>
      <c r="C568" s="3" t="inlineStr">
        <is>
          <t>已簽收</t>
        </is>
      </c>
      <c r="D568" s="3" t="inlineStr">
        <is>
          <t>2026-07-03 14:19:12</t>
        </is>
      </c>
      <c r="E568" s="3" t="inlineStr">
        <is>
          <t>2026-07-04 15:08</t>
        </is>
      </c>
      <c r="F568" s="3" t="n">
        <v>101</v>
      </c>
      <c r="G568" s="3" t="n">
        <v>10</v>
      </c>
      <c r="H568" s="3" t="n"/>
      <c r="I568" s="3" t="inlineStr"/>
      <c r="J568" s="3" t="inlineStr">
        <is>
          <t>Keeta</t>
        </is>
      </c>
      <c r="K568" s="3" t="inlineStr">
        <is>
          <t>****9568</t>
        </is>
      </c>
      <c r="L568" s="3" t="n"/>
      <c r="M568" s="3" t="inlineStr">
        <is>
          <t>***** 物流中心5樓</t>
        </is>
      </c>
      <c r="N568" s="3" t="inlineStr">
        <is>
          <t>北区</t>
        </is>
      </c>
      <c r="O568" s="3" t="inlineStr">
        <is>
          <t>香港</t>
        </is>
      </c>
      <c r="P568" s="3" t="inlineStr">
        <is>
          <t>香港特别行政区</t>
        </is>
      </c>
      <c r="Q568" s="3" t="n">
        <v>721441295</v>
      </c>
      <c r="R568" s="3" t="inlineStr">
        <is>
          <t>宜貫燉湯蒸炒再現上環味肉餅三杯雞小炒食材新鮮健康美味</t>
        </is>
      </c>
      <c r="S568" s="3" t="inlineStr">
        <is>
          <t>****51163877</t>
        </is>
      </c>
      <c r="T568" s="3" t="inlineStr">
        <is>
          <t>****51163877</t>
        </is>
      </c>
      <c r="U568" s="3" t="inlineStr">
        <is>
          <t>***** H室H1部份</t>
        </is>
      </c>
      <c r="V568" s="3" t="inlineStr">
        <is>
          <t>香港</t>
        </is>
      </c>
      <c r="W568" s="3" t="inlineStr">
        <is>
          <t>无纺布【规格三中号】/ 箱出</t>
        </is>
      </c>
      <c r="X568" s="3" t="inlineStr">
        <is>
          <t>ESS-SFTS-OTMS</t>
        </is>
      </c>
      <c r="Y568" s="3" t="n"/>
      <c r="Z568" s="3" t="inlineStr"/>
      <c r="AA568" s="3" t="inlineStr">
        <is>
          <t>寄付月結</t>
        </is>
      </c>
      <c r="AB568">
        <f>IFERROR(VLOOKUP(Q568&amp;"",對照表!$A:$B,1,FALSE),"")</f>
        <v/>
      </c>
      <c r="AC568">
        <f>IFERROR(VLOOKUP(Q568&amp;"",對照表!$A:$B,2,FALSE),"")</f>
        <v/>
      </c>
    </row>
    <row r="569">
      <c r="A569" s="3" t="inlineStr">
        <is>
          <t>SF5116616532338</t>
        </is>
      </c>
      <c r="B569" s="3" t="n">
        <v>58424825774216</v>
      </c>
      <c r="C569" s="3" t="inlineStr">
        <is>
          <t>已簽收</t>
        </is>
      </c>
      <c r="D569" s="3" t="inlineStr">
        <is>
          <t>2026-07-03 13:52:08</t>
        </is>
      </c>
      <c r="E569" s="3" t="inlineStr">
        <is>
          <t>2026-07-04 12:48</t>
        </is>
      </c>
      <c r="F569" s="3" t="n">
        <v>35.5</v>
      </c>
      <c r="G569" s="3" t="n">
        <v>3</v>
      </c>
      <c r="H569" s="3" t="n"/>
      <c r="I569" s="3" t="inlineStr"/>
      <c r="J569" s="3" t="inlineStr">
        <is>
          <t>Keeta</t>
        </is>
      </c>
      <c r="K569" s="3" t="inlineStr">
        <is>
          <t>****9568</t>
        </is>
      </c>
      <c r="L569" s="3" t="n"/>
      <c r="M569" s="3" t="inlineStr">
        <is>
          <t>***** 物流中心5樓</t>
        </is>
      </c>
      <c r="N569" s="3" t="inlineStr">
        <is>
          <t>北区</t>
        </is>
      </c>
      <c r="O569" s="3" t="inlineStr">
        <is>
          <t>香港</t>
        </is>
      </c>
      <c r="P569" s="3" t="inlineStr">
        <is>
          <t>香港特别行政区</t>
        </is>
      </c>
      <c r="Q569" s="3" t="n">
        <v>721425363</v>
      </c>
      <c r="R569" s="3" t="inlineStr">
        <is>
          <t>燒得起泰道（惹味串燒泰式炒飯招牌咖喱軟殼蟹）</t>
        </is>
      </c>
      <c r="S569" s="3" t="inlineStr">
        <is>
          <t>****61516989</t>
        </is>
      </c>
      <c r="T569" s="3" t="inlineStr">
        <is>
          <t>****61516989</t>
        </is>
      </c>
      <c r="U569" s="3" t="inlineStr">
        <is>
          <t>***** 地下B2號舖</t>
        </is>
      </c>
      <c r="V569" s="3" t="inlineStr">
        <is>
          <t>香港</t>
        </is>
      </c>
      <c r="W569" s="3" t="inlineStr">
        <is>
          <t>塑料袋【大】/ 扎出, 纸袋【通版】/ 箱出</t>
        </is>
      </c>
      <c r="X569" s="3" t="inlineStr">
        <is>
          <t>ESS-SFTS-OTMS</t>
        </is>
      </c>
      <c r="Y569" s="3" t="n"/>
      <c r="Z569" s="3" t="inlineStr"/>
      <c r="AA569" s="3" t="inlineStr">
        <is>
          <t>寄付月結</t>
        </is>
      </c>
      <c r="AB569">
        <f>IFERROR(VLOOKUP(Q569&amp;"",對照表!$A:$B,1,FALSE),"")</f>
        <v/>
      </c>
      <c r="AC569">
        <f>IFERROR(VLOOKUP(Q569&amp;"",對照表!$A:$B,2,FALSE),"")</f>
        <v/>
      </c>
    </row>
    <row r="570">
      <c r="A570" s="3" t="inlineStr">
        <is>
          <t>SF5116616532665</t>
        </is>
      </c>
      <c r="B570" s="3" t="n">
        <v>58424825774299</v>
      </c>
      <c r="C570" s="3" t="inlineStr">
        <is>
          <t>已簽收</t>
        </is>
      </c>
      <c r="D570" s="3" t="inlineStr">
        <is>
          <t>2026-07-03 14:22:54</t>
        </is>
      </c>
      <c r="E570" s="3" t="inlineStr">
        <is>
          <t>2026-07-04 12:28</t>
        </is>
      </c>
      <c r="F570" s="3" t="n">
        <v>55.64</v>
      </c>
      <c r="G570" s="3" t="n">
        <v>5</v>
      </c>
      <c r="H570" s="3" t="n"/>
      <c r="I570" s="3" t="inlineStr"/>
      <c r="J570" s="3" t="inlineStr">
        <is>
          <t>Keeta</t>
        </is>
      </c>
      <c r="K570" s="3" t="inlineStr">
        <is>
          <t>****9568</t>
        </is>
      </c>
      <c r="L570" s="3" t="n"/>
      <c r="M570" s="3" t="inlineStr">
        <is>
          <t>***** 物流中心5樓</t>
        </is>
      </c>
      <c r="N570" s="3" t="inlineStr">
        <is>
          <t>北区</t>
        </is>
      </c>
      <c r="O570" s="3" t="inlineStr">
        <is>
          <t>香港</t>
        </is>
      </c>
      <c r="P570" s="3" t="inlineStr">
        <is>
          <t>香港特别行政区</t>
        </is>
      </c>
      <c r="Q570" s="3" t="n">
        <v>491264</v>
      </c>
      <c r="R570" s="3" t="inlineStr">
        <is>
          <t>厚興瑜記手撕雞(土瓜灣炮仗街)</t>
        </is>
      </c>
      <c r="S570" s="3" t="inlineStr">
        <is>
          <t>****67180192</t>
        </is>
      </c>
      <c r="T570" s="3" t="inlineStr">
        <is>
          <t>****67180192</t>
        </is>
      </c>
      <c r="U570" s="3" t="inlineStr">
        <is>
          <t>***** 街50號地舖</t>
        </is>
      </c>
      <c r="V570" s="3" t="inlineStr">
        <is>
          <t>香港</t>
        </is>
      </c>
      <c r="W570" s="3" t="inlineStr">
        <is>
          <t>塑料袋【大】/ 扎出, 纸袋【通版】/ 箱出, 无纺布【规格四大号】/ 箱出</t>
        </is>
      </c>
      <c r="X570" s="3" t="inlineStr">
        <is>
          <t>ESS-SFTS-OTMS</t>
        </is>
      </c>
      <c r="Y570" s="3" t="n"/>
      <c r="Z570" s="3" t="inlineStr"/>
      <c r="AA570" s="3" t="inlineStr">
        <is>
          <t>寄付月結</t>
        </is>
      </c>
      <c r="AB570">
        <f>IFERROR(VLOOKUP(Q570&amp;"",對照表!$A:$B,1,FALSE),"")</f>
        <v/>
      </c>
      <c r="AC570">
        <f>IFERROR(VLOOKUP(Q570&amp;"",對照表!$A:$B,2,FALSE),"")</f>
        <v/>
      </c>
    </row>
    <row r="571">
      <c r="A571" s="3" t="inlineStr">
        <is>
          <t>SF5116616532416</t>
        </is>
      </c>
      <c r="B571" s="3" t="n">
        <v>58424825774234</v>
      </c>
      <c r="C571" s="3" t="inlineStr">
        <is>
          <t>已簽收</t>
        </is>
      </c>
      <c r="D571" s="3" t="inlineStr">
        <is>
          <t>2026-07-03 15:45:41</t>
        </is>
      </c>
      <c r="E571" s="3" t="inlineStr">
        <is>
          <t>2026-07-04 15:47</t>
        </is>
      </c>
      <c r="F571" s="3" t="n">
        <v>92.72</v>
      </c>
      <c r="G571" s="3" t="n">
        <v>8</v>
      </c>
      <c r="H571" s="3" t="n"/>
      <c r="I571" s="3" t="inlineStr"/>
      <c r="J571" s="3" t="inlineStr">
        <is>
          <t>Keeta</t>
        </is>
      </c>
      <c r="K571" s="3" t="inlineStr">
        <is>
          <t>****9568</t>
        </is>
      </c>
      <c r="L571" s="3" t="n"/>
      <c r="M571" s="3" t="inlineStr">
        <is>
          <t>***** 物流中心5樓</t>
        </is>
      </c>
      <c r="N571" s="3" t="inlineStr">
        <is>
          <t>北区</t>
        </is>
      </c>
      <c r="O571" s="3" t="inlineStr">
        <is>
          <t>香港</t>
        </is>
      </c>
      <c r="P571" s="3" t="inlineStr">
        <is>
          <t>香港特别行政区</t>
        </is>
      </c>
      <c r="Q571" s="3" t="n">
        <v>721445349</v>
      </c>
      <c r="R571" s="3" t="inlineStr">
        <is>
          <t>肉望豬扒專門店全日任何時間所有套餐一律59</t>
        </is>
      </c>
      <c r="S571" s="3" t="inlineStr">
        <is>
          <t>****55040904</t>
        </is>
      </c>
      <c r="T571" s="3" t="inlineStr">
        <is>
          <t>****55040904</t>
        </is>
      </c>
      <c r="U571" s="3" t="inlineStr">
        <is>
          <t>***** 街23號A舖</t>
        </is>
      </c>
      <c r="V571" s="3" t="inlineStr">
        <is>
          <t>香港</t>
        </is>
      </c>
      <c r="W571" s="3" t="inlineStr">
        <is>
          <t>无纺布【规格四大号】/ 箱出</t>
        </is>
      </c>
      <c r="X571" s="3" t="inlineStr">
        <is>
          <t>ESS-SFTS-OTMS</t>
        </is>
      </c>
      <c r="Y571" s="3" t="n"/>
      <c r="Z571" s="3" t="inlineStr"/>
      <c r="AA571" s="3" t="inlineStr">
        <is>
          <t>寄付月結</t>
        </is>
      </c>
      <c r="AB571">
        <f>IFERROR(VLOOKUP(Q571&amp;"",對照表!$A:$B,1,FALSE),"")</f>
        <v/>
      </c>
      <c r="AC571">
        <f>IFERROR(VLOOKUP(Q571&amp;"",對照表!$A:$B,2,FALSE),"")</f>
        <v/>
      </c>
    </row>
    <row r="572">
      <c r="A572" s="3" t="inlineStr">
        <is>
          <t>SF5116616532498</t>
        </is>
      </c>
      <c r="B572" s="3" t="n">
        <v>58424825774256</v>
      </c>
      <c r="C572" s="3" t="inlineStr">
        <is>
          <t>已簽收</t>
        </is>
      </c>
      <c r="D572" s="3" t="inlineStr">
        <is>
          <t>2026-07-03 10:47:09</t>
        </is>
      </c>
      <c r="E572" s="3" t="inlineStr">
        <is>
          <t>2026-07-04 10:23</t>
        </is>
      </c>
      <c r="F572" s="3" t="n">
        <v>3.67</v>
      </c>
      <c r="G572" s="3" t="n">
        <v>1</v>
      </c>
      <c r="H572" s="3" t="n"/>
      <c r="I572" s="3" t="inlineStr"/>
      <c r="J572" s="3" t="inlineStr">
        <is>
          <t>Keeta</t>
        </is>
      </c>
      <c r="K572" s="3" t="inlineStr">
        <is>
          <t>****9568</t>
        </is>
      </c>
      <c r="L572" s="3" t="n"/>
      <c r="M572" s="3" t="inlineStr">
        <is>
          <t>***** 物流中心5樓</t>
        </is>
      </c>
      <c r="N572" s="3" t="inlineStr">
        <is>
          <t>北区</t>
        </is>
      </c>
      <c r="O572" s="3" t="inlineStr">
        <is>
          <t>香港</t>
        </is>
      </c>
      <c r="P572" s="3" t="inlineStr">
        <is>
          <t>香港特别行政区</t>
        </is>
      </c>
      <c r="Q572" s="3" t="n">
        <v>428617</v>
      </c>
      <c r="R572" s="3" t="inlineStr">
        <is>
          <t>TheVigor熱門餐廳超高性價比Fusion量大料足多款高質抵食套餐等你嗌</t>
        </is>
      </c>
      <c r="S572" s="3" t="inlineStr">
        <is>
          <t>****56484392</t>
        </is>
      </c>
      <c r="T572" s="3" t="inlineStr">
        <is>
          <t>****56484392</t>
        </is>
      </c>
      <c r="U572" s="3" t="inlineStr">
        <is>
          <t>***** 心地下B號舖</t>
        </is>
      </c>
      <c r="V572" s="3" t="inlineStr">
        <is>
          <t>香港</t>
        </is>
      </c>
      <c r="W572" s="3" t="inlineStr">
        <is>
          <t>塑料袋【大】/ 扎出</t>
        </is>
      </c>
      <c r="X572" s="3" t="inlineStr">
        <is>
          <t>ESS-SFTS-OTMS</t>
        </is>
      </c>
      <c r="Y572" s="3" t="n"/>
      <c r="Z572" s="3" t="inlineStr"/>
      <c r="AA572" s="3" t="inlineStr">
        <is>
          <t>寄付月結</t>
        </is>
      </c>
      <c r="AB572">
        <f>IFERROR(VLOOKUP(Q572&amp;"",對照表!$A:$B,1,FALSE),"")</f>
        <v/>
      </c>
      <c r="AC572">
        <f>IFERROR(VLOOKUP(Q572&amp;"",對照表!$A:$B,2,FALSE),"")</f>
        <v/>
      </c>
    </row>
    <row r="573">
      <c r="A573" s="3" t="inlineStr">
        <is>
          <t>SF5116616532504</t>
        </is>
      </c>
      <c r="B573" s="3" t="n">
        <v>58424825774261</v>
      </c>
      <c r="C573" s="3" t="inlineStr">
        <is>
          <t>已簽收</t>
        </is>
      </c>
      <c r="D573" s="3" t="inlineStr">
        <is>
          <t>2026-07-03 11:45:24</t>
        </is>
      </c>
      <c r="E573" s="3" t="inlineStr">
        <is>
          <t>2026-07-04 15:31</t>
        </is>
      </c>
      <c r="F573" s="3" t="n">
        <v>70.92</v>
      </c>
      <c r="G573" s="3" t="n">
        <v>6</v>
      </c>
      <c r="H573" s="3" t="n"/>
      <c r="I573" s="3" t="inlineStr"/>
      <c r="J573" s="3" t="inlineStr">
        <is>
          <t>Keeta</t>
        </is>
      </c>
      <c r="K573" s="3" t="inlineStr">
        <is>
          <t>****9568</t>
        </is>
      </c>
      <c r="L573" s="3" t="n"/>
      <c r="M573" s="3" t="inlineStr">
        <is>
          <t>***** 物流中心5樓</t>
        </is>
      </c>
      <c r="N573" s="3" t="inlineStr">
        <is>
          <t>北区</t>
        </is>
      </c>
      <c r="O573" s="3" t="inlineStr">
        <is>
          <t>香港</t>
        </is>
      </c>
      <c r="P573" s="3" t="inlineStr">
        <is>
          <t>香港特别行政区</t>
        </is>
      </c>
      <c r="Q573" s="3" t="n">
        <v>721424367</v>
      </c>
      <c r="R573" s="3" t="inlineStr">
        <is>
          <t>唐宮小聚(新城市廣場)SocialPlace(NewTownPlaza)</t>
        </is>
      </c>
      <c r="S573" s="3" t="inlineStr">
        <is>
          <t>****26250009</t>
        </is>
      </c>
      <c r="T573" s="3" t="inlineStr">
        <is>
          <t>****26250009</t>
        </is>
      </c>
      <c r="U573" s="3" t="inlineStr">
        <is>
          <t>***** A333號舖</t>
        </is>
      </c>
      <c r="V573" s="3" t="inlineStr">
        <is>
          <t>香港</t>
        </is>
      </c>
      <c r="W573" s="3" t="inlineStr">
        <is>
          <t>无纺布【Preminum黑】/ 箱出</t>
        </is>
      </c>
      <c r="X573" s="3" t="inlineStr">
        <is>
          <t>ESS-SFTS-OTMS</t>
        </is>
      </c>
      <c r="Y573" s="3" t="n"/>
      <c r="Z573" s="3" t="inlineStr"/>
      <c r="AA573" s="3" t="inlineStr">
        <is>
          <t>寄付月結</t>
        </is>
      </c>
      <c r="AB573">
        <f>IFERROR(VLOOKUP(Q573&amp;"",對照表!$A:$B,1,FALSE),"")</f>
        <v/>
      </c>
      <c r="AC573">
        <f>IFERROR(VLOOKUP(Q573&amp;"",對照表!$A:$B,2,FALSE),"")</f>
        <v/>
      </c>
    </row>
    <row r="574">
      <c r="A574" s="3" t="inlineStr">
        <is>
          <t>SF5116616532531</t>
        </is>
      </c>
      <c r="B574" s="3" t="n">
        <v>58424825774267</v>
      </c>
      <c r="C574" s="3" t="inlineStr">
        <is>
          <t>已簽收</t>
        </is>
      </c>
      <c r="D574" s="3" t="inlineStr">
        <is>
          <t>2026-07-03 15:32:24</t>
        </is>
      </c>
      <c r="E574" s="3" t="inlineStr">
        <is>
          <t>2026-07-04 15:14</t>
        </is>
      </c>
      <c r="F574" s="3" t="n">
        <v>31.8</v>
      </c>
      <c r="G574" s="3" t="n">
        <v>3</v>
      </c>
      <c r="H574" s="3" t="n"/>
      <c r="I574" s="3" t="inlineStr"/>
      <c r="J574" s="3" t="inlineStr">
        <is>
          <t>Keeta</t>
        </is>
      </c>
      <c r="K574" s="3" t="inlineStr">
        <is>
          <t>****9568</t>
        </is>
      </c>
      <c r="L574" s="3" t="n"/>
      <c r="M574" s="3" t="inlineStr">
        <is>
          <t>***** 物流中心5樓</t>
        </is>
      </c>
      <c r="N574" s="3" t="inlineStr">
        <is>
          <t>北区</t>
        </is>
      </c>
      <c r="O574" s="3" t="inlineStr">
        <is>
          <t>香港</t>
        </is>
      </c>
      <c r="P574" s="3" t="inlineStr">
        <is>
          <t>香港特别行政区</t>
        </is>
      </c>
      <c r="Q574" s="3" t="n">
        <v>471770</v>
      </c>
      <c r="R574" s="3" t="inlineStr">
        <is>
          <t>將軍府燒鵝冰室(土瓜灣)</t>
        </is>
      </c>
      <c r="S574" s="3" t="inlineStr">
        <is>
          <t>****93088980</t>
        </is>
      </c>
      <c r="T574" s="3" t="inlineStr">
        <is>
          <t>****93088980</t>
        </is>
      </c>
      <c r="U574" s="3" t="inlineStr">
        <is>
          <t>***** 3-14號舖</t>
        </is>
      </c>
      <c r="V574" s="3" t="inlineStr">
        <is>
          <t>香港</t>
        </is>
      </c>
      <c r="W574" s="3" t="inlineStr">
        <is>
          <t>无纺布【规格三中号】/ 箱出, 无纺布【规格四大号】/ 箱出</t>
        </is>
      </c>
      <c r="X574" s="3" t="inlineStr">
        <is>
          <t>ESS-SFTS-OTMS</t>
        </is>
      </c>
      <c r="Y574" s="3" t="n"/>
      <c r="Z574" s="3" t="inlineStr"/>
      <c r="AA574" s="3" t="inlineStr">
        <is>
          <t>寄付月結</t>
        </is>
      </c>
      <c r="AB574">
        <f>IFERROR(VLOOKUP(Q574&amp;"",對照表!$A:$B,1,FALSE),"")</f>
        <v/>
      </c>
      <c r="AC574">
        <f>IFERROR(VLOOKUP(Q574&amp;"",對照表!$A:$B,2,FALSE),"")</f>
        <v/>
      </c>
    </row>
    <row r="575">
      <c r="A575" s="3" t="inlineStr">
        <is>
          <t>SF5116616533032</t>
        </is>
      </c>
      <c r="B575" s="3" t="n">
        <v>58424825774375</v>
      </c>
      <c r="C575" s="3" t="inlineStr">
        <is>
          <t>派送中</t>
        </is>
      </c>
      <c r="D575" s="3" t="inlineStr">
        <is>
          <t>2026-07-03 11:13:34</t>
        </is>
      </c>
      <c r="E575" s="3" t="n"/>
      <c r="F575" s="3" t="n">
        <v>45</v>
      </c>
      <c r="G575" s="3" t="n">
        <v>3</v>
      </c>
      <c r="H575" s="3" t="n"/>
      <c r="I575" s="3" t="inlineStr"/>
      <c r="J575" s="3" t="inlineStr">
        <is>
          <t>Keeta</t>
        </is>
      </c>
      <c r="K575" s="3" t="inlineStr">
        <is>
          <t>****9568</t>
        </is>
      </c>
      <c r="L575" s="3" t="n"/>
      <c r="M575" s="3" t="inlineStr">
        <is>
          <t>***** 物流中心5樓</t>
        </is>
      </c>
      <c r="N575" s="3" t="inlineStr">
        <is>
          <t>北区</t>
        </is>
      </c>
      <c r="O575" s="3" t="inlineStr">
        <is>
          <t>香港</t>
        </is>
      </c>
      <c r="P575" s="3" t="inlineStr">
        <is>
          <t>香港特别行政区</t>
        </is>
      </c>
      <c r="Q575" s="3" t="n">
        <v>478676</v>
      </c>
      <c r="R575" s="3" t="inlineStr">
        <is>
          <t>十二味(銅鑼灣)</t>
        </is>
      </c>
      <c r="S575" s="3" t="inlineStr">
        <is>
          <t>****67684643</t>
        </is>
      </c>
      <c r="T575" s="3" t="inlineStr">
        <is>
          <t>****67684643</t>
        </is>
      </c>
      <c r="U575" s="3" t="inlineStr">
        <is>
          <t>***** 下8-9號舖</t>
        </is>
      </c>
      <c r="V575" s="3" t="inlineStr">
        <is>
          <t>香港</t>
        </is>
      </c>
      <c r="W575" s="3" t="inlineStr">
        <is>
          <t>纸袋【通版】/ 箱出</t>
        </is>
      </c>
      <c r="X575" s="3" t="inlineStr">
        <is>
          <t>ESS-SFTS-OTMS</t>
        </is>
      </c>
      <c r="Y575" s="3" t="n"/>
      <c r="Z575" s="3" t="inlineStr"/>
      <c r="AA575" s="3" t="inlineStr">
        <is>
          <t>寄付月結</t>
        </is>
      </c>
      <c r="AB575">
        <f>IFERROR(VLOOKUP(Q575&amp;"",對照表!$A:$B,1,FALSE),"")</f>
        <v/>
      </c>
      <c r="AC575">
        <f>IFERROR(VLOOKUP(Q575&amp;"",對照表!$A:$B,2,FALSE),"")</f>
        <v/>
      </c>
    </row>
    <row r="576">
      <c r="A576" s="3" t="inlineStr">
        <is>
          <t>SF5116616532868</t>
        </is>
      </c>
      <c r="B576" s="3" t="n">
        <v>58424825774340</v>
      </c>
      <c r="C576" s="3" t="inlineStr">
        <is>
          <t>已簽收</t>
        </is>
      </c>
      <c r="D576" s="3" t="inlineStr">
        <is>
          <t>2026-07-03 11:36:35</t>
        </is>
      </c>
      <c r="E576" s="3" t="inlineStr">
        <is>
          <t>2026-07-04 17:51</t>
        </is>
      </c>
      <c r="F576" s="3" t="n">
        <v>20.2</v>
      </c>
      <c r="G576" s="3" t="n">
        <v>2</v>
      </c>
      <c r="H576" s="3" t="n"/>
      <c r="I576" s="3" t="inlineStr"/>
      <c r="J576" s="3" t="inlineStr">
        <is>
          <t>Keeta</t>
        </is>
      </c>
      <c r="K576" s="3" t="inlineStr">
        <is>
          <t>****9568</t>
        </is>
      </c>
      <c r="L576" s="3" t="n"/>
      <c r="M576" s="3" t="inlineStr">
        <is>
          <t>***** 物流中心5樓</t>
        </is>
      </c>
      <c r="N576" s="3" t="inlineStr">
        <is>
          <t>北区</t>
        </is>
      </c>
      <c r="O576" s="3" t="inlineStr">
        <is>
          <t>香港</t>
        </is>
      </c>
      <c r="P576" s="3" t="inlineStr">
        <is>
          <t>香港特别行政区</t>
        </is>
      </c>
      <c r="Q576" s="3" t="n">
        <v>721438382</v>
      </c>
      <c r="R576" s="3" t="inlineStr">
        <is>
          <t>窯雞王（朗屏店）</t>
        </is>
      </c>
      <c r="S576" s="3" t="inlineStr">
        <is>
          <t>****54194859</t>
        </is>
      </c>
      <c r="T576" s="3" t="inlineStr">
        <is>
          <t>****54194859</t>
        </is>
      </c>
      <c r="U576" s="3" t="inlineStr">
        <is>
          <t>***** 樓地下5號鋪</t>
        </is>
      </c>
      <c r="V576" s="3" t="inlineStr">
        <is>
          <t>香港</t>
        </is>
      </c>
      <c r="W576" s="3" t="inlineStr">
        <is>
          <t>无纺布【规格三中号】/ 箱出</t>
        </is>
      </c>
      <c r="X576" s="3" t="inlineStr">
        <is>
          <t>ESS-SFTS-OTMS</t>
        </is>
      </c>
      <c r="Y576" s="3" t="n"/>
      <c r="Z576" s="3" t="inlineStr"/>
      <c r="AA576" s="3" t="inlineStr">
        <is>
          <t>寄付月結</t>
        </is>
      </c>
      <c r="AB576">
        <f>IFERROR(VLOOKUP(Q576&amp;"",對照表!$A:$B,1,FALSE),"")</f>
        <v/>
      </c>
      <c r="AC576">
        <f>IFERROR(VLOOKUP(Q576&amp;"",對照表!$A:$B,2,FALSE),"")</f>
        <v/>
      </c>
    </row>
    <row r="577">
      <c r="A577" s="3" t="inlineStr">
        <is>
          <t>SF5116616533218</t>
        </is>
      </c>
      <c r="B577" s="3" t="n">
        <v>58424825774415</v>
      </c>
      <c r="C577" s="3" t="inlineStr">
        <is>
          <t>已簽收</t>
        </is>
      </c>
      <c r="D577" s="3" t="inlineStr">
        <is>
          <t>2026-07-03 11:51:29</t>
        </is>
      </c>
      <c r="E577" s="3" t="inlineStr">
        <is>
          <t>2026-07-04 13:35</t>
        </is>
      </c>
      <c r="F577" s="3" t="n">
        <v>10.1</v>
      </c>
      <c r="G577" s="3" t="n">
        <v>1</v>
      </c>
      <c r="H577" s="3" t="n"/>
      <c r="I577" s="3" t="inlineStr"/>
      <c r="J577" s="3" t="inlineStr">
        <is>
          <t>Keeta</t>
        </is>
      </c>
      <c r="K577" s="3" t="inlineStr">
        <is>
          <t>****9568</t>
        </is>
      </c>
      <c r="L577" s="3" t="n"/>
      <c r="M577" s="3" t="inlineStr">
        <is>
          <t>***** 物流中心5樓</t>
        </is>
      </c>
      <c r="N577" s="3" t="inlineStr">
        <is>
          <t>北区</t>
        </is>
      </c>
      <c r="O577" s="3" t="inlineStr">
        <is>
          <t>香港</t>
        </is>
      </c>
      <c r="P577" s="3" t="inlineStr">
        <is>
          <t>香港特别行政区</t>
        </is>
      </c>
      <c r="Q577" s="3" t="n">
        <v>455086</v>
      </c>
      <c r="R577" s="3" t="inlineStr">
        <is>
          <t>泰國佬海南雞飯專門店(大埔)</t>
        </is>
      </c>
      <c r="S577" s="3" t="inlineStr">
        <is>
          <t>****23484088</t>
        </is>
      </c>
      <c r="T577" s="3" t="inlineStr">
        <is>
          <t>****23484088</t>
        </is>
      </c>
      <c r="U577" s="3" t="inlineStr">
        <is>
          <t>***** 里22A地舖</t>
        </is>
      </c>
      <c r="V577" s="3" t="inlineStr">
        <is>
          <t>香港</t>
        </is>
      </c>
      <c r="W577" s="3" t="inlineStr">
        <is>
          <t>无纺布【规格三中号】/ 箱出</t>
        </is>
      </c>
      <c r="X577" s="3" t="inlineStr">
        <is>
          <t>ESS-SFTS-OTMS</t>
        </is>
      </c>
      <c r="Y577" s="3" t="n"/>
      <c r="Z577" s="3" t="inlineStr"/>
      <c r="AA577" s="3" t="inlineStr">
        <is>
          <t>寄付月結</t>
        </is>
      </c>
      <c r="AB577">
        <f>IFERROR(VLOOKUP(Q577&amp;"",對照表!$A:$B,1,FALSE),"")</f>
        <v/>
      </c>
      <c r="AC577">
        <f>IFERROR(VLOOKUP(Q577&amp;"",對照表!$A:$B,2,FALSE),"")</f>
        <v/>
      </c>
    </row>
    <row r="578">
      <c r="A578" s="3" t="inlineStr">
        <is>
          <t>SF5116616533281</t>
        </is>
      </c>
      <c r="B578" s="3" t="n">
        <v>58424825774431</v>
      </c>
      <c r="C578" s="3" t="inlineStr">
        <is>
          <t>已簽收</t>
        </is>
      </c>
      <c r="D578" s="3" t="inlineStr">
        <is>
          <t>2026-07-03 10:45:20</t>
        </is>
      </c>
      <c r="E578" s="3" t="inlineStr">
        <is>
          <t>2026-07-04 09:56</t>
        </is>
      </c>
      <c r="F578" s="3" t="n">
        <v>6</v>
      </c>
      <c r="G578" s="3" t="n">
        <v>1</v>
      </c>
      <c r="H578" s="3" t="n"/>
      <c r="I578" s="3" t="inlineStr"/>
      <c r="J578" s="3" t="inlineStr">
        <is>
          <t>Keeta</t>
        </is>
      </c>
      <c r="K578" s="3" t="inlineStr">
        <is>
          <t>****9568</t>
        </is>
      </c>
      <c r="L578" s="3" t="n"/>
      <c r="M578" s="3" t="inlineStr">
        <is>
          <t>***** 物流中心5樓</t>
        </is>
      </c>
      <c r="N578" s="3" t="inlineStr">
        <is>
          <t>北区</t>
        </is>
      </c>
      <c r="O578" s="3" t="inlineStr">
        <is>
          <t>香港</t>
        </is>
      </c>
      <c r="P578" s="3" t="inlineStr">
        <is>
          <t>香港特别行政区</t>
        </is>
      </c>
      <c r="Q578" s="3" t="n">
        <v>487951</v>
      </c>
      <c r="R578" s="3" t="inlineStr">
        <is>
          <t>昼月DaymoonCafeLounge（有午市套餐）</t>
        </is>
      </c>
      <c r="S578" s="3" t="inlineStr">
        <is>
          <t>****93221105</t>
        </is>
      </c>
      <c r="T578" s="3" t="inlineStr">
        <is>
          <t>****93221105</t>
        </is>
      </c>
      <c r="U578" s="3" t="inlineStr">
        <is>
          <t>***** 樓301號舖</t>
        </is>
      </c>
      <c r="V578" s="3" t="inlineStr">
        <is>
          <t>香港</t>
        </is>
      </c>
      <c r="W578" s="3" t="inlineStr">
        <is>
          <t>塑料袋【大】/ 扎出</t>
        </is>
      </c>
      <c r="X578" s="3" t="inlineStr">
        <is>
          <t>ESS-SFTS-OTMS</t>
        </is>
      </c>
      <c r="Y578" s="3" t="n"/>
      <c r="Z578" s="3" t="inlineStr"/>
      <c r="AA578" s="3" t="inlineStr">
        <is>
          <t>寄付月結</t>
        </is>
      </c>
      <c r="AB578">
        <f>IFERROR(VLOOKUP(Q578&amp;"",對照表!$A:$B,1,FALSE),"")</f>
        <v/>
      </c>
      <c r="AC578">
        <f>IFERROR(VLOOKUP(Q578&amp;"",對照表!$A:$B,2,FALSE),"")</f>
        <v/>
      </c>
    </row>
    <row r="579">
      <c r="A579" s="3" t="inlineStr">
        <is>
          <t>SF5116616533005</t>
        </is>
      </c>
      <c r="B579" s="3" t="n">
        <v>58424825774368</v>
      </c>
      <c r="C579" s="3" t="inlineStr">
        <is>
          <t>已簽收</t>
        </is>
      </c>
      <c r="D579" s="3" t="inlineStr">
        <is>
          <t>2026-07-03 13:44:46</t>
        </is>
      </c>
      <c r="E579" s="3" t="inlineStr">
        <is>
          <t>2026-07-04 10:53</t>
        </is>
      </c>
      <c r="F579" s="3" t="n">
        <v>23.2</v>
      </c>
      <c r="G579" s="3" t="n">
        <v>2</v>
      </c>
      <c r="H579" s="3" t="n"/>
      <c r="I579" s="3" t="inlineStr"/>
      <c r="J579" s="3" t="inlineStr">
        <is>
          <t>Keeta</t>
        </is>
      </c>
      <c r="K579" s="3" t="inlineStr">
        <is>
          <t>****9568</t>
        </is>
      </c>
      <c r="L579" s="3" t="n"/>
      <c r="M579" s="3" t="inlineStr">
        <is>
          <t>***** 物流中心5樓</t>
        </is>
      </c>
      <c r="N579" s="3" t="inlineStr">
        <is>
          <t>北区</t>
        </is>
      </c>
      <c r="O579" s="3" t="inlineStr">
        <is>
          <t>香港</t>
        </is>
      </c>
      <c r="P579" s="3" t="inlineStr">
        <is>
          <t>香港特别行政区</t>
        </is>
      </c>
      <c r="Q579" s="3" t="n">
        <v>464853</v>
      </c>
      <c r="R579" s="3" t="inlineStr">
        <is>
          <t>小時候(順欣花園)</t>
        </is>
      </c>
      <c r="S579" s="3" t="inlineStr">
        <is>
          <t>****65421153</t>
        </is>
      </c>
      <c r="T579" s="3" t="inlineStr">
        <is>
          <t>****65421153</t>
        </is>
      </c>
      <c r="U579" s="3" t="inlineStr">
        <is>
          <t>***** 地下3D號舖</t>
        </is>
      </c>
      <c r="V579" s="3" t="inlineStr">
        <is>
          <t>香港</t>
        </is>
      </c>
      <c r="W579" s="3" t="inlineStr">
        <is>
          <t>无纺布【规格四大号】/ 箱出</t>
        </is>
      </c>
      <c r="X579" s="3" t="inlineStr">
        <is>
          <t>ESS-SFTS-OTMS</t>
        </is>
      </c>
      <c r="Y579" s="3" t="n"/>
      <c r="Z579" s="3" t="inlineStr"/>
      <c r="AA579" s="3" t="inlineStr">
        <is>
          <t>寄付月結</t>
        </is>
      </c>
      <c r="AB579">
        <f>IFERROR(VLOOKUP(Q579&amp;"",對照表!$A:$B,1,FALSE),"")</f>
        <v/>
      </c>
      <c r="AC579">
        <f>IFERROR(VLOOKUP(Q579&amp;"",對照表!$A:$B,2,FALSE),"")</f>
        <v/>
      </c>
    </row>
    <row r="580">
      <c r="A580" s="3" t="inlineStr">
        <is>
          <t>SF5116616533175</t>
        </is>
      </c>
      <c r="B580" s="3" t="n">
        <v>58424825774409</v>
      </c>
      <c r="C580" s="3" t="inlineStr">
        <is>
          <t>已簽收</t>
        </is>
      </c>
      <c r="D580" s="3" t="inlineStr">
        <is>
          <t>2026-07-03 11:13:31</t>
        </is>
      </c>
      <c r="E580" s="3" t="inlineStr">
        <is>
          <t>2026-07-04 16:19</t>
        </is>
      </c>
      <c r="F580" s="3" t="n">
        <v>45</v>
      </c>
      <c r="G580" s="3" t="n">
        <v>3</v>
      </c>
      <c r="H580" s="3" t="n"/>
      <c r="I580" s="3" t="inlineStr"/>
      <c r="J580" s="3" t="inlineStr">
        <is>
          <t>Keeta</t>
        </is>
      </c>
      <c r="K580" s="3" t="inlineStr">
        <is>
          <t>****9568</t>
        </is>
      </c>
      <c r="L580" s="3" t="n"/>
      <c r="M580" s="3" t="inlineStr">
        <is>
          <t>***** 物流中心5樓</t>
        </is>
      </c>
      <c r="N580" s="3" t="inlineStr">
        <is>
          <t>北区</t>
        </is>
      </c>
      <c r="O580" s="3" t="inlineStr">
        <is>
          <t>香港</t>
        </is>
      </c>
      <c r="P580" s="3" t="inlineStr">
        <is>
          <t>香港特别行政区</t>
        </is>
      </c>
      <c r="Q580" s="3" t="n">
        <v>579849</v>
      </c>
      <c r="R580" s="3" t="inlineStr">
        <is>
          <t>十二味(北角)</t>
        </is>
      </c>
      <c r="S580" s="3" t="inlineStr">
        <is>
          <t>****95607594</t>
        </is>
      </c>
      <c r="T580" s="3" t="inlineStr">
        <is>
          <t>****95607594</t>
        </is>
      </c>
      <c r="U580" s="3" t="inlineStr">
        <is>
          <t>***** 0-21號舖</t>
        </is>
      </c>
      <c r="V580" s="3" t="inlineStr">
        <is>
          <t>香港</t>
        </is>
      </c>
      <c r="W580" s="3" t="inlineStr">
        <is>
          <t>纸袋【通版】/ 箱出</t>
        </is>
      </c>
      <c r="X580" s="3" t="inlineStr">
        <is>
          <t>ESS-SFTS-OTMS</t>
        </is>
      </c>
      <c r="Y580" s="3" t="n"/>
      <c r="Z580" s="3" t="inlineStr"/>
      <c r="AA580" s="3" t="inlineStr">
        <is>
          <t>寄付月結</t>
        </is>
      </c>
      <c r="AB580">
        <f>IFERROR(VLOOKUP(Q580&amp;"",對照表!$A:$B,1,FALSE),"")</f>
        <v/>
      </c>
      <c r="AC580">
        <f>IFERROR(VLOOKUP(Q580&amp;"",對照表!$A:$B,2,FALSE),"")</f>
        <v/>
      </c>
    </row>
    <row r="581">
      <c r="A581" s="3" t="inlineStr">
        <is>
          <t>SF5116616532840</t>
        </is>
      </c>
      <c r="B581" s="3" t="n">
        <v>58424825774337</v>
      </c>
      <c r="C581" s="3" t="inlineStr">
        <is>
          <t>已簽收</t>
        </is>
      </c>
      <c r="D581" s="3" t="inlineStr">
        <is>
          <t>2026-07-03 15:45:26</t>
        </is>
      </c>
      <c r="E581" s="3" t="inlineStr">
        <is>
          <t>2026-07-04 13:10</t>
        </is>
      </c>
      <c r="F581" s="3" t="n">
        <v>11.6</v>
      </c>
      <c r="G581" s="3" t="n">
        <v>1</v>
      </c>
      <c r="H581" s="3" t="n"/>
      <c r="I581" s="3" t="inlineStr"/>
      <c r="J581" s="3" t="inlineStr">
        <is>
          <t>Keeta</t>
        </is>
      </c>
      <c r="K581" s="3" t="inlineStr">
        <is>
          <t>****9568</t>
        </is>
      </c>
      <c r="L581" s="3" t="n"/>
      <c r="M581" s="3" t="inlineStr">
        <is>
          <t>***** 物流中心5樓</t>
        </is>
      </c>
      <c r="N581" s="3" t="inlineStr">
        <is>
          <t>北区</t>
        </is>
      </c>
      <c r="O581" s="3" t="inlineStr">
        <is>
          <t>香港</t>
        </is>
      </c>
      <c r="P581" s="3" t="inlineStr">
        <is>
          <t>香港特别行政区</t>
        </is>
      </c>
      <c r="Q581" s="3" t="n">
        <v>478385</v>
      </c>
      <c r="R581" s="3" t="inlineStr">
        <is>
          <t>康泰車仔麵</t>
        </is>
      </c>
      <c r="S581" s="3" t="inlineStr">
        <is>
          <t>****97859009</t>
        </is>
      </c>
      <c r="T581" s="3" t="inlineStr">
        <is>
          <t>****97859009</t>
        </is>
      </c>
      <c r="U581" s="3" t="inlineStr">
        <is>
          <t>***** 4期 S72</t>
        </is>
      </c>
      <c r="V581" s="3" t="inlineStr">
        <is>
          <t>香港</t>
        </is>
      </c>
      <c r="W581" s="3" t="inlineStr">
        <is>
          <t>无纺布【规格四大号】/ 箱出</t>
        </is>
      </c>
      <c r="X581" s="3" t="inlineStr">
        <is>
          <t>ESS-SFTS-OTMS</t>
        </is>
      </c>
      <c r="Y581" s="3" t="n"/>
      <c r="Z581" s="3" t="inlineStr"/>
      <c r="AA581" s="3" t="inlineStr">
        <is>
          <t>寄付月結</t>
        </is>
      </c>
      <c r="AB581">
        <f>IFERROR(VLOOKUP(Q581&amp;"",對照表!$A:$B,1,FALSE),"")</f>
        <v/>
      </c>
      <c r="AC581">
        <f>IFERROR(VLOOKUP(Q581&amp;"",對照表!$A:$B,2,FALSE),"")</f>
        <v/>
      </c>
    </row>
    <row r="582">
      <c r="A582" s="3" t="inlineStr">
        <is>
          <t>SF5116616532789</t>
        </is>
      </c>
      <c r="B582" s="3" t="n">
        <v>58424825774325</v>
      </c>
      <c r="C582" s="3" t="inlineStr">
        <is>
          <t>已簽收</t>
        </is>
      </c>
      <c r="D582" s="3" t="inlineStr">
        <is>
          <t>2026-07-03 17:16:50</t>
        </is>
      </c>
      <c r="E582" s="3" t="inlineStr">
        <is>
          <t>2026-07-04 11:29</t>
        </is>
      </c>
      <c r="F582" s="3" t="n">
        <v>27.8</v>
      </c>
      <c r="G582" s="3" t="n">
        <v>3</v>
      </c>
      <c r="H582" s="3" t="n"/>
      <c r="I582" s="3" t="inlineStr"/>
      <c r="J582" s="3" t="inlineStr">
        <is>
          <t>Keeta</t>
        </is>
      </c>
      <c r="K582" s="3" t="inlineStr">
        <is>
          <t>****9568</t>
        </is>
      </c>
      <c r="L582" s="3" t="n"/>
      <c r="M582" s="3" t="inlineStr">
        <is>
          <t>***** 物流中心5樓</t>
        </is>
      </c>
      <c r="N582" s="3" t="inlineStr">
        <is>
          <t>北区</t>
        </is>
      </c>
      <c r="O582" s="3" t="inlineStr">
        <is>
          <t>香港</t>
        </is>
      </c>
      <c r="P582" s="3" t="inlineStr">
        <is>
          <t>香港特别行政区</t>
        </is>
      </c>
      <c r="Q582" s="3" t="n">
        <v>472027</v>
      </c>
      <c r="R582" s="3" t="inlineStr">
        <is>
          <t>湊湊火鍋茶憩超抵一人食(太古城)</t>
        </is>
      </c>
      <c r="S582" s="3" t="inlineStr">
        <is>
          <t>****28186688</t>
        </is>
      </c>
      <c r="T582" s="3" t="inlineStr">
        <is>
          <t>****28186688</t>
        </is>
      </c>
      <c r="U582" s="3" t="inlineStr">
        <is>
          <t>***** 樓501號舖</t>
        </is>
      </c>
      <c r="V582" s="3" t="inlineStr">
        <is>
          <t>香港</t>
        </is>
      </c>
      <c r="W582" s="3" t="inlineStr">
        <is>
          <t>无纺布【规格二双杯】/ 箱出, 无纺布【规格三中号】/ 箱出</t>
        </is>
      </c>
      <c r="X582" s="3" t="inlineStr">
        <is>
          <t>ESS-SFTS-OTMS</t>
        </is>
      </c>
      <c r="Y582" s="3" t="n"/>
      <c r="Z582" s="3" t="inlineStr"/>
      <c r="AA582" s="3" t="inlineStr">
        <is>
          <t>寄付月結</t>
        </is>
      </c>
      <c r="AB582">
        <f>IFERROR(VLOOKUP(Q582&amp;"",對照表!$A:$B,1,FALSE),"")</f>
        <v/>
      </c>
      <c r="AC582">
        <f>IFERROR(VLOOKUP(Q582&amp;"",對照表!$A:$B,2,FALSE),"")</f>
        <v/>
      </c>
    </row>
    <row r="583">
      <c r="A583" s="3" t="inlineStr">
        <is>
          <t>SF5116616532992</t>
        </is>
      </c>
      <c r="B583" s="3" t="n">
        <v>58424825774364</v>
      </c>
      <c r="C583" s="3" t="inlineStr">
        <is>
          <t>已簽收</t>
        </is>
      </c>
      <c r="D583" s="3" t="inlineStr">
        <is>
          <t>2026-07-03 11:36:09</t>
        </is>
      </c>
      <c r="E583" s="3" t="inlineStr">
        <is>
          <t>2026-07-04 14:12</t>
        </is>
      </c>
      <c r="F583" s="3" t="n">
        <v>20.2</v>
      </c>
      <c r="G583" s="3" t="n">
        <v>2</v>
      </c>
      <c r="H583" s="3" t="n"/>
      <c r="I583" s="3" t="inlineStr"/>
      <c r="J583" s="3" t="inlineStr">
        <is>
          <t>Keeta</t>
        </is>
      </c>
      <c r="K583" s="3" t="inlineStr">
        <is>
          <t>****9568</t>
        </is>
      </c>
      <c r="L583" s="3" t="n"/>
      <c r="M583" s="3" t="inlineStr">
        <is>
          <t>***** 物流中心5樓</t>
        </is>
      </c>
      <c r="N583" s="3" t="inlineStr">
        <is>
          <t>北区</t>
        </is>
      </c>
      <c r="O583" s="3" t="inlineStr">
        <is>
          <t>香港</t>
        </is>
      </c>
      <c r="P583" s="3" t="inlineStr">
        <is>
          <t>香港特别行政区</t>
        </is>
      </c>
      <c r="Q583" s="3" t="n">
        <v>721427363</v>
      </c>
      <c r="R583" s="3" t="inlineStr">
        <is>
          <t>窯雞王（旺角店）</t>
        </is>
      </c>
      <c r="S583" s="3" t="inlineStr">
        <is>
          <t>****67513410</t>
        </is>
      </c>
      <c r="T583" s="3" t="inlineStr">
        <is>
          <t>****67513410</t>
        </is>
      </c>
      <c r="U583" s="3" t="inlineStr">
        <is>
          <t>***** 利樓地下C舖</t>
        </is>
      </c>
      <c r="V583" s="3" t="inlineStr">
        <is>
          <t>香港</t>
        </is>
      </c>
      <c r="W583" s="3" t="inlineStr">
        <is>
          <t>无纺布【规格三中号】/ 箱出</t>
        </is>
      </c>
      <c r="X583" s="3" t="inlineStr">
        <is>
          <t>ESS-SFTS-OTMS</t>
        </is>
      </c>
      <c r="Y583" s="3" t="n"/>
      <c r="Z583" s="3" t="inlineStr"/>
      <c r="AA583" s="3" t="inlineStr">
        <is>
          <t>寄付月結</t>
        </is>
      </c>
      <c r="AB583">
        <f>IFERROR(VLOOKUP(Q583&amp;"",對照表!$A:$B,1,FALSE),"")</f>
        <v/>
      </c>
      <c r="AC583">
        <f>IFERROR(VLOOKUP(Q583&amp;"",對照表!$A:$B,2,FALSE),"")</f>
        <v/>
      </c>
    </row>
    <row r="584">
      <c r="A584" s="3" t="inlineStr">
        <is>
          <t>SF5116616532938</t>
        </is>
      </c>
      <c r="B584" s="3" t="n">
        <v>58424825774354</v>
      </c>
      <c r="C584" s="3" t="inlineStr">
        <is>
          <t>已簽收</t>
        </is>
      </c>
      <c r="D584" s="3" t="inlineStr">
        <is>
          <t>2026-07-03 15:45:25</t>
        </is>
      </c>
      <c r="E584" s="3" t="inlineStr">
        <is>
          <t>2026-07-04 13:34</t>
        </is>
      </c>
      <c r="F584" s="3" t="n">
        <v>11.6</v>
      </c>
      <c r="G584" s="3" t="n">
        <v>1</v>
      </c>
      <c r="H584" s="3" t="n"/>
      <c r="I584" s="3" t="inlineStr"/>
      <c r="J584" s="3" t="inlineStr">
        <is>
          <t>Keeta</t>
        </is>
      </c>
      <c r="K584" s="3" t="inlineStr">
        <is>
          <t>****9568</t>
        </is>
      </c>
      <c r="L584" s="3" t="n"/>
      <c r="M584" s="3" t="inlineStr">
        <is>
          <t>***** 物流中心5樓</t>
        </is>
      </c>
      <c r="N584" s="3" t="inlineStr">
        <is>
          <t>北区</t>
        </is>
      </c>
      <c r="O584" s="3" t="inlineStr">
        <is>
          <t>香港</t>
        </is>
      </c>
      <c r="P584" s="3" t="inlineStr">
        <is>
          <t>香港特别行政区</t>
        </is>
      </c>
      <c r="Q584" s="3" t="n">
        <v>592943</v>
      </c>
      <c r="R584" s="3" t="inlineStr">
        <is>
          <t>大少燒味茶餐廳DaiSiuRoastCafe</t>
        </is>
      </c>
      <c r="S584" s="3" t="inlineStr">
        <is>
          <t>****27730030</t>
        </is>
      </c>
      <c r="T584" s="3" t="inlineStr">
        <is>
          <t>****27730030</t>
        </is>
      </c>
      <c r="U584" s="3" t="inlineStr">
        <is>
          <t>***** 樓地下B號舖</t>
        </is>
      </c>
      <c r="V584" s="3" t="inlineStr">
        <is>
          <t>香港</t>
        </is>
      </c>
      <c r="W584" s="3" t="inlineStr">
        <is>
          <t>无纺布【规格四大号】/ 箱出</t>
        </is>
      </c>
      <c r="X584" s="3" t="inlineStr">
        <is>
          <t>ESS-SFTS-OTMS</t>
        </is>
      </c>
      <c r="Y584" s="3" t="n"/>
      <c r="Z584" s="3" t="inlineStr"/>
      <c r="AA584" s="3" t="inlineStr">
        <is>
          <t>寄付月結</t>
        </is>
      </c>
      <c r="AB584">
        <f>IFERROR(VLOOKUP(Q584&amp;"",對照表!$A:$B,1,FALSE),"")</f>
        <v/>
      </c>
      <c r="AC584">
        <f>IFERROR(VLOOKUP(Q584&amp;"",對照表!$A:$B,2,FALSE),"")</f>
        <v/>
      </c>
    </row>
    <row r="585">
      <c r="A585" s="3" t="inlineStr">
        <is>
          <t>SF5116616532886</t>
        </is>
      </c>
      <c r="B585" s="3" t="n">
        <v>58424825774345</v>
      </c>
      <c r="C585" s="3" t="inlineStr">
        <is>
          <t>已簽收</t>
        </is>
      </c>
      <c r="D585" s="3" t="inlineStr">
        <is>
          <t>2026-07-03 10:22:13</t>
        </is>
      </c>
      <c r="E585" s="3" t="inlineStr">
        <is>
          <t>2026-07-04 11:02</t>
        </is>
      </c>
      <c r="F585" s="3" t="n">
        <v>1.2</v>
      </c>
      <c r="G585" s="3" t="n">
        <v>1</v>
      </c>
      <c r="H585" s="3" t="n"/>
      <c r="I585" s="3" t="inlineStr"/>
      <c r="J585" s="3" t="inlineStr">
        <is>
          <t>Keeta</t>
        </is>
      </c>
      <c r="K585" s="3" t="inlineStr">
        <is>
          <t>****9568</t>
        </is>
      </c>
      <c r="L585" s="3" t="n"/>
      <c r="M585" s="3" t="inlineStr">
        <is>
          <t>***** 物流中心5樓</t>
        </is>
      </c>
      <c r="N585" s="3" t="inlineStr">
        <is>
          <t>北区</t>
        </is>
      </c>
      <c r="O585" s="3" t="inlineStr">
        <is>
          <t>香港</t>
        </is>
      </c>
      <c r="P585" s="3" t="inlineStr">
        <is>
          <t>香港特别行政区</t>
        </is>
      </c>
      <c r="Q585" s="3" t="n">
        <v>721542359</v>
      </c>
      <c r="R585" s="3" t="inlineStr">
        <is>
          <t>甲乙丙丁</t>
        </is>
      </c>
      <c r="S585" s="3" t="inlineStr">
        <is>
          <t>****97632928</t>
        </is>
      </c>
      <c r="T585" s="3" t="inlineStr">
        <is>
          <t>****97632928</t>
        </is>
      </c>
      <c r="U585" s="3" t="inlineStr">
        <is>
          <t>***** 地下C4L舖</t>
        </is>
      </c>
      <c r="V585" s="3" t="inlineStr">
        <is>
          <t>香港</t>
        </is>
      </c>
      <c r="W585" s="3" t="inlineStr">
        <is>
          <t>塑料袋【大】/ 扎出</t>
        </is>
      </c>
      <c r="X585" s="3" t="inlineStr">
        <is>
          <t>ESS-SFTS-OTMS</t>
        </is>
      </c>
      <c r="Y585" s="3" t="n"/>
      <c r="Z585" s="3" t="inlineStr"/>
      <c r="AA585" s="3" t="inlineStr">
        <is>
          <t>寄付月結</t>
        </is>
      </c>
      <c r="AB585">
        <f>IFERROR(VLOOKUP(Q585&amp;"",對照表!$A:$B,1,FALSE),"")</f>
        <v/>
      </c>
      <c r="AC585">
        <f>IFERROR(VLOOKUP(Q585&amp;"",對照表!$A:$B,2,FALSE),"")</f>
        <v/>
      </c>
    </row>
    <row r="586">
      <c r="A586" s="3" t="inlineStr">
        <is>
          <t>SF5116616532813</t>
        </is>
      </c>
      <c r="B586" s="3" t="n">
        <v>58424825774331</v>
      </c>
      <c r="C586" s="3" t="inlineStr">
        <is>
          <t>已簽收</t>
        </is>
      </c>
      <c r="D586" s="3" t="inlineStr">
        <is>
          <t>2026-07-03 11:52:08</t>
        </is>
      </c>
      <c r="E586" s="3" t="inlineStr">
        <is>
          <t>2026-07-04 10:36</t>
        </is>
      </c>
      <c r="F586" s="3" t="n">
        <v>10.1</v>
      </c>
      <c r="G586" s="3" t="n">
        <v>1</v>
      </c>
      <c r="H586" s="3" t="n"/>
      <c r="I586" s="3" t="inlineStr"/>
      <c r="J586" s="3" t="inlineStr">
        <is>
          <t>Keeta</t>
        </is>
      </c>
      <c r="K586" s="3" t="inlineStr">
        <is>
          <t>****9568</t>
        </is>
      </c>
      <c r="L586" s="3" t="n"/>
      <c r="M586" s="3" t="inlineStr">
        <is>
          <t>***** 物流中心5樓</t>
        </is>
      </c>
      <c r="N586" s="3" t="inlineStr">
        <is>
          <t>北区</t>
        </is>
      </c>
      <c r="O586" s="3" t="inlineStr">
        <is>
          <t>香港</t>
        </is>
      </c>
      <c r="P586" s="3" t="inlineStr">
        <is>
          <t>香港特别行政区</t>
        </is>
      </c>
      <c r="Q586" s="3" t="n">
        <v>590535</v>
      </c>
      <c r="R586" s="3" t="inlineStr">
        <is>
          <t>泰國佬海南雞專門店（油麻地）</t>
        </is>
      </c>
      <c r="S586" s="3" t="inlineStr">
        <is>
          <t>****61005335</t>
        </is>
      </c>
      <c r="T586" s="3" t="inlineStr">
        <is>
          <t>****61005335</t>
        </is>
      </c>
      <c r="U586" s="3" t="inlineStr">
        <is>
          <t>***** 敦行地下B鋪</t>
        </is>
      </c>
      <c r="V586" s="3" t="inlineStr">
        <is>
          <t>香港</t>
        </is>
      </c>
      <c r="W586" s="3" t="inlineStr">
        <is>
          <t>无纺布【规格三中号】/ 箱出</t>
        </is>
      </c>
      <c r="X586" s="3" t="inlineStr">
        <is>
          <t>ESS-SFTS-OTMS</t>
        </is>
      </c>
      <c r="Y586" s="3" t="n"/>
      <c r="Z586" s="3" t="inlineStr"/>
      <c r="AA586" s="3" t="inlineStr">
        <is>
          <t>寄付月結</t>
        </is>
      </c>
      <c r="AB586">
        <f>IFERROR(VLOOKUP(Q586&amp;"",對照表!$A:$B,1,FALSE),"")</f>
        <v/>
      </c>
      <c r="AC586">
        <f>IFERROR(VLOOKUP(Q586&amp;"",對照表!$A:$B,2,FALSE),"")</f>
        <v/>
      </c>
    </row>
    <row r="587">
      <c r="A587" s="3" t="inlineStr">
        <is>
          <t>SF5116616532831</t>
        </is>
      </c>
      <c r="B587" s="3" t="n">
        <v>58424825774334</v>
      </c>
      <c r="C587" s="3" t="inlineStr">
        <is>
          <t>已簽收</t>
        </is>
      </c>
      <c r="D587" s="3" t="inlineStr">
        <is>
          <t>2026-07-03 16:50:28</t>
        </is>
      </c>
      <c r="E587" s="3" t="inlineStr">
        <is>
          <t>2026-07-04 17:13</t>
        </is>
      </c>
      <c r="F587" s="3" t="n">
        <v>31.2</v>
      </c>
      <c r="G587" s="3" t="n">
        <v>3</v>
      </c>
      <c r="H587" s="3" t="n"/>
      <c r="I587" s="3" t="inlineStr"/>
      <c r="J587" s="3" t="inlineStr">
        <is>
          <t>Keeta</t>
        </is>
      </c>
      <c r="K587" s="3" t="inlineStr">
        <is>
          <t>****9568</t>
        </is>
      </c>
      <c r="L587" s="3" t="n"/>
      <c r="M587" s="3" t="inlineStr">
        <is>
          <t>***** 物流中心5樓</t>
        </is>
      </c>
      <c r="N587" s="3" t="inlineStr">
        <is>
          <t>北区</t>
        </is>
      </c>
      <c r="O587" s="3" t="inlineStr">
        <is>
          <t>香港</t>
        </is>
      </c>
      <c r="P587" s="3" t="inlineStr">
        <is>
          <t>香港特别行政区</t>
        </is>
      </c>
      <c r="Q587" s="3" t="n">
        <v>721518370</v>
      </c>
      <c r="R587" s="3" t="inlineStr">
        <is>
          <t>鯛魚魚湯烏冬專門店</t>
        </is>
      </c>
      <c r="S587" s="3" t="inlineStr">
        <is>
          <t>****23809688</t>
        </is>
      </c>
      <c r="T587" s="3" t="inlineStr">
        <is>
          <t>****23809688</t>
        </is>
      </c>
      <c r="U587" s="3" t="inlineStr">
        <is>
          <t>***** anchai</t>
        </is>
      </c>
      <c r="V587" s="3" t="inlineStr">
        <is>
          <t>香港</t>
        </is>
      </c>
      <c r="W587" s="3" t="inlineStr">
        <is>
          <t>塑料袋【大】/ 扎出, 纸袋【通版】/ 箱出</t>
        </is>
      </c>
      <c r="X587" s="3" t="inlineStr">
        <is>
          <t>ESS-SFTS-OTMS</t>
        </is>
      </c>
      <c r="Y587" s="3" t="n"/>
      <c r="Z587" s="3" t="inlineStr"/>
      <c r="AA587" s="3" t="inlineStr">
        <is>
          <t>寄付月結</t>
        </is>
      </c>
      <c r="AB587">
        <f>IFERROR(VLOOKUP(Q587&amp;"",對照表!$A:$B,1,FALSE),"")</f>
        <v/>
      </c>
      <c r="AC587">
        <f>IFERROR(VLOOKUP(Q587&amp;"",對照表!$A:$B,2,FALSE),"")</f>
        <v/>
      </c>
    </row>
    <row r="588">
      <c r="A588" s="3" t="inlineStr">
        <is>
          <t>SF5116616533139</t>
        </is>
      </c>
      <c r="B588" s="3" t="n">
        <v>58424825774398</v>
      </c>
      <c r="C588" s="3" t="inlineStr">
        <is>
          <t>已簽收</t>
        </is>
      </c>
      <c r="D588" s="3" t="inlineStr">
        <is>
          <t>2026-07-03 11:51:31</t>
        </is>
      </c>
      <c r="E588" s="3" t="inlineStr">
        <is>
          <t>2026-07-04 13:51</t>
        </is>
      </c>
      <c r="F588" s="3" t="n">
        <v>10.1</v>
      </c>
      <c r="G588" s="3" t="n">
        <v>1</v>
      </c>
      <c r="H588" s="3" t="n"/>
      <c r="I588" s="3" t="inlineStr"/>
      <c r="J588" s="3" t="inlineStr">
        <is>
          <t>Keeta</t>
        </is>
      </c>
      <c r="K588" s="3" t="inlineStr">
        <is>
          <t>****9568</t>
        </is>
      </c>
      <c r="L588" s="3" t="n"/>
      <c r="M588" s="3" t="inlineStr">
        <is>
          <t>***** 物流中心5樓</t>
        </is>
      </c>
      <c r="N588" s="3" t="inlineStr">
        <is>
          <t>北区</t>
        </is>
      </c>
      <c r="O588" s="3" t="inlineStr">
        <is>
          <t>香港</t>
        </is>
      </c>
      <c r="P588" s="3" t="inlineStr">
        <is>
          <t>香港特别行政区</t>
        </is>
      </c>
      <c r="Q588" s="3" t="n">
        <v>488489</v>
      </c>
      <c r="R588" s="3" t="inlineStr">
        <is>
          <t>金瓏小廚</t>
        </is>
      </c>
      <c r="S588" s="3" t="inlineStr">
        <is>
          <t>****56871013</t>
        </is>
      </c>
      <c r="T588" s="3" t="inlineStr">
        <is>
          <t>****56871013</t>
        </is>
      </c>
      <c r="U588" s="3" t="inlineStr">
        <is>
          <t>***** 軒地下5號舖</t>
        </is>
      </c>
      <c r="V588" s="3" t="inlineStr">
        <is>
          <t>香港</t>
        </is>
      </c>
      <c r="W588" s="3" t="inlineStr">
        <is>
          <t>无纺布【规格三中号】/ 箱出</t>
        </is>
      </c>
      <c r="X588" s="3" t="inlineStr">
        <is>
          <t>ESS-SFTS-OTMS</t>
        </is>
      </c>
      <c r="Y588" s="3" t="n"/>
      <c r="Z588" s="3" t="inlineStr"/>
      <c r="AA588" s="3" t="inlineStr">
        <is>
          <t>寄付月結</t>
        </is>
      </c>
      <c r="AB588">
        <f>IFERROR(VLOOKUP(Q588&amp;"",對照表!$A:$B,1,FALSE),"")</f>
        <v/>
      </c>
      <c r="AC588">
        <f>IFERROR(VLOOKUP(Q588&amp;"",對照表!$A:$B,2,FALSE),"")</f>
        <v/>
      </c>
    </row>
    <row r="589">
      <c r="A589" s="3" t="inlineStr">
        <is>
          <t>SF5116616532798</t>
        </is>
      </c>
      <c r="B589" s="3" t="n">
        <v>58424825774326</v>
      </c>
      <c r="C589" s="3" t="inlineStr">
        <is>
          <t>已簽收</t>
        </is>
      </c>
      <c r="D589" s="3" t="inlineStr">
        <is>
          <t>2026-07-03 11:36:34</t>
        </is>
      </c>
      <c r="E589" s="3" t="inlineStr">
        <is>
          <t>2026-07-04 18:15</t>
        </is>
      </c>
      <c r="F589" s="3" t="n">
        <v>20.2</v>
      </c>
      <c r="G589" s="3" t="n">
        <v>2</v>
      </c>
      <c r="H589" s="3" t="n"/>
      <c r="I589" s="3" t="inlineStr"/>
      <c r="J589" s="3" t="inlineStr">
        <is>
          <t>Keeta</t>
        </is>
      </c>
      <c r="K589" s="3" t="inlineStr">
        <is>
          <t>****9568</t>
        </is>
      </c>
      <c r="L589" s="3" t="n"/>
      <c r="M589" s="3" t="inlineStr">
        <is>
          <t>***** 物流中心5樓</t>
        </is>
      </c>
      <c r="N589" s="3" t="inlineStr">
        <is>
          <t>北区</t>
        </is>
      </c>
      <c r="O589" s="3" t="inlineStr">
        <is>
          <t>香港</t>
        </is>
      </c>
      <c r="P589" s="3" t="inlineStr">
        <is>
          <t>香港特别行政区</t>
        </is>
      </c>
      <c r="Q589" s="3" t="n">
        <v>721430346</v>
      </c>
      <c r="R589" s="3" t="inlineStr">
        <is>
          <t>窯雞王（新蒲崗）</t>
        </is>
      </c>
      <c r="S589" s="3" t="inlineStr">
        <is>
          <t>****60886850</t>
        </is>
      </c>
      <c r="T589" s="3" t="inlineStr">
        <is>
          <t>****60886850</t>
        </is>
      </c>
      <c r="U589" s="3" t="inlineStr">
        <is>
          <t>***** 地下F左邊舖</t>
        </is>
      </c>
      <c r="V589" s="3" t="inlineStr">
        <is>
          <t>香港</t>
        </is>
      </c>
      <c r="W589" s="3" t="inlineStr">
        <is>
          <t>无纺布【规格三中号】/ 箱出</t>
        </is>
      </c>
      <c r="X589" s="3" t="inlineStr">
        <is>
          <t>ESS-SFTS-OTMS</t>
        </is>
      </c>
      <c r="Y589" s="3" t="n"/>
      <c r="Z589" s="3" t="inlineStr"/>
      <c r="AA589" s="3" t="inlineStr">
        <is>
          <t>寄付月結</t>
        </is>
      </c>
      <c r="AB589">
        <f>IFERROR(VLOOKUP(Q589&amp;"",對照表!$A:$B,1,FALSE),"")</f>
        <v/>
      </c>
      <c r="AC589">
        <f>IFERROR(VLOOKUP(Q589&amp;"",對照表!$A:$B,2,FALSE),"")</f>
        <v/>
      </c>
    </row>
    <row r="590">
      <c r="A590" s="3" t="inlineStr">
        <is>
          <t>SF5116616532859</t>
        </is>
      </c>
      <c r="B590" s="3" t="n">
        <v>58424825774338</v>
      </c>
      <c r="C590" s="3" t="inlineStr">
        <is>
          <t>已簽收</t>
        </is>
      </c>
      <c r="D590" s="3" t="inlineStr">
        <is>
          <t>2026-07-03 14:33:43</t>
        </is>
      </c>
      <c r="E590" s="3" t="inlineStr">
        <is>
          <t>2026-07-04 10:33</t>
        </is>
      </c>
      <c r="F590" s="3" t="n">
        <v>15</v>
      </c>
      <c r="G590" s="3" t="n">
        <v>2</v>
      </c>
      <c r="H590" s="3" t="n"/>
      <c r="I590" s="3" t="inlineStr"/>
      <c r="J590" s="3" t="inlineStr">
        <is>
          <t>Keeta</t>
        </is>
      </c>
      <c r="K590" s="3" t="inlineStr">
        <is>
          <t>****9568</t>
        </is>
      </c>
      <c r="L590" s="3" t="n"/>
      <c r="M590" s="3" t="inlineStr">
        <is>
          <t>***** 物流中心5樓</t>
        </is>
      </c>
      <c r="N590" s="3" t="inlineStr">
        <is>
          <t>北区</t>
        </is>
      </c>
      <c r="O590" s="3" t="inlineStr">
        <is>
          <t>香港</t>
        </is>
      </c>
      <c r="P590" s="3" t="inlineStr">
        <is>
          <t>香港特别行政区</t>
        </is>
      </c>
      <c r="Q590" s="3" t="n">
        <v>449043</v>
      </c>
      <c r="R590" s="3" t="inlineStr">
        <is>
          <t>翠華餐廳(欣翠)</t>
        </is>
      </c>
      <c r="S590" s="3" t="inlineStr">
        <is>
          <t>****27609828</t>
        </is>
      </c>
      <c r="T590" s="3" t="inlineStr">
        <is>
          <t>****27609828</t>
        </is>
      </c>
      <c r="U590" s="3" t="inlineStr">
        <is>
          <t>***** 欣榮花園地下</t>
        </is>
      </c>
      <c r="V590" s="3" t="inlineStr">
        <is>
          <t>香港</t>
        </is>
      </c>
      <c r="W590" s="3" t="inlineStr">
        <is>
          <t>无纺布【规格二双杯】/ 箱出</t>
        </is>
      </c>
      <c r="X590" s="3" t="inlineStr">
        <is>
          <t>ESS-SFTS-OTMS</t>
        </is>
      </c>
      <c r="Y590" s="3" t="n"/>
      <c r="Z590" s="3" t="inlineStr"/>
      <c r="AA590" s="3" t="inlineStr">
        <is>
          <t>寄付月結</t>
        </is>
      </c>
      <c r="AB590">
        <f>IFERROR(VLOOKUP(Q590&amp;"",對照表!$A:$B,1,FALSE),"")</f>
        <v/>
      </c>
      <c r="AC590">
        <f>IFERROR(VLOOKUP(Q590&amp;"",對照表!$A:$B,2,FALSE),"")</f>
        <v/>
      </c>
    </row>
    <row r="591">
      <c r="A591" s="3" t="inlineStr">
        <is>
          <t>SF5116616532743</t>
        </is>
      </c>
      <c r="B591" s="3" t="n">
        <v>58424825774314</v>
      </c>
      <c r="C591" s="3" t="inlineStr">
        <is>
          <t>已簽收</t>
        </is>
      </c>
      <c r="D591" s="3" t="inlineStr">
        <is>
          <t>2026-07-03 10:22:11</t>
        </is>
      </c>
      <c r="E591" s="3" t="inlineStr">
        <is>
          <t>2026-07-04 11:58</t>
        </is>
      </c>
      <c r="F591" s="3" t="n">
        <v>1.2</v>
      </c>
      <c r="G591" s="3" t="n">
        <v>1</v>
      </c>
      <c r="H591" s="3" t="n"/>
      <c r="I591" s="3" t="inlineStr"/>
      <c r="J591" s="3" t="inlineStr">
        <is>
          <t>Keeta</t>
        </is>
      </c>
      <c r="K591" s="3" t="inlineStr">
        <is>
          <t>****9568</t>
        </is>
      </c>
      <c r="L591" s="3" t="n"/>
      <c r="M591" s="3" t="inlineStr">
        <is>
          <t>***** 物流中心5樓</t>
        </is>
      </c>
      <c r="N591" s="3" t="inlineStr">
        <is>
          <t>北区</t>
        </is>
      </c>
      <c r="O591" s="3" t="inlineStr">
        <is>
          <t>香港</t>
        </is>
      </c>
      <c r="P591" s="3" t="inlineStr">
        <is>
          <t>香港特别行政区</t>
        </is>
      </c>
      <c r="Q591" s="3" t="n">
        <v>493919</v>
      </c>
      <c r="R591" s="3" t="inlineStr">
        <is>
          <t>新潮流茶餐廳(海港中心)</t>
        </is>
      </c>
      <c r="S591" s="3" t="inlineStr">
        <is>
          <t>****22024168</t>
        </is>
      </c>
      <c r="T591" s="3" t="inlineStr">
        <is>
          <t>****22024168</t>
        </is>
      </c>
      <c r="U591" s="3" t="inlineStr">
        <is>
          <t>***** G4G5號舖</t>
        </is>
      </c>
      <c r="V591" s="3" t="inlineStr">
        <is>
          <t>香港</t>
        </is>
      </c>
      <c r="W591" s="3" t="inlineStr">
        <is>
          <t>塑料袋【大】/ 扎出</t>
        </is>
      </c>
      <c r="X591" s="3" t="inlineStr">
        <is>
          <t>ESS-SFTS-OTMS</t>
        </is>
      </c>
      <c r="Y591" s="3" t="n"/>
      <c r="Z591" s="3" t="inlineStr"/>
      <c r="AA591" s="3" t="inlineStr">
        <is>
          <t>寄付月結</t>
        </is>
      </c>
      <c r="AB591">
        <f>IFERROR(VLOOKUP(Q591&amp;"",對照表!$A:$B,1,FALSE),"")</f>
        <v/>
      </c>
      <c r="AC591">
        <f>IFERROR(VLOOKUP(Q591&amp;"",對照表!$A:$B,2,FALSE),"")</f>
        <v/>
      </c>
    </row>
    <row r="592">
      <c r="A592" s="3" t="inlineStr">
        <is>
          <t>SF5116616533263</t>
        </is>
      </c>
      <c r="B592" s="3" t="n">
        <v>58424825774426</v>
      </c>
      <c r="C592" s="3" t="inlineStr">
        <is>
          <t>已簽收</t>
        </is>
      </c>
      <c r="D592" s="3" t="inlineStr">
        <is>
          <t>2026-07-03 11:13:36</t>
        </is>
      </c>
      <c r="E592" s="3" t="inlineStr">
        <is>
          <t>2026-07-04 12:27</t>
        </is>
      </c>
      <c r="F592" s="3" t="n">
        <v>45</v>
      </c>
      <c r="G592" s="3" t="n">
        <v>3</v>
      </c>
      <c r="H592" s="3" t="n"/>
      <c r="I592" s="3" t="inlineStr"/>
      <c r="J592" s="3" t="inlineStr">
        <is>
          <t>Keeta</t>
        </is>
      </c>
      <c r="K592" s="3" t="inlineStr">
        <is>
          <t>****9568</t>
        </is>
      </c>
      <c r="L592" s="3" t="n"/>
      <c r="M592" s="3" t="inlineStr">
        <is>
          <t>***** 物流中心5樓</t>
        </is>
      </c>
      <c r="N592" s="3" t="inlineStr">
        <is>
          <t>北区</t>
        </is>
      </c>
      <c r="O592" s="3" t="inlineStr">
        <is>
          <t>香港</t>
        </is>
      </c>
      <c r="P592" s="3" t="inlineStr">
        <is>
          <t>香港特别行政区</t>
        </is>
      </c>
      <c r="Q592" s="3" t="n">
        <v>602862</v>
      </c>
      <c r="R592" s="3" t="inlineStr">
        <is>
          <t>十二味(觀塘)</t>
        </is>
      </c>
      <c r="S592" s="3" t="inlineStr">
        <is>
          <t>****97879060</t>
        </is>
      </c>
      <c r="T592" s="3" t="inlineStr">
        <is>
          <t>****97879060</t>
        </is>
      </c>
      <c r="U592" s="3" t="inlineStr">
        <is>
          <t>***** 樓308號舖</t>
        </is>
      </c>
      <c r="V592" s="3" t="inlineStr">
        <is>
          <t>香港</t>
        </is>
      </c>
      <c r="W592" s="3" t="inlineStr">
        <is>
          <t>纸袋【通版】/ 箱出</t>
        </is>
      </c>
      <c r="X592" s="3" t="inlineStr">
        <is>
          <t>ESS-SFTS-OTMS</t>
        </is>
      </c>
      <c r="Y592" s="3" t="n"/>
      <c r="Z592" s="3" t="inlineStr"/>
      <c r="AA592" s="3" t="inlineStr">
        <is>
          <t>寄付月結</t>
        </is>
      </c>
      <c r="AB592">
        <f>IFERROR(VLOOKUP(Q592&amp;"",對照表!$A:$B,1,FALSE),"")</f>
        <v/>
      </c>
      <c r="AC592">
        <f>IFERROR(VLOOKUP(Q592&amp;"",對照表!$A:$B,2,FALSE),"")</f>
        <v/>
      </c>
    </row>
    <row r="593">
      <c r="A593" s="3" t="inlineStr">
        <is>
          <t>SF5116616533087</t>
        </is>
      </c>
      <c r="B593" s="3" t="n">
        <v>58424825774384</v>
      </c>
      <c r="C593" s="3" t="inlineStr">
        <is>
          <t>已簽收</t>
        </is>
      </c>
      <c r="D593" s="3" t="inlineStr">
        <is>
          <t>2026-07-03 11:45:02</t>
        </is>
      </c>
      <c r="E593" s="3" t="inlineStr">
        <is>
          <t>2026-07-04 10:38</t>
        </is>
      </c>
      <c r="F593" s="3" t="n">
        <v>23.64</v>
      </c>
      <c r="G593" s="3" t="n">
        <v>2</v>
      </c>
      <c r="H593" s="3" t="n"/>
      <c r="I593" s="3" t="inlineStr"/>
      <c r="J593" s="3" t="inlineStr">
        <is>
          <t>Keeta</t>
        </is>
      </c>
      <c r="K593" s="3" t="inlineStr">
        <is>
          <t>****9568</t>
        </is>
      </c>
      <c r="L593" s="3" t="n"/>
      <c r="M593" s="3" t="inlineStr">
        <is>
          <t>***** 物流中心5樓</t>
        </is>
      </c>
      <c r="N593" s="3" t="inlineStr">
        <is>
          <t>北区</t>
        </is>
      </c>
      <c r="O593" s="3" t="inlineStr">
        <is>
          <t>香港</t>
        </is>
      </c>
      <c r="P593" s="3" t="inlineStr">
        <is>
          <t>香港特别行政区</t>
        </is>
      </c>
      <c r="Q593" s="3" t="n">
        <v>607018</v>
      </c>
      <c r="R593" s="3" t="inlineStr">
        <is>
          <t>NBURGER（黃竹坑）</t>
        </is>
      </c>
      <c r="S593" s="3" t="inlineStr">
        <is>
          <t>****28322028</t>
        </is>
      </c>
      <c r="T593" s="3" t="inlineStr">
        <is>
          <t>****28322028</t>
        </is>
      </c>
      <c r="U593" s="3" t="inlineStr">
        <is>
          <t>***** LG01號舖</t>
        </is>
      </c>
      <c r="V593" s="3" t="inlineStr">
        <is>
          <t>香港</t>
        </is>
      </c>
      <c r="W593" s="3" t="inlineStr">
        <is>
          <t>无纺布【Preminum黑】/ 箱出</t>
        </is>
      </c>
      <c r="X593" s="3" t="inlineStr">
        <is>
          <t>ESS-SFTS-OTMS</t>
        </is>
      </c>
      <c r="Y593" s="3" t="n"/>
      <c r="Z593" s="3" t="inlineStr"/>
      <c r="AA593" s="3" t="inlineStr">
        <is>
          <t>寄付月結</t>
        </is>
      </c>
      <c r="AB593">
        <f>IFERROR(VLOOKUP(Q593&amp;"",對照表!$A:$B,1,FALSE),"")</f>
        <v/>
      </c>
      <c r="AC593">
        <f>IFERROR(VLOOKUP(Q593&amp;"",對照表!$A:$B,2,FALSE),"")</f>
        <v/>
      </c>
    </row>
    <row r="594">
      <c r="A594" s="3" t="inlineStr">
        <is>
          <t>SF5116616533102</t>
        </is>
      </c>
      <c r="B594" s="3" t="n">
        <v>58424825774389</v>
      </c>
      <c r="C594" s="3" t="inlineStr">
        <is>
          <t>已簽收</t>
        </is>
      </c>
      <c r="D594" s="3" t="inlineStr">
        <is>
          <t>2026-07-03 11:51:28</t>
        </is>
      </c>
      <c r="E594" s="3" t="inlineStr">
        <is>
          <t>2026-07-04 13:03</t>
        </is>
      </c>
      <c r="F594" s="3" t="n">
        <v>10.1</v>
      </c>
      <c r="G594" s="3" t="n">
        <v>1</v>
      </c>
      <c r="H594" s="3" t="n"/>
      <c r="I594" s="3" t="inlineStr"/>
      <c r="J594" s="3" t="inlineStr">
        <is>
          <t>Keeta</t>
        </is>
      </c>
      <c r="K594" s="3" t="inlineStr">
        <is>
          <t>****9568</t>
        </is>
      </c>
      <c r="L594" s="3" t="n"/>
      <c r="M594" s="3" t="inlineStr">
        <is>
          <t>***** 物流中心5樓</t>
        </is>
      </c>
      <c r="N594" s="3" t="inlineStr">
        <is>
          <t>北区</t>
        </is>
      </c>
      <c r="O594" s="3" t="inlineStr">
        <is>
          <t>香港</t>
        </is>
      </c>
      <c r="P594" s="3" t="inlineStr">
        <is>
          <t>香港特别行政区</t>
        </is>
      </c>
      <c r="Q594" s="3" t="n">
        <v>580692</v>
      </c>
      <c r="R594" s="3" t="inlineStr">
        <is>
          <t>御鵝皇</t>
        </is>
      </c>
      <c r="S594" s="3" t="inlineStr">
        <is>
          <t>****28668998</t>
        </is>
      </c>
      <c r="T594" s="3" t="inlineStr">
        <is>
          <t>****28668998</t>
        </is>
      </c>
      <c r="U594" s="3" t="inlineStr">
        <is>
          <t>***** 路22號地舖</t>
        </is>
      </c>
      <c r="V594" s="3" t="inlineStr">
        <is>
          <t>香港</t>
        </is>
      </c>
      <c r="W594" s="3" t="inlineStr">
        <is>
          <t>无纺布【规格三中号】/ 箱出</t>
        </is>
      </c>
      <c r="X594" s="3" t="inlineStr">
        <is>
          <t>ESS-SFTS-OTMS</t>
        </is>
      </c>
      <c r="Y594" s="3" t="n"/>
      <c r="Z594" s="3" t="inlineStr"/>
      <c r="AA594" s="3" t="inlineStr">
        <is>
          <t>寄付月結</t>
        </is>
      </c>
      <c r="AB594">
        <f>IFERROR(VLOOKUP(Q594&amp;"",對照表!$A:$B,1,FALSE),"")</f>
        <v/>
      </c>
      <c r="AC594">
        <f>IFERROR(VLOOKUP(Q594&amp;"",對照表!$A:$B,2,FALSE),"")</f>
        <v/>
      </c>
    </row>
    <row r="595">
      <c r="A595" s="3" t="inlineStr">
        <is>
          <t>SF5116616533023</t>
        </is>
      </c>
      <c r="B595" s="3" t="n">
        <v>58424825774372</v>
      </c>
      <c r="C595" s="3" t="inlineStr">
        <is>
          <t>已簽收</t>
        </is>
      </c>
      <c r="D595" s="3" t="inlineStr">
        <is>
          <t>2026-07-03 10:27:02</t>
        </is>
      </c>
      <c r="E595" s="3" t="inlineStr">
        <is>
          <t>2026-07-04 13:48</t>
        </is>
      </c>
      <c r="F595" s="3" t="n">
        <v>1</v>
      </c>
      <c r="G595" s="3" t="n">
        <v>1</v>
      </c>
      <c r="H595" s="3" t="n"/>
      <c r="I595" s="3" t="inlineStr"/>
      <c r="J595" s="3" t="inlineStr">
        <is>
          <t>Keeta</t>
        </is>
      </c>
      <c r="K595" s="3" t="inlineStr">
        <is>
          <t>****9568</t>
        </is>
      </c>
      <c r="L595" s="3" t="n"/>
      <c r="M595" s="3" t="inlineStr">
        <is>
          <t>***** 物流中心5樓</t>
        </is>
      </c>
      <c r="N595" s="3" t="inlineStr">
        <is>
          <t>北区</t>
        </is>
      </c>
      <c r="O595" s="3" t="inlineStr">
        <is>
          <t>香港</t>
        </is>
      </c>
      <c r="P595" s="3" t="inlineStr">
        <is>
          <t>香港特别行政区</t>
        </is>
      </c>
      <c r="Q595" s="3" t="n">
        <v>454995</v>
      </c>
      <c r="R595" s="3" t="inlineStr">
        <is>
          <t>百悦軒</t>
        </is>
      </c>
      <c r="S595" s="3" t="inlineStr">
        <is>
          <t>****93836859</t>
        </is>
      </c>
      <c r="T595" s="3" t="inlineStr">
        <is>
          <t>****93836859</t>
        </is>
      </c>
      <c r="U595" s="3" t="inlineStr">
        <is>
          <t>***** 下17A號舖</t>
        </is>
      </c>
      <c r="V595" s="3" t="inlineStr">
        <is>
          <t>香港</t>
        </is>
      </c>
      <c r="W595" s="3" t="inlineStr">
        <is>
          <t>塑料袋【大】/ 扎出</t>
        </is>
      </c>
      <c r="X595" s="3" t="inlineStr">
        <is>
          <t>ESS-SFTS-OTMS</t>
        </is>
      </c>
      <c r="Y595" s="3" t="n"/>
      <c r="Z595" s="3" t="inlineStr"/>
      <c r="AA595" s="3" t="inlineStr">
        <is>
          <t>寄付月結</t>
        </is>
      </c>
      <c r="AB595">
        <f>IFERROR(VLOOKUP(Q595&amp;"",對照表!$A:$B,1,FALSE),"")</f>
        <v/>
      </c>
      <c r="AC595">
        <f>IFERROR(VLOOKUP(Q595&amp;"",對照表!$A:$B,2,FALSE),"")</f>
        <v/>
      </c>
    </row>
    <row r="596">
      <c r="A596" s="3" t="inlineStr">
        <is>
          <t>SF5116616533050</t>
        </is>
      </c>
      <c r="B596" s="3" t="n">
        <v>58424825774376</v>
      </c>
      <c r="C596" s="3" t="inlineStr">
        <is>
          <t>已簽收</t>
        </is>
      </c>
      <c r="D596" s="3" t="inlineStr">
        <is>
          <t>2026-07-03 15:09:51</t>
        </is>
      </c>
      <c r="E596" s="3" t="inlineStr">
        <is>
          <t>2026-07-04 10:12</t>
        </is>
      </c>
      <c r="F596" s="3" t="n">
        <v>1.05</v>
      </c>
      <c r="G596" s="3" t="n">
        <v>2</v>
      </c>
      <c r="H596" s="3" t="n"/>
      <c r="I596" s="3" t="inlineStr"/>
      <c r="J596" s="3" t="inlineStr">
        <is>
          <t>Keeta</t>
        </is>
      </c>
      <c r="K596" s="3" t="inlineStr">
        <is>
          <t>****9568</t>
        </is>
      </c>
      <c r="L596" s="3" t="n"/>
      <c r="M596" s="3" t="inlineStr">
        <is>
          <t>***** 物流中心5樓</t>
        </is>
      </c>
      <c r="N596" s="3" t="inlineStr">
        <is>
          <t>北区</t>
        </is>
      </c>
      <c r="O596" s="3" t="inlineStr">
        <is>
          <t>香港</t>
        </is>
      </c>
      <c r="P596" s="3" t="inlineStr">
        <is>
          <t>香港特别行政区</t>
        </is>
      </c>
      <c r="Q596" s="3" t="n">
        <v>455080</v>
      </c>
      <c r="R596" s="3" t="inlineStr">
        <is>
          <t>優點點心專門店KingsDimsum</t>
        </is>
      </c>
      <c r="S596" s="3" t="inlineStr">
        <is>
          <t>****51738238</t>
        </is>
      </c>
      <c r="T596" s="3" t="inlineStr">
        <is>
          <t>****51738238</t>
        </is>
      </c>
      <c r="U596" s="3" t="inlineStr">
        <is>
          <t>***** 街35號地下</t>
        </is>
      </c>
      <c r="V596" s="3" t="inlineStr">
        <is>
          <t>香港</t>
        </is>
      </c>
      <c r="W596" s="3" t="inlineStr">
        <is>
          <t>塑料袋【大】/ 扎出, 塑料袋【小】/ 扎出</t>
        </is>
      </c>
      <c r="X596" s="3" t="inlineStr">
        <is>
          <t>ESS-SFTS-OTMS</t>
        </is>
      </c>
      <c r="Y596" s="3" t="n"/>
      <c r="Z596" s="3" t="inlineStr"/>
      <c r="AA596" s="3" t="inlineStr">
        <is>
          <t>寄付月結</t>
        </is>
      </c>
      <c r="AB596">
        <f>IFERROR(VLOOKUP(Q596&amp;"",對照表!$A:$B,1,FALSE),"")</f>
        <v/>
      </c>
      <c r="AC596">
        <f>IFERROR(VLOOKUP(Q596&amp;"",對照表!$A:$B,2,FALSE),"")</f>
        <v/>
      </c>
    </row>
    <row r="597">
      <c r="A597" s="3" t="inlineStr">
        <is>
          <t>SF5116616533209</t>
        </is>
      </c>
      <c r="B597" s="3" t="n">
        <v>58424825774416</v>
      </c>
      <c r="C597" s="3" t="inlineStr">
        <is>
          <t>已簽收</t>
        </is>
      </c>
      <c r="D597" s="3" t="inlineStr">
        <is>
          <t>2026-07-03 15:09:20</t>
        </is>
      </c>
      <c r="E597" s="3" t="inlineStr">
        <is>
          <t>2026-07-04 13:48</t>
        </is>
      </c>
      <c r="F597" s="3" t="n">
        <v>1.05</v>
      </c>
      <c r="G597" s="3" t="n">
        <v>2</v>
      </c>
      <c r="H597" s="3" t="n"/>
      <c r="I597" s="3" t="inlineStr"/>
      <c r="J597" s="3" t="inlineStr">
        <is>
          <t>Keeta</t>
        </is>
      </c>
      <c r="K597" s="3" t="inlineStr">
        <is>
          <t>****9568</t>
        </is>
      </c>
      <c r="L597" s="3" t="n"/>
      <c r="M597" s="3" t="inlineStr">
        <is>
          <t>***** 物流中心5樓</t>
        </is>
      </c>
      <c r="N597" s="3" t="inlineStr">
        <is>
          <t>北区</t>
        </is>
      </c>
      <c r="O597" s="3" t="inlineStr">
        <is>
          <t>香港</t>
        </is>
      </c>
      <c r="P597" s="3" t="inlineStr">
        <is>
          <t>香港特别行政区</t>
        </is>
      </c>
      <c r="Q597" s="3" t="n">
        <v>487953</v>
      </c>
      <c r="R597" s="3" t="inlineStr">
        <is>
          <t>呂錦記手撕雞專門店(西灣河總店)招牌香辣手撕雞超抵午餐</t>
        </is>
      </c>
      <c r="S597" s="3" t="inlineStr">
        <is>
          <t>****95455979</t>
        </is>
      </c>
      <c r="T597" s="3" t="inlineStr">
        <is>
          <t>****95455979</t>
        </is>
      </c>
      <c r="U597" s="3" t="inlineStr">
        <is>
          <t>***** 地下J1號舖</t>
        </is>
      </c>
      <c r="V597" s="3" t="inlineStr">
        <is>
          <t>香港</t>
        </is>
      </c>
      <c r="W597" s="3" t="inlineStr">
        <is>
          <t>塑料袋【小】/ 扎出, 塑料袋【大】/ 扎出</t>
        </is>
      </c>
      <c r="X597" s="3" t="inlineStr">
        <is>
          <t>ESS-SFTS-OTMS</t>
        </is>
      </c>
      <c r="Y597" s="3" t="n"/>
      <c r="Z597" s="3" t="inlineStr"/>
      <c r="AA597" s="3" t="inlineStr">
        <is>
          <t>寄付月結</t>
        </is>
      </c>
      <c r="AB597">
        <f>IFERROR(VLOOKUP(Q597&amp;"",對照表!$A:$B,1,FALSE),"")</f>
        <v/>
      </c>
      <c r="AC597">
        <f>IFERROR(VLOOKUP(Q597&amp;"",對照表!$A:$B,2,FALSE),"")</f>
        <v/>
      </c>
    </row>
    <row r="598">
      <c r="A598" s="3" t="inlineStr">
        <is>
          <t>SF5116616533078</t>
        </is>
      </c>
      <c r="B598" s="3" t="n">
        <v>58424825774382</v>
      </c>
      <c r="C598" s="3" t="inlineStr">
        <is>
          <t>已簽收</t>
        </is>
      </c>
      <c r="D598" s="3" t="inlineStr">
        <is>
          <t>2026-07-03 11:10:28</t>
        </is>
      </c>
      <c r="E598" s="3" t="inlineStr">
        <is>
          <t>2026-07-04 10:13</t>
        </is>
      </c>
      <c r="F598" s="3" t="n">
        <v>30</v>
      </c>
      <c r="G598" s="3" t="n">
        <v>2</v>
      </c>
      <c r="H598" s="3" t="n"/>
      <c r="I598" s="3" t="inlineStr"/>
      <c r="J598" s="3" t="inlineStr">
        <is>
          <t>Keeta</t>
        </is>
      </c>
      <c r="K598" s="3" t="inlineStr">
        <is>
          <t>****9568</t>
        </is>
      </c>
      <c r="L598" s="3" t="n"/>
      <c r="M598" s="3" t="inlineStr">
        <is>
          <t>***** 物流中心5樓</t>
        </is>
      </c>
      <c r="N598" s="3" t="inlineStr">
        <is>
          <t>北区</t>
        </is>
      </c>
      <c r="O598" s="3" t="inlineStr">
        <is>
          <t>香港</t>
        </is>
      </c>
      <c r="P598" s="3" t="inlineStr">
        <is>
          <t>香港特别行政区</t>
        </is>
      </c>
      <c r="Q598" s="3" t="n">
        <v>721428399</v>
      </c>
      <c r="R598" s="3" t="inlineStr">
        <is>
          <t>OftenBarCafe港式扒餐專門店午市套餐送汽水晚市燒烤串燒糧尾救星登場</t>
        </is>
      </c>
      <c r="S598" s="3" t="inlineStr">
        <is>
          <t>****53390813</t>
        </is>
      </c>
      <c r="T598" s="3" t="inlineStr">
        <is>
          <t>****53390813</t>
        </is>
      </c>
      <c r="U598" s="3" t="inlineStr">
        <is>
          <t>*****  流尚坊4樓</t>
        </is>
      </c>
      <c r="V598" s="3" t="inlineStr">
        <is>
          <t>香港</t>
        </is>
      </c>
      <c r="W598" s="3" t="inlineStr">
        <is>
          <t>纸袋【通版】/ 箱出</t>
        </is>
      </c>
      <c r="X598" s="3" t="inlineStr">
        <is>
          <t>ESS-SFTS-OTMS</t>
        </is>
      </c>
      <c r="Y598" s="3" t="n"/>
      <c r="Z598" s="3" t="inlineStr"/>
      <c r="AA598" s="3" t="inlineStr">
        <is>
          <t>寄付月結</t>
        </is>
      </c>
      <c r="AB598">
        <f>IFERROR(VLOOKUP(Q598&amp;"",對照表!$A:$B,1,FALSE),"")</f>
        <v/>
      </c>
      <c r="AC598">
        <f>IFERROR(VLOOKUP(Q598&amp;"",對照表!$A:$B,2,FALSE),"")</f>
        <v/>
      </c>
    </row>
    <row r="599">
      <c r="A599" s="3" t="inlineStr">
        <is>
          <t>SF5116616533120</t>
        </is>
      </c>
      <c r="B599" s="3" t="n">
        <v>58424825774396</v>
      </c>
      <c r="C599" s="3" t="inlineStr">
        <is>
          <t>已簽收</t>
        </is>
      </c>
      <c r="D599" s="3" t="inlineStr">
        <is>
          <t>2026-07-03 15:32:20</t>
        </is>
      </c>
      <c r="E599" s="3" t="inlineStr">
        <is>
          <t>2026-07-04 13:12</t>
        </is>
      </c>
      <c r="F599" s="3" t="n">
        <v>11.6</v>
      </c>
      <c r="G599" s="3" t="n">
        <v>1</v>
      </c>
      <c r="H599" s="3" t="n"/>
      <c r="I599" s="3" t="inlineStr"/>
      <c r="J599" s="3" t="inlineStr">
        <is>
          <t>Keeta</t>
        </is>
      </c>
      <c r="K599" s="3" t="inlineStr">
        <is>
          <t>****9568</t>
        </is>
      </c>
      <c r="L599" s="3" t="n"/>
      <c r="M599" s="3" t="inlineStr">
        <is>
          <t>***** 物流中心5樓</t>
        </is>
      </c>
      <c r="N599" s="3" t="inlineStr">
        <is>
          <t>北区</t>
        </is>
      </c>
      <c r="O599" s="3" t="inlineStr">
        <is>
          <t>香港</t>
        </is>
      </c>
      <c r="P599" s="3" t="inlineStr">
        <is>
          <t>香港特别行政区</t>
        </is>
      </c>
      <c r="Q599" s="3" t="n">
        <v>495048</v>
      </c>
      <c r="R599" s="3" t="inlineStr">
        <is>
          <t>ChillSweet俏甜甜品（青衣）</t>
        </is>
      </c>
      <c r="S599" s="3" t="inlineStr">
        <is>
          <t>****53014665</t>
        </is>
      </c>
      <c r="T599" s="3" t="inlineStr">
        <is>
          <t>****53014665</t>
        </is>
      </c>
      <c r="U599" s="3" t="inlineStr">
        <is>
          <t>***** TCF1號舖</t>
        </is>
      </c>
      <c r="V599" s="3" t="inlineStr">
        <is>
          <t>香港</t>
        </is>
      </c>
      <c r="W599" s="3" t="inlineStr">
        <is>
          <t>无纺布【规格四大号】/ 箱出</t>
        </is>
      </c>
      <c r="X599" s="3" t="inlineStr">
        <is>
          <t>ESS-SFTS-OTMS</t>
        </is>
      </c>
      <c r="Y599" s="3" t="n"/>
      <c r="Z599" s="3" t="inlineStr"/>
      <c r="AA599" s="3" t="inlineStr">
        <is>
          <t>寄付月結</t>
        </is>
      </c>
      <c r="AB599">
        <f>IFERROR(VLOOKUP(Q599&amp;"",對照表!$A:$B,1,FALSE),"")</f>
        <v/>
      </c>
      <c r="AC599">
        <f>IFERROR(VLOOKUP(Q599&amp;"",對照表!$A:$B,2,FALSE),"")</f>
        <v/>
      </c>
    </row>
    <row r="600">
      <c r="A600" s="3" t="inlineStr">
        <is>
          <t>SF5116616532770</t>
        </is>
      </c>
      <c r="B600" s="3" t="n">
        <v>58424825774322</v>
      </c>
      <c r="C600" s="3" t="inlineStr">
        <is>
          <t>已簽收</t>
        </is>
      </c>
      <c r="D600" s="3" t="inlineStr">
        <is>
          <t>2026-07-03 15:10:30</t>
        </is>
      </c>
      <c r="E600" s="3" t="inlineStr">
        <is>
          <t>2026-07-04 17:27</t>
        </is>
      </c>
      <c r="F600" s="3" t="n">
        <v>2</v>
      </c>
      <c r="G600" s="3" t="n">
        <v>1</v>
      </c>
      <c r="H600" s="3" t="n"/>
      <c r="I600" s="3" t="inlineStr"/>
      <c r="J600" s="3" t="inlineStr">
        <is>
          <t>Keeta</t>
        </is>
      </c>
      <c r="K600" s="3" t="inlineStr">
        <is>
          <t>****9568</t>
        </is>
      </c>
      <c r="L600" s="3" t="n"/>
      <c r="M600" s="3" t="inlineStr">
        <is>
          <t>***** 物流中心5樓</t>
        </is>
      </c>
      <c r="N600" s="3" t="inlineStr">
        <is>
          <t>北区</t>
        </is>
      </c>
      <c r="O600" s="3" t="inlineStr">
        <is>
          <t>香港</t>
        </is>
      </c>
      <c r="P600" s="3" t="inlineStr">
        <is>
          <t>香港特别行政区</t>
        </is>
      </c>
      <c r="Q600" s="3" t="n">
        <v>458182</v>
      </c>
      <c r="R600" s="3" t="inlineStr">
        <is>
          <t>易牙台式料理古早風味正宗台式鹵肉飯</t>
        </is>
      </c>
      <c r="S600" s="3" t="inlineStr">
        <is>
          <t>****67090839</t>
        </is>
      </c>
      <c r="T600" s="3" t="inlineStr">
        <is>
          <t>****67090839</t>
        </is>
      </c>
      <c r="U600" s="3" t="inlineStr">
        <is>
          <t>***** 5樓R1號舖</t>
        </is>
      </c>
      <c r="V600" s="3" t="inlineStr">
        <is>
          <t>香港</t>
        </is>
      </c>
      <c r="W600" s="3" t="inlineStr">
        <is>
          <t>塑料袋【大】/ 扎出, 塑料袋【小】/ 扎出</t>
        </is>
      </c>
      <c r="X600" s="3" t="inlineStr">
        <is>
          <t>ESS-SFTS-OTMS</t>
        </is>
      </c>
      <c r="Y600" s="3" t="n"/>
      <c r="Z600" s="3" t="inlineStr"/>
      <c r="AA600" s="3" t="inlineStr">
        <is>
          <t>寄付月結</t>
        </is>
      </c>
      <c r="AB600">
        <f>IFERROR(VLOOKUP(Q600&amp;"",對照表!$A:$B,1,FALSE),"")</f>
        <v/>
      </c>
      <c r="AC600">
        <f>IFERROR(VLOOKUP(Q600&amp;"",對照表!$A:$B,2,FALSE),"")</f>
        <v/>
      </c>
    </row>
    <row r="601">
      <c r="A601" s="3" t="inlineStr">
        <is>
          <t>SF5116616532716</t>
        </is>
      </c>
      <c r="B601" s="3" t="n">
        <v>58424825774308</v>
      </c>
      <c r="C601" s="3" t="inlineStr">
        <is>
          <t>已簽收</t>
        </is>
      </c>
      <c r="D601" s="3" t="inlineStr">
        <is>
          <t>2026-07-03 14:33:39</t>
        </is>
      </c>
      <c r="E601" s="3" t="inlineStr">
        <is>
          <t>2026-07-04 11:09</t>
        </is>
      </c>
      <c r="F601" s="3" t="n">
        <v>15</v>
      </c>
      <c r="G601" s="3" t="n">
        <v>2</v>
      </c>
      <c r="H601" s="3" t="n"/>
      <c r="I601" s="3" t="inlineStr"/>
      <c r="J601" s="3" t="inlineStr">
        <is>
          <t>Keeta</t>
        </is>
      </c>
      <c r="K601" s="3" t="inlineStr">
        <is>
          <t>****9568</t>
        </is>
      </c>
      <c r="L601" s="3" t="n"/>
      <c r="M601" s="3" t="inlineStr">
        <is>
          <t>***** 物流中心5樓</t>
        </is>
      </c>
      <c r="N601" s="3" t="inlineStr">
        <is>
          <t>北区</t>
        </is>
      </c>
      <c r="O601" s="3" t="inlineStr">
        <is>
          <t>香港</t>
        </is>
      </c>
      <c r="P601" s="3" t="inlineStr">
        <is>
          <t>香港特别行政区</t>
        </is>
      </c>
      <c r="Q601" s="3" t="n">
        <v>478647</v>
      </c>
      <c r="R601" s="3" t="inlineStr">
        <is>
          <t>翠華餐廳(厚翠)</t>
        </is>
      </c>
      <c r="S601" s="3" t="inlineStr">
        <is>
          <t>****26613138</t>
        </is>
      </c>
      <c r="T601" s="3" t="inlineStr">
        <is>
          <t>****26613138</t>
        </is>
      </c>
      <c r="U601" s="3" t="inlineStr">
        <is>
          <t>***** ateway</t>
        </is>
      </c>
      <c r="V601" s="3" t="inlineStr">
        <is>
          <t>香港</t>
        </is>
      </c>
      <c r="W601" s="3" t="inlineStr">
        <is>
          <t>无纺布【规格二双杯】/ 箱出</t>
        </is>
      </c>
      <c r="X601" s="3" t="inlineStr">
        <is>
          <t>ESS-SFTS-OTMS</t>
        </is>
      </c>
      <c r="Y601" s="3" t="n"/>
      <c r="Z601" s="3" t="inlineStr"/>
      <c r="AA601" s="3" t="inlineStr">
        <is>
          <t>寄付月結</t>
        </is>
      </c>
      <c r="AB601">
        <f>IFERROR(VLOOKUP(Q601&amp;"",對照表!$A:$B,1,FALSE),"")</f>
        <v/>
      </c>
      <c r="AC601">
        <f>IFERROR(VLOOKUP(Q601&amp;"",對照表!$A:$B,2,FALSE),"")</f>
        <v/>
      </c>
    </row>
    <row r="602">
      <c r="A602" s="3" t="inlineStr">
        <is>
          <t>SF5116616532725</t>
        </is>
      </c>
      <c r="B602" s="3" t="n">
        <v>58424825774311</v>
      </c>
      <c r="C602" s="3" t="inlineStr">
        <is>
          <t>已簽收</t>
        </is>
      </c>
      <c r="D602" s="3" t="inlineStr">
        <is>
          <t>2026-07-03 14:25:01</t>
        </is>
      </c>
      <c r="E602" s="3" t="inlineStr">
        <is>
          <t>2026-07-04 16:25</t>
        </is>
      </c>
      <c r="F602" s="3" t="n">
        <v>26.62</v>
      </c>
      <c r="G602" s="3" t="n">
        <v>3</v>
      </c>
      <c r="H602" s="3" t="n"/>
      <c r="I602" s="3" t="inlineStr"/>
      <c r="J602" s="3" t="inlineStr">
        <is>
          <t>Keeta</t>
        </is>
      </c>
      <c r="K602" s="3" t="inlineStr">
        <is>
          <t>****9568</t>
        </is>
      </c>
      <c r="L602" s="3" t="n"/>
      <c r="M602" s="3" t="inlineStr">
        <is>
          <t>***** 物流中心5樓</t>
        </is>
      </c>
      <c r="N602" s="3" t="inlineStr">
        <is>
          <t>北区</t>
        </is>
      </c>
      <c r="O602" s="3" t="inlineStr">
        <is>
          <t>香港</t>
        </is>
      </c>
      <c r="P602" s="3" t="inlineStr">
        <is>
          <t>香港特别行政区</t>
        </is>
      </c>
      <c r="Q602" s="3" t="n">
        <v>455608</v>
      </c>
      <c r="R602" s="3" t="inlineStr">
        <is>
          <t>泰歡迎</t>
        </is>
      </c>
      <c r="S602" s="3" t="inlineStr">
        <is>
          <t>****97864448</t>
        </is>
      </c>
      <c r="T602" s="3" t="inlineStr">
        <is>
          <t>****97864448</t>
        </is>
      </c>
      <c r="U602" s="3" t="inlineStr">
        <is>
          <t>***** 1樓10號舖</t>
        </is>
      </c>
      <c r="V602" s="3" t="inlineStr">
        <is>
          <t>香港</t>
        </is>
      </c>
      <c r="W602" s="3" t="inlineStr">
        <is>
          <t>无纺布【规格四大号】/ 箱出, 塑料袋【大】/ 扎出</t>
        </is>
      </c>
      <c r="X602" s="3" t="inlineStr">
        <is>
          <t>ESS-SFTS-OTMS</t>
        </is>
      </c>
      <c r="Y602" s="3" t="n"/>
      <c r="Z602" s="3" t="inlineStr"/>
      <c r="AA602" s="3" t="inlineStr">
        <is>
          <t>寄付月結</t>
        </is>
      </c>
      <c r="AB602">
        <f>IFERROR(VLOOKUP(Q602&amp;"",對照表!$A:$B,1,FALSE),"")</f>
        <v/>
      </c>
      <c r="AC602">
        <f>IFERROR(VLOOKUP(Q602&amp;"",對照表!$A:$B,2,FALSE),"")</f>
        <v/>
      </c>
    </row>
    <row r="603">
      <c r="A603" s="3" t="inlineStr">
        <is>
          <t>SF5116616533236</t>
        </is>
      </c>
      <c r="B603" s="3" t="n">
        <v>58424825774420</v>
      </c>
      <c r="C603" s="3" t="inlineStr">
        <is>
          <t>已簽收</t>
        </is>
      </c>
      <c r="D603" s="3" t="inlineStr">
        <is>
          <t>2026-07-03 11:10:27</t>
        </is>
      </c>
      <c r="E603" s="3" t="inlineStr">
        <is>
          <t>2026-07-04 11:28</t>
        </is>
      </c>
      <c r="F603" s="3" t="n">
        <v>30</v>
      </c>
      <c r="G603" s="3" t="n">
        <v>2</v>
      </c>
      <c r="H603" s="3" t="n"/>
      <c r="I603" s="3" t="inlineStr"/>
      <c r="J603" s="3" t="inlineStr">
        <is>
          <t>Keeta</t>
        </is>
      </c>
      <c r="K603" s="3" t="inlineStr">
        <is>
          <t>****9568</t>
        </is>
      </c>
      <c r="L603" s="3" t="n"/>
      <c r="M603" s="3" t="inlineStr">
        <is>
          <t>***** 物流中心5樓</t>
        </is>
      </c>
      <c r="N603" s="3" t="inlineStr">
        <is>
          <t>北区</t>
        </is>
      </c>
      <c r="O603" s="3" t="inlineStr">
        <is>
          <t>香港</t>
        </is>
      </c>
      <c r="P603" s="3" t="inlineStr">
        <is>
          <t>香港特别行政区</t>
        </is>
      </c>
      <c r="Q603" s="3" t="n">
        <v>721529388</v>
      </c>
      <c r="R603" s="3" t="inlineStr">
        <is>
          <t>OMG緊張咖喱麵</t>
        </is>
      </c>
      <c r="S603" s="3" t="inlineStr">
        <is>
          <t>****51834404</t>
        </is>
      </c>
      <c r="T603" s="3" t="inlineStr">
        <is>
          <t>****51834404</t>
        </is>
      </c>
      <c r="U603" s="3" t="inlineStr">
        <is>
          <t>***** 128號地下</t>
        </is>
      </c>
      <c r="V603" s="3" t="inlineStr">
        <is>
          <t>香港</t>
        </is>
      </c>
      <c r="W603" s="3" t="inlineStr">
        <is>
          <t>纸袋【通版】/ 箱出</t>
        </is>
      </c>
      <c r="X603" s="3" t="inlineStr">
        <is>
          <t>ESS-SFTS-OTMS</t>
        </is>
      </c>
      <c r="Y603" s="3" t="n"/>
      <c r="Z603" s="3" t="inlineStr"/>
      <c r="AA603" s="3" t="inlineStr">
        <is>
          <t>寄付月結</t>
        </is>
      </c>
      <c r="AB603">
        <f>IFERROR(VLOOKUP(Q603&amp;"",對照表!$A:$B,1,FALSE),"")</f>
        <v/>
      </c>
      <c r="AC603">
        <f>IFERROR(VLOOKUP(Q603&amp;"",對照表!$A:$B,2,FALSE),"")</f>
        <v/>
      </c>
    </row>
    <row r="604">
      <c r="A604" s="3" t="inlineStr">
        <is>
          <t>SF5116616533166</t>
        </is>
      </c>
      <c r="B604" s="3" t="n">
        <v>58424825774407</v>
      </c>
      <c r="C604" s="3" t="inlineStr">
        <is>
          <t>已簽收</t>
        </is>
      </c>
      <c r="D604" s="3" t="inlineStr">
        <is>
          <t>2026-07-03 16:46:35</t>
        </is>
      </c>
      <c r="E604" s="3" t="inlineStr">
        <is>
          <t>2026-07-04 10:13</t>
        </is>
      </c>
      <c r="F604" s="3" t="n">
        <v>35.46</v>
      </c>
      <c r="G604" s="3" t="n">
        <v>3</v>
      </c>
      <c r="H604" s="3" t="n"/>
      <c r="I604" s="3" t="inlineStr"/>
      <c r="J604" s="3" t="inlineStr">
        <is>
          <t>Keeta</t>
        </is>
      </c>
      <c r="K604" s="3" t="inlineStr">
        <is>
          <t>****9568</t>
        </is>
      </c>
      <c r="L604" s="3" t="n"/>
      <c r="M604" s="3" t="inlineStr">
        <is>
          <t>***** 物流中心5樓</t>
        </is>
      </c>
      <c r="N604" s="3" t="inlineStr">
        <is>
          <t>北区</t>
        </is>
      </c>
      <c r="O604" s="3" t="inlineStr">
        <is>
          <t>香港</t>
        </is>
      </c>
      <c r="P604" s="3" t="inlineStr">
        <is>
          <t>香港特别行政区</t>
        </is>
      </c>
      <c r="Q604" s="3" t="n">
        <v>721441352</v>
      </c>
      <c r="R604" s="3" t="inlineStr">
        <is>
          <t>唐宮小聚(新港中心)SocialPlace(SilvercordTower)</t>
        </is>
      </c>
      <c r="S604" s="3" t="inlineStr">
        <is>
          <t>****31681362</t>
        </is>
      </c>
      <c r="T604" s="3" t="inlineStr">
        <is>
          <t>****31681362</t>
        </is>
      </c>
      <c r="U604" s="3" t="inlineStr">
        <is>
          <t>***** 樓303號舖</t>
        </is>
      </c>
      <c r="V604" s="3" t="inlineStr">
        <is>
          <t>香港</t>
        </is>
      </c>
      <c r="W604" s="3" t="inlineStr">
        <is>
          <t>无纺布【Preminum黑】/ 箱出</t>
        </is>
      </c>
      <c r="X604" s="3" t="inlineStr">
        <is>
          <t>ESS-SFTS-OTMS</t>
        </is>
      </c>
      <c r="Y604" s="3" t="n"/>
      <c r="Z604" s="3" t="inlineStr"/>
      <c r="AA604" s="3" t="inlineStr">
        <is>
          <t>寄付月結</t>
        </is>
      </c>
      <c r="AB604">
        <f>IFERROR(VLOOKUP(Q604&amp;"",對照表!$A:$B,1,FALSE),"")</f>
        <v/>
      </c>
      <c r="AC604">
        <f>IFERROR(VLOOKUP(Q604&amp;"",對照表!$A:$B,2,FALSE),"")</f>
        <v/>
      </c>
    </row>
    <row r="605">
      <c r="A605" s="3" t="inlineStr">
        <is>
          <t>SF5116616532901</t>
        </is>
      </c>
      <c r="B605" s="3" t="n">
        <v>58424825774348</v>
      </c>
      <c r="C605" s="3" t="inlineStr">
        <is>
          <t>已簽收</t>
        </is>
      </c>
      <c r="D605" s="3" t="inlineStr">
        <is>
          <t>2026-07-03 11:13:26</t>
        </is>
      </c>
      <c r="E605" s="3" t="inlineStr">
        <is>
          <t>2026-07-06 11:55</t>
        </is>
      </c>
      <c r="F605" s="3" t="n">
        <v>45</v>
      </c>
      <c r="G605" s="3" t="n">
        <v>3</v>
      </c>
      <c r="H605" s="3" t="n"/>
      <c r="I605" s="3" t="inlineStr"/>
      <c r="J605" s="3" t="inlineStr">
        <is>
          <t>Keeta</t>
        </is>
      </c>
      <c r="K605" s="3" t="inlineStr">
        <is>
          <t>****9568</t>
        </is>
      </c>
      <c r="L605" s="3" t="n"/>
      <c r="M605" s="3" t="inlineStr">
        <is>
          <t>***** 物流中心5樓</t>
        </is>
      </c>
      <c r="N605" s="3" t="inlineStr">
        <is>
          <t>北区</t>
        </is>
      </c>
      <c r="O605" s="3" t="inlineStr">
        <is>
          <t>香港</t>
        </is>
      </c>
      <c r="P605" s="3" t="inlineStr">
        <is>
          <t>香港特别行政区</t>
        </is>
      </c>
      <c r="Q605" s="3" t="n">
        <v>461918</v>
      </c>
      <c r="R605" s="3" t="inlineStr">
        <is>
          <t>十二味(荃灣千色匯)</t>
        </is>
      </c>
      <c r="S605" s="3" t="inlineStr">
        <is>
          <t>****94891715</t>
        </is>
      </c>
      <c r="T605" s="3" t="inlineStr">
        <is>
          <t>****94891715</t>
        </is>
      </c>
      <c r="U605" s="3" t="inlineStr">
        <is>
          <t>***** 3002號舖</t>
        </is>
      </c>
      <c r="V605" s="3" t="inlineStr">
        <is>
          <t>香港</t>
        </is>
      </c>
      <c r="W605" s="3" t="inlineStr">
        <is>
          <t>纸袋【通版】/ 箱出</t>
        </is>
      </c>
      <c r="X605" s="3" t="inlineStr">
        <is>
          <t>ESS-SFTS-OTMS</t>
        </is>
      </c>
      <c r="Y605" s="3" t="n"/>
      <c r="Z605" s="3" t="inlineStr"/>
      <c r="AA605" s="3" t="inlineStr">
        <is>
          <t>寄付月結</t>
        </is>
      </c>
      <c r="AB605">
        <f>IFERROR(VLOOKUP(Q605&amp;"",對照表!$A:$B,1,FALSE),"")</f>
        <v/>
      </c>
      <c r="AC605">
        <f>IFERROR(VLOOKUP(Q605&amp;"",對照表!$A:$B,2,FALSE),"")</f>
        <v/>
      </c>
    </row>
    <row r="606">
      <c r="A606" s="3" t="inlineStr">
        <is>
          <t>SF5116616533069</t>
        </is>
      </c>
      <c r="B606" s="3" t="n">
        <v>58424825774381</v>
      </c>
      <c r="C606" s="3" t="inlineStr">
        <is>
          <t>已簽收</t>
        </is>
      </c>
      <c r="D606" s="3" t="inlineStr">
        <is>
          <t>2026-07-03 15:45:50</t>
        </is>
      </c>
      <c r="E606" s="3" t="inlineStr">
        <is>
          <t>2026-07-04 10:12</t>
        </is>
      </c>
      <c r="F606" s="3" t="n">
        <v>41.9</v>
      </c>
      <c r="G606" s="3" t="n">
        <v>4</v>
      </c>
      <c r="H606" s="3" t="n"/>
      <c r="I606" s="3" t="inlineStr"/>
      <c r="J606" s="3" t="inlineStr">
        <is>
          <t>Keeta</t>
        </is>
      </c>
      <c r="K606" s="3" t="inlineStr">
        <is>
          <t>****9568</t>
        </is>
      </c>
      <c r="L606" s="3" t="n"/>
      <c r="M606" s="3" t="inlineStr">
        <is>
          <t>***** 物流中心5樓</t>
        </is>
      </c>
      <c r="N606" s="3" t="inlineStr">
        <is>
          <t>北区</t>
        </is>
      </c>
      <c r="O606" s="3" t="inlineStr">
        <is>
          <t>香港</t>
        </is>
      </c>
      <c r="P606" s="3" t="inlineStr">
        <is>
          <t>香港特别行政区</t>
        </is>
      </c>
      <c r="Q606" s="3" t="n">
        <v>721518292</v>
      </c>
      <c r="R606" s="3" t="inlineStr">
        <is>
          <t>當肉餅遇上蛋爆汁肉餅超入味旺角</t>
        </is>
      </c>
      <c r="S606" s="3" t="inlineStr">
        <is>
          <t>****57030360</t>
        </is>
      </c>
      <c r="T606" s="3" t="inlineStr">
        <is>
          <t>****57030360</t>
        </is>
      </c>
      <c r="U606" s="3" t="inlineStr">
        <is>
          <t>***** 威閣2樓06</t>
        </is>
      </c>
      <c r="V606" s="3" t="inlineStr">
        <is>
          <t>香港</t>
        </is>
      </c>
      <c r="W606" s="3" t="inlineStr">
        <is>
          <t>无纺布【规格三中号】/ 箱出, 无纺布【规格四大号】/ 箱出</t>
        </is>
      </c>
      <c r="X606" s="3" t="inlineStr">
        <is>
          <t>ESS-SFTS-OTMS</t>
        </is>
      </c>
      <c r="Y606" s="3" t="n"/>
      <c r="Z606" s="3" t="inlineStr"/>
      <c r="AA606" s="3" t="inlineStr">
        <is>
          <t>寄付月結</t>
        </is>
      </c>
      <c r="AB606">
        <f>IFERROR(VLOOKUP(Q606&amp;"",對照表!$A:$B,1,FALSE),"")</f>
        <v/>
      </c>
      <c r="AC606">
        <f>IFERROR(VLOOKUP(Q606&amp;"",對照表!$A:$B,2,FALSE),"")</f>
        <v/>
      </c>
    </row>
    <row r="607">
      <c r="A607" s="3" t="inlineStr">
        <is>
          <t>SF5116616532947</t>
        </is>
      </c>
      <c r="B607" s="3" t="n">
        <v>58424825774358</v>
      </c>
      <c r="C607" s="3" t="inlineStr">
        <is>
          <t>已簽收</t>
        </is>
      </c>
      <c r="D607" s="3" t="inlineStr">
        <is>
          <t>2026-07-03 15:32:27</t>
        </is>
      </c>
      <c r="E607" s="3" t="inlineStr">
        <is>
          <t>2026-07-04 17:04</t>
        </is>
      </c>
      <c r="F607" s="3" t="n">
        <v>46.4</v>
      </c>
      <c r="G607" s="3" t="n">
        <v>4</v>
      </c>
      <c r="H607" s="3" t="n"/>
      <c r="I607" s="3" t="inlineStr"/>
      <c r="J607" s="3" t="inlineStr">
        <is>
          <t>Keeta</t>
        </is>
      </c>
      <c r="K607" s="3" t="inlineStr">
        <is>
          <t>****9568</t>
        </is>
      </c>
      <c r="L607" s="3" t="n"/>
      <c r="M607" s="3" t="inlineStr">
        <is>
          <t>***** 物流中心5樓</t>
        </is>
      </c>
      <c r="N607" s="3" t="inlineStr">
        <is>
          <t>北区</t>
        </is>
      </c>
      <c r="O607" s="3" t="inlineStr">
        <is>
          <t>香港</t>
        </is>
      </c>
      <c r="P607" s="3" t="inlineStr">
        <is>
          <t>香港特别行政区</t>
        </is>
      </c>
      <c r="Q607" s="3" t="n">
        <v>721534388</v>
      </c>
      <c r="R607" s="3" t="inlineStr">
        <is>
          <t>串燒兄妹（旺角）</t>
        </is>
      </c>
      <c r="S607" s="3" t="inlineStr">
        <is>
          <t>****64189275</t>
        </is>
      </c>
      <c r="T607" s="3" t="inlineStr">
        <is>
          <t>****64189275</t>
        </is>
      </c>
      <c r="U607" s="3" t="inlineStr">
        <is>
          <t>***** 大廈 G/F</t>
        </is>
      </c>
      <c r="V607" s="3" t="inlineStr">
        <is>
          <t>香港</t>
        </is>
      </c>
      <c r="W607" s="3" t="inlineStr">
        <is>
          <t>无纺布【规格四大号】/ 箱出</t>
        </is>
      </c>
      <c r="X607" s="3" t="inlineStr">
        <is>
          <t>ESS-SFTS-OTMS</t>
        </is>
      </c>
      <c r="Y607" s="3" t="n"/>
      <c r="Z607" s="3" t="inlineStr"/>
      <c r="AA607" s="3" t="inlineStr">
        <is>
          <t>寄付月結</t>
        </is>
      </c>
      <c r="AB607">
        <f>IFERROR(VLOOKUP(Q607&amp;"",對照表!$A:$B,1,FALSE),"")</f>
        <v/>
      </c>
      <c r="AC607">
        <f>IFERROR(VLOOKUP(Q607&amp;"",對照表!$A:$B,2,FALSE),"")</f>
        <v/>
      </c>
    </row>
    <row r="608">
      <c r="A608" s="3" t="inlineStr">
        <is>
          <t>SF5116616532761</t>
        </is>
      </c>
      <c r="B608" s="3" t="n">
        <v>58424825774319</v>
      </c>
      <c r="C608" s="3" t="inlineStr">
        <is>
          <t>已簽收</t>
        </is>
      </c>
      <c r="D608" s="3" t="inlineStr">
        <is>
          <t>2026-07-03 11:45:13</t>
        </is>
      </c>
      <c r="E608" s="3" t="inlineStr">
        <is>
          <t>2026-07-04 11:06</t>
        </is>
      </c>
      <c r="F608" s="3" t="n">
        <v>47.28</v>
      </c>
      <c r="G608" s="3" t="n">
        <v>4</v>
      </c>
      <c r="H608" s="3" t="n"/>
      <c r="I608" s="3" t="inlineStr"/>
      <c r="J608" s="3" t="inlineStr">
        <is>
          <t>Keeta</t>
        </is>
      </c>
      <c r="K608" s="3" t="inlineStr">
        <is>
          <t>****9568</t>
        </is>
      </c>
      <c r="L608" s="3" t="n"/>
      <c r="M608" s="3" t="inlineStr">
        <is>
          <t>***** 物流中心5樓</t>
        </is>
      </c>
      <c r="N608" s="3" t="inlineStr">
        <is>
          <t>北区</t>
        </is>
      </c>
      <c r="O608" s="3" t="inlineStr">
        <is>
          <t>香港</t>
        </is>
      </c>
      <c r="P608" s="3" t="inlineStr">
        <is>
          <t>香港特别行政区</t>
        </is>
      </c>
      <c r="Q608" s="3" t="n">
        <v>478407</v>
      </c>
      <c r="R608" s="3" t="inlineStr">
        <is>
          <t>韓媽廚房(西營盤)(只此一家)(真韓國人主理)</t>
        </is>
      </c>
      <c r="S608" s="3" t="inlineStr">
        <is>
          <t>****61952850</t>
        </is>
      </c>
      <c r="T608" s="3" t="inlineStr">
        <is>
          <t>****61952850</t>
        </is>
      </c>
      <c r="U608" s="3" t="inlineStr">
        <is>
          <t>***** 福滿大廈地舖</t>
        </is>
      </c>
      <c r="V608" s="3" t="inlineStr">
        <is>
          <t>香港</t>
        </is>
      </c>
      <c r="W608" s="3" t="inlineStr">
        <is>
          <t>无纺布【Preminum黑】/ 箱出</t>
        </is>
      </c>
      <c r="X608" s="3" t="inlineStr">
        <is>
          <t>ESS-SFTS-OTMS</t>
        </is>
      </c>
      <c r="Y608" s="3" t="n"/>
      <c r="Z608" s="3" t="inlineStr"/>
      <c r="AA608" s="3" t="inlineStr">
        <is>
          <t>寄付月結</t>
        </is>
      </c>
      <c r="AB608">
        <f>IFERROR(VLOOKUP(Q608&amp;"",對照表!$A:$B,1,FALSE),"")</f>
        <v/>
      </c>
      <c r="AC608">
        <f>IFERROR(VLOOKUP(Q608&amp;"",對照表!$A:$B,2,FALSE),"")</f>
        <v/>
      </c>
    </row>
    <row r="609">
      <c r="A609" s="3" t="inlineStr">
        <is>
          <t>SF5116616532804</t>
        </is>
      </c>
      <c r="B609" s="3" t="n">
        <v>58424825774328</v>
      </c>
      <c r="C609" s="3" t="inlineStr">
        <is>
          <t>已簽收</t>
        </is>
      </c>
      <c r="D609" s="3" t="inlineStr">
        <is>
          <t>2026-07-03 13:49:40</t>
        </is>
      </c>
      <c r="E609" s="3" t="inlineStr">
        <is>
          <t>2026-07-04 15:21</t>
        </is>
      </c>
      <c r="F609" s="3" t="n">
        <v>34.8</v>
      </c>
      <c r="G609" s="3" t="n">
        <v>3</v>
      </c>
      <c r="H609" s="3" t="n"/>
      <c r="I609" s="3" t="inlineStr"/>
      <c r="J609" s="3" t="inlineStr">
        <is>
          <t>Keeta</t>
        </is>
      </c>
      <c r="K609" s="3" t="inlineStr">
        <is>
          <t>****9568</t>
        </is>
      </c>
      <c r="L609" s="3" t="n"/>
      <c r="M609" s="3" t="inlineStr">
        <is>
          <t>***** 物流中心5樓</t>
        </is>
      </c>
      <c r="N609" s="3" t="inlineStr">
        <is>
          <t>北区</t>
        </is>
      </c>
      <c r="O609" s="3" t="inlineStr">
        <is>
          <t>香港</t>
        </is>
      </c>
      <c r="P609" s="3" t="inlineStr">
        <is>
          <t>香港特别行政区</t>
        </is>
      </c>
      <c r="Q609" s="3" t="n">
        <v>471320</v>
      </c>
      <c r="R609" s="3" t="inlineStr">
        <is>
          <t>忠記粥品(灣仔)馳名生滾粥米味香濃</t>
        </is>
      </c>
      <c r="S609" s="3" t="inlineStr">
        <is>
          <t>****91713588</t>
        </is>
      </c>
      <c r="T609" s="3" t="inlineStr">
        <is>
          <t>****91713588</t>
        </is>
      </c>
      <c r="U609" s="3" t="inlineStr">
        <is>
          <t>***** 立興大廈E舖</t>
        </is>
      </c>
      <c r="V609" s="3" t="inlineStr">
        <is>
          <t>香港</t>
        </is>
      </c>
      <c r="W609" s="3" t="inlineStr">
        <is>
          <t>无纺布【规格四大号】/ 箱出</t>
        </is>
      </c>
      <c r="X609" s="3" t="inlineStr">
        <is>
          <t>ESS-SFTS-OTMS</t>
        </is>
      </c>
      <c r="Y609" s="3" t="n"/>
      <c r="Z609" s="3" t="inlineStr"/>
      <c r="AA609" s="3" t="inlineStr">
        <is>
          <t>寄付月結</t>
        </is>
      </c>
      <c r="AB609">
        <f>IFERROR(VLOOKUP(Q609&amp;"",對照表!$A:$B,1,FALSE),"")</f>
        <v/>
      </c>
      <c r="AC609">
        <f>IFERROR(VLOOKUP(Q609&amp;"",對照表!$A:$B,2,FALSE),"")</f>
        <v/>
      </c>
    </row>
    <row r="610">
      <c r="A610" s="3" t="inlineStr">
        <is>
          <t>SF5116616532822</t>
        </is>
      </c>
      <c r="B610" s="3" t="n">
        <v>58424825774333</v>
      </c>
      <c r="C610" s="3" t="inlineStr">
        <is>
          <t>已簽收</t>
        </is>
      </c>
      <c r="D610" s="3" t="inlineStr">
        <is>
          <t>2026-07-03 11:13:25</t>
        </is>
      </c>
      <c r="E610" s="3" t="inlineStr">
        <is>
          <t>2026-07-04 10:25</t>
        </is>
      </c>
      <c r="F610" s="3" t="n">
        <v>45</v>
      </c>
      <c r="G610" s="3" t="n">
        <v>3</v>
      </c>
      <c r="H610" s="3" t="n"/>
      <c r="I610" s="3" t="inlineStr"/>
      <c r="J610" s="3" t="inlineStr">
        <is>
          <t>Keeta</t>
        </is>
      </c>
      <c r="K610" s="3" t="inlineStr">
        <is>
          <t>****9568</t>
        </is>
      </c>
      <c r="L610" s="3" t="n"/>
      <c r="M610" s="3" t="inlineStr">
        <is>
          <t>***** 物流中心5樓</t>
        </is>
      </c>
      <c r="N610" s="3" t="inlineStr">
        <is>
          <t>北区</t>
        </is>
      </c>
      <c r="O610" s="3" t="inlineStr">
        <is>
          <t>香港</t>
        </is>
      </c>
      <c r="P610" s="3" t="inlineStr">
        <is>
          <t>香港特别行政区</t>
        </is>
      </c>
      <c r="Q610" s="3" t="n">
        <v>449064</v>
      </c>
      <c r="R610" s="3" t="inlineStr">
        <is>
          <t>十二味(黃大仙)</t>
        </is>
      </c>
      <c r="S610" s="3" t="inlineStr">
        <is>
          <t>****63672412</t>
        </is>
      </c>
      <c r="T610" s="3" t="inlineStr">
        <is>
          <t>****63672412</t>
        </is>
      </c>
      <c r="U610" s="3" t="inlineStr">
        <is>
          <t>***** 樓101號舖</t>
        </is>
      </c>
      <c r="V610" s="3" t="inlineStr">
        <is>
          <t>香港</t>
        </is>
      </c>
      <c r="W610" s="3" t="inlineStr">
        <is>
          <t>纸袋【通版】/ 箱出</t>
        </is>
      </c>
      <c r="X610" s="3" t="inlineStr">
        <is>
          <t>ESS-SFTS-OTMS</t>
        </is>
      </c>
      <c r="Y610" s="3" t="n"/>
      <c r="Z610" s="3" t="inlineStr"/>
      <c r="AA610" s="3" t="inlineStr">
        <is>
          <t>寄付月結</t>
        </is>
      </c>
      <c r="AB610">
        <f>IFERROR(VLOOKUP(Q610&amp;"",對照表!$A:$B,1,FALSE),"")</f>
        <v/>
      </c>
      <c r="AC610">
        <f>IFERROR(VLOOKUP(Q610&amp;"",對照表!$A:$B,2,FALSE),"")</f>
        <v/>
      </c>
    </row>
    <row r="611">
      <c r="A611" s="3" t="inlineStr">
        <is>
          <t>SF5116616532734</t>
        </is>
      </c>
      <c r="B611" s="3" t="n">
        <v>58424825774313</v>
      </c>
      <c r="C611" s="3" t="inlineStr">
        <is>
          <t>已簽收</t>
        </is>
      </c>
      <c r="D611" s="3" t="inlineStr">
        <is>
          <t>2026-07-03 15:32:33</t>
        </is>
      </c>
      <c r="E611" s="3" t="inlineStr">
        <is>
          <t>2026-07-04 10:30</t>
        </is>
      </c>
      <c r="F611" s="3" t="n">
        <v>11.6</v>
      </c>
      <c r="G611" s="3" t="n">
        <v>1</v>
      </c>
      <c r="H611" s="3" t="n"/>
      <c r="I611" s="3" t="inlineStr"/>
      <c r="J611" s="3" t="inlineStr">
        <is>
          <t>Keeta</t>
        </is>
      </c>
      <c r="K611" s="3" t="inlineStr">
        <is>
          <t>****9568</t>
        </is>
      </c>
      <c r="L611" s="3" t="n"/>
      <c r="M611" s="3" t="inlineStr">
        <is>
          <t>***** 物流中心5樓</t>
        </is>
      </c>
      <c r="N611" s="3" t="inlineStr">
        <is>
          <t>北区</t>
        </is>
      </c>
      <c r="O611" s="3" t="inlineStr">
        <is>
          <t>香港</t>
        </is>
      </c>
      <c r="P611" s="3" t="inlineStr">
        <is>
          <t>香港特别行政区</t>
        </is>
      </c>
      <c r="Q611" s="3" t="n">
        <v>576508</v>
      </c>
      <c r="R611" s="3" t="inlineStr">
        <is>
          <t>ChillSweet俏甜甜品（荃灣）</t>
        </is>
      </c>
      <c r="S611" s="3" t="inlineStr">
        <is>
          <t>****65865624</t>
        </is>
      </c>
      <c r="T611" s="3" t="inlineStr">
        <is>
          <t>****65865624</t>
        </is>
      </c>
      <c r="U611" s="3" t="inlineStr">
        <is>
          <t>***** 15樓29室</t>
        </is>
      </c>
      <c r="V611" s="3" t="inlineStr">
        <is>
          <t>香港</t>
        </is>
      </c>
      <c r="W611" s="3" t="inlineStr">
        <is>
          <t>无纺布【规格四大号】/ 箱出</t>
        </is>
      </c>
      <c r="X611" s="3" t="inlineStr">
        <is>
          <t>ESS-SFTS-OTMS</t>
        </is>
      </c>
      <c r="Y611" s="3" t="n"/>
      <c r="Z611" s="3" t="inlineStr"/>
      <c r="AA611" s="3" t="inlineStr">
        <is>
          <t>寄付月結</t>
        </is>
      </c>
      <c r="AB611">
        <f>IFERROR(VLOOKUP(Q611&amp;"",對照表!$A:$B,1,FALSE),"")</f>
        <v/>
      </c>
      <c r="AC611">
        <f>IFERROR(VLOOKUP(Q611&amp;"",對照表!$A:$B,2,FALSE),"")</f>
        <v/>
      </c>
    </row>
    <row r="612">
      <c r="A612" s="3" t="inlineStr">
        <is>
          <t>SF5116616532929</t>
        </is>
      </c>
      <c r="B612" s="3" t="n">
        <v>58424825774353</v>
      </c>
      <c r="C612" s="3" t="inlineStr">
        <is>
          <t>已簽收</t>
        </is>
      </c>
      <c r="D612" s="3" t="inlineStr">
        <is>
          <t>2026-07-03 15:11:10</t>
        </is>
      </c>
      <c r="E612" s="3" t="inlineStr">
        <is>
          <t>2026-07-04 11:12</t>
        </is>
      </c>
      <c r="F612" s="3" t="n">
        <v>4.48</v>
      </c>
      <c r="G612" s="3" t="n">
        <v>1</v>
      </c>
      <c r="H612" s="3" t="n"/>
      <c r="I612" s="3" t="inlineStr"/>
      <c r="J612" s="3" t="inlineStr">
        <is>
          <t>Keeta</t>
        </is>
      </c>
      <c r="K612" s="3" t="inlineStr">
        <is>
          <t>****9568</t>
        </is>
      </c>
      <c r="L612" s="3" t="n"/>
      <c r="M612" s="3" t="inlineStr">
        <is>
          <t>***** 物流中心5樓</t>
        </is>
      </c>
      <c r="N612" s="3" t="inlineStr">
        <is>
          <t>北区</t>
        </is>
      </c>
      <c r="O612" s="3" t="inlineStr">
        <is>
          <t>香港</t>
        </is>
      </c>
      <c r="P612" s="3" t="inlineStr">
        <is>
          <t>香港特别行政区</t>
        </is>
      </c>
      <c r="Q612" s="3" t="n">
        <v>721437397</v>
      </c>
      <c r="R612" s="3" t="inlineStr">
        <is>
          <t>沛利美食茶餐廳</t>
        </is>
      </c>
      <c r="S612" s="3" t="inlineStr">
        <is>
          <t>****94743830</t>
        </is>
      </c>
      <c r="T612" s="3" t="inlineStr">
        <is>
          <t>****94743830</t>
        </is>
      </c>
      <c r="U612" s="3" t="inlineStr">
        <is>
          <t>***** CF10號舖</t>
        </is>
      </c>
      <c r="V612" s="3" t="inlineStr">
        <is>
          <t>香港</t>
        </is>
      </c>
      <c r="W612" s="3" t="inlineStr">
        <is>
          <t>塑料袋【大】/ 扎出, 塑料袋【小】/ 扎出</t>
        </is>
      </c>
      <c r="X612" s="3" t="inlineStr">
        <is>
          <t>ESS-SFTS-OTMS</t>
        </is>
      </c>
      <c r="Y612" s="3" t="n"/>
      <c r="Z612" s="3" t="inlineStr"/>
      <c r="AA612" s="3" t="inlineStr">
        <is>
          <t>寄付月結</t>
        </is>
      </c>
      <c r="AB612">
        <f>IFERROR(VLOOKUP(Q612&amp;"",對照表!$A:$B,1,FALSE),"")</f>
        <v/>
      </c>
      <c r="AC612">
        <f>IFERROR(VLOOKUP(Q612&amp;"",對照表!$A:$B,2,FALSE),"")</f>
        <v/>
      </c>
    </row>
    <row r="613">
      <c r="A613" s="3" t="inlineStr">
        <is>
          <t>SF5116616533245</t>
        </is>
      </c>
      <c r="B613" s="3" t="n">
        <v>58424825774423</v>
      </c>
      <c r="C613" s="3" t="inlineStr">
        <is>
          <t>派送中</t>
        </is>
      </c>
      <c r="D613" s="3" t="inlineStr">
        <is>
          <t>2026-07-03 15:32:26</t>
        </is>
      </c>
      <c r="E613" s="3" t="n"/>
      <c r="F613" s="3" t="n">
        <v>46.4</v>
      </c>
      <c r="G613" s="3" t="n">
        <v>4</v>
      </c>
      <c r="H613" s="3" t="n"/>
      <c r="I613" s="3" t="inlineStr"/>
      <c r="J613" s="3" t="inlineStr">
        <is>
          <t>Keeta</t>
        </is>
      </c>
      <c r="K613" s="3" t="inlineStr">
        <is>
          <t>****9568</t>
        </is>
      </c>
      <c r="L613" s="3" t="n"/>
      <c r="M613" s="3" t="inlineStr">
        <is>
          <t>***** 物流中心5樓</t>
        </is>
      </c>
      <c r="N613" s="3" t="inlineStr">
        <is>
          <t>北区</t>
        </is>
      </c>
      <c r="O613" s="3" t="inlineStr">
        <is>
          <t>香港</t>
        </is>
      </c>
      <c r="P613" s="3" t="inlineStr">
        <is>
          <t>香港特别行政区</t>
        </is>
      </c>
      <c r="Q613" s="3" t="n">
        <v>481194</v>
      </c>
      <c r="R613" s="3" t="inlineStr">
        <is>
          <t>串燒兄妹(錦泰商場)</t>
        </is>
      </c>
      <c r="S613" s="3" t="inlineStr">
        <is>
          <t>****54431533</t>
        </is>
      </c>
      <c r="T613" s="3" t="inlineStr">
        <is>
          <t>****54431533</t>
        </is>
      </c>
      <c r="U613" s="3" t="inlineStr">
        <is>
          <t>***** 地下28號舖</t>
        </is>
      </c>
      <c r="V613" s="3" t="inlineStr">
        <is>
          <t>香港</t>
        </is>
      </c>
      <c r="W613" s="3" t="inlineStr">
        <is>
          <t>无纺布【规格四大号】/ 箱出</t>
        </is>
      </c>
      <c r="X613" s="3" t="inlineStr">
        <is>
          <t>ESS-SFTS-OTMS</t>
        </is>
      </c>
      <c r="Y613" s="3" t="n"/>
      <c r="Z613" s="3" t="inlineStr"/>
      <c r="AA613" s="3" t="inlineStr">
        <is>
          <t>寄付月結</t>
        </is>
      </c>
      <c r="AB613">
        <f>IFERROR(VLOOKUP(Q613&amp;"",對照表!$A:$B,1,FALSE),"")</f>
        <v/>
      </c>
      <c r="AC613">
        <f>IFERROR(VLOOKUP(Q613&amp;"",對照表!$A:$B,2,FALSE),"")</f>
        <v/>
      </c>
    </row>
    <row r="614">
      <c r="A614" s="3" t="inlineStr">
        <is>
          <t>SF5116616533272</t>
        </is>
      </c>
      <c r="B614" s="3" t="n">
        <v>58424825774428</v>
      </c>
      <c r="C614" s="3" t="inlineStr">
        <is>
          <t>已簽收</t>
        </is>
      </c>
      <c r="D614" s="3" t="inlineStr">
        <is>
          <t>2026-07-03 11:51:22</t>
        </is>
      </c>
      <c r="E614" s="3" t="inlineStr">
        <is>
          <t>2026-07-05 12:03</t>
        </is>
      </c>
      <c r="F614" s="3" t="n">
        <v>10.1</v>
      </c>
      <c r="G614" s="3" t="n">
        <v>1</v>
      </c>
      <c r="H614" s="3" t="n"/>
      <c r="I614" s="3" t="inlineStr"/>
      <c r="J614" s="3" t="inlineStr">
        <is>
          <t>Keeta</t>
        </is>
      </c>
      <c r="K614" s="3" t="inlineStr">
        <is>
          <t>****9568</t>
        </is>
      </c>
      <c r="L614" s="3" t="n"/>
      <c r="M614" s="3" t="inlineStr">
        <is>
          <t>***** 物流中心5樓</t>
        </is>
      </c>
      <c r="N614" s="3" t="inlineStr">
        <is>
          <t>北区</t>
        </is>
      </c>
      <c r="O614" s="3" t="inlineStr">
        <is>
          <t>香港</t>
        </is>
      </c>
      <c r="P614" s="3" t="inlineStr">
        <is>
          <t>香港特别行政区</t>
        </is>
      </c>
      <c r="Q614" s="3" t="n">
        <v>481395</v>
      </c>
      <c r="R614" s="3" t="inlineStr">
        <is>
          <t>旺福擀麵新品限時優惠1蚊1份煎餃售完即止</t>
        </is>
      </c>
      <c r="S614" s="3" t="inlineStr">
        <is>
          <t>****52821636</t>
        </is>
      </c>
      <c r="T614" s="3" t="inlineStr">
        <is>
          <t>****52821636</t>
        </is>
      </c>
      <c r="U614" s="3" t="inlineStr">
        <is>
          <t>***** 地下5E號舖</t>
        </is>
      </c>
      <c r="V614" s="3" t="inlineStr">
        <is>
          <t>香港</t>
        </is>
      </c>
      <c r="W614" s="3" t="inlineStr">
        <is>
          <t>无纺布【规格三中号】/ 箱出</t>
        </is>
      </c>
      <c r="X614" s="3" t="inlineStr">
        <is>
          <t>ESS-SFTS-OTMS</t>
        </is>
      </c>
      <c r="Y614" s="3" t="n"/>
      <c r="Z614" s="3" t="inlineStr"/>
      <c r="AA614" s="3" t="inlineStr">
        <is>
          <t>寄付月結</t>
        </is>
      </c>
      <c r="AB614">
        <f>IFERROR(VLOOKUP(Q614&amp;"",對照表!$A:$B,1,FALSE),"")</f>
        <v/>
      </c>
      <c r="AC614">
        <f>IFERROR(VLOOKUP(Q614&amp;"",對照表!$A:$B,2,FALSE),"")</f>
        <v/>
      </c>
    </row>
    <row r="615">
      <c r="A615" s="3" t="inlineStr">
        <is>
          <t>SF5116616533014</t>
        </is>
      </c>
      <c r="B615" s="3" t="n">
        <v>58424825774370</v>
      </c>
      <c r="C615" s="3" t="inlineStr">
        <is>
          <t>已簽收</t>
        </is>
      </c>
      <c r="D615" s="3" t="inlineStr">
        <is>
          <t>2026-07-03 11:45:23</t>
        </is>
      </c>
      <c r="E615" s="3" t="inlineStr">
        <is>
          <t>2026-07-04 20:51</t>
        </is>
      </c>
      <c r="F615" s="3" t="n">
        <v>70.92</v>
      </c>
      <c r="G615" s="3" t="n">
        <v>6</v>
      </c>
      <c r="H615" s="3" t="n"/>
      <c r="I615" s="3" t="inlineStr"/>
      <c r="J615" s="3" t="inlineStr">
        <is>
          <t>Keeta</t>
        </is>
      </c>
      <c r="K615" s="3" t="inlineStr">
        <is>
          <t>****9568</t>
        </is>
      </c>
      <c r="L615" s="3" t="n"/>
      <c r="M615" s="3" t="inlineStr">
        <is>
          <t>***** 物流中心5樓</t>
        </is>
      </c>
      <c r="N615" s="3" t="inlineStr">
        <is>
          <t>北区</t>
        </is>
      </c>
      <c r="O615" s="3" t="inlineStr">
        <is>
          <t>香港</t>
        </is>
      </c>
      <c r="P615" s="3" t="inlineStr">
        <is>
          <t>香港特别行政区</t>
        </is>
      </c>
      <c r="Q615" s="3" t="n">
        <v>721447356</v>
      </c>
      <c r="R615" s="3" t="inlineStr">
        <is>
          <t>唐宮小聚(TheLPlace)SocialPlace(TheLPlace)</t>
        </is>
      </c>
      <c r="S615" s="3" t="inlineStr">
        <is>
          <t>****35689666</t>
        </is>
      </c>
      <c r="T615" s="3" t="inlineStr">
        <is>
          <t>****35689666</t>
        </is>
      </c>
      <c r="U615" s="3" t="inlineStr">
        <is>
          <t>***** ace 2樓</t>
        </is>
      </c>
      <c r="V615" s="3" t="inlineStr">
        <is>
          <t>香港</t>
        </is>
      </c>
      <c r="W615" s="3" t="inlineStr">
        <is>
          <t>无纺布【Preminum黑】/ 箱出</t>
        </is>
      </c>
      <c r="X615" s="3" t="inlineStr">
        <is>
          <t>ESS-SFTS-OTMS</t>
        </is>
      </c>
      <c r="Y615" s="3" t="n"/>
      <c r="Z615" s="3" t="inlineStr"/>
      <c r="AA615" s="3" t="inlineStr">
        <is>
          <t>寄付月結</t>
        </is>
      </c>
      <c r="AB615">
        <f>IFERROR(VLOOKUP(Q615&amp;"",對照表!$A:$B,1,FALSE),"")</f>
        <v/>
      </c>
      <c r="AC615">
        <f>IFERROR(VLOOKUP(Q615&amp;"",對照表!$A:$B,2,FALSE),"")</f>
        <v/>
      </c>
    </row>
    <row r="616">
      <c r="A616" s="3" t="inlineStr">
        <is>
          <t>SF5116616532956</t>
        </is>
      </c>
      <c r="B616" s="3" t="n">
        <v>58424825774356</v>
      </c>
      <c r="C616" s="3" t="inlineStr">
        <is>
          <t>已簽收</t>
        </is>
      </c>
      <c r="D616" s="3" t="inlineStr">
        <is>
          <t>2026-07-03 14:33:21</t>
        </is>
      </c>
      <c r="E616" s="3" t="inlineStr">
        <is>
          <t>2026-07-04 12:58</t>
        </is>
      </c>
      <c r="F616" s="3" t="n">
        <v>15</v>
      </c>
      <c r="G616" s="3" t="n">
        <v>2</v>
      </c>
      <c r="H616" s="3" t="n"/>
      <c r="I616" s="3" t="inlineStr"/>
      <c r="J616" s="3" t="inlineStr">
        <is>
          <t>Keeta</t>
        </is>
      </c>
      <c r="K616" s="3" t="inlineStr">
        <is>
          <t>****9568</t>
        </is>
      </c>
      <c r="L616" s="3" t="n"/>
      <c r="M616" s="3" t="inlineStr">
        <is>
          <t>***** 物流中心5樓</t>
        </is>
      </c>
      <c r="N616" s="3" t="inlineStr">
        <is>
          <t>北区</t>
        </is>
      </c>
      <c r="O616" s="3" t="inlineStr">
        <is>
          <t>香港</t>
        </is>
      </c>
      <c r="P616" s="3" t="inlineStr">
        <is>
          <t>香港特别行政区</t>
        </is>
      </c>
      <c r="Q616" s="3" t="n">
        <v>488426</v>
      </c>
      <c r="R616" s="3" t="inlineStr">
        <is>
          <t>M2MammaMiaExpress意粉速遞（石排頭路）</t>
        </is>
      </c>
      <c r="S616" s="3" t="inlineStr">
        <is>
          <t>****62828613</t>
        </is>
      </c>
      <c r="T616" s="3" t="inlineStr">
        <is>
          <t>****62828613</t>
        </is>
      </c>
      <c r="U616" s="3" t="inlineStr">
        <is>
          <t>***** 座15樓4室</t>
        </is>
      </c>
      <c r="V616" s="3" t="inlineStr">
        <is>
          <t>香港</t>
        </is>
      </c>
      <c r="W616" s="3" t="inlineStr">
        <is>
          <t>无纺布【规格二双杯】/ 箱出</t>
        </is>
      </c>
      <c r="X616" s="3" t="inlineStr">
        <is>
          <t>ESS-SFTS-OTMS</t>
        </is>
      </c>
      <c r="Y616" s="3" t="n"/>
      <c r="Z616" s="3" t="inlineStr"/>
      <c r="AA616" s="3" t="inlineStr">
        <is>
          <t>寄付月結</t>
        </is>
      </c>
      <c r="AB616">
        <f>IFERROR(VLOOKUP(Q616&amp;"",對照表!$A:$B,1,FALSE),"")</f>
        <v/>
      </c>
      <c r="AC616">
        <f>IFERROR(VLOOKUP(Q616&amp;"",對照表!$A:$B,2,FALSE),"")</f>
        <v/>
      </c>
    </row>
    <row r="617">
      <c r="A617" s="3" t="inlineStr">
        <is>
          <t>SF5116616532983</t>
        </is>
      </c>
      <c r="B617" s="3" t="n">
        <v>58424825774366</v>
      </c>
      <c r="C617" s="3" t="inlineStr">
        <is>
          <t>已簽收</t>
        </is>
      </c>
      <c r="D617" s="3" t="inlineStr">
        <is>
          <t>2026-07-03 11:51:30</t>
        </is>
      </c>
      <c r="E617" s="3" t="inlineStr">
        <is>
          <t>2026-07-04 12:56</t>
        </is>
      </c>
      <c r="F617" s="3" t="n">
        <v>10.1</v>
      </c>
      <c r="G617" s="3" t="n">
        <v>1</v>
      </c>
      <c r="H617" s="3" t="n"/>
      <c r="I617" s="3" t="inlineStr"/>
      <c r="J617" s="3" t="inlineStr">
        <is>
          <t>Keeta</t>
        </is>
      </c>
      <c r="K617" s="3" t="inlineStr">
        <is>
          <t>****9568</t>
        </is>
      </c>
      <c r="L617" s="3" t="n"/>
      <c r="M617" s="3" t="inlineStr">
        <is>
          <t>***** 物流中心5樓</t>
        </is>
      </c>
      <c r="N617" s="3" t="inlineStr">
        <is>
          <t>北区</t>
        </is>
      </c>
      <c r="O617" s="3" t="inlineStr">
        <is>
          <t>香港</t>
        </is>
      </c>
      <c r="P617" s="3" t="inlineStr">
        <is>
          <t>香港特别行政区</t>
        </is>
      </c>
      <c r="Q617" s="3" t="n">
        <v>392471</v>
      </c>
      <c r="R617" s="3" t="inlineStr">
        <is>
          <t>川壽司(全新自選二人餐極尚丼堂食價登場)(深水埗)</t>
        </is>
      </c>
      <c r="S617" s="3" t="inlineStr">
        <is>
          <t>****97575653</t>
        </is>
      </c>
      <c r="T617" s="3" t="inlineStr">
        <is>
          <t>****97575653</t>
        </is>
      </c>
      <c r="U617" s="3" t="inlineStr">
        <is>
          <t>***** 角道352號</t>
        </is>
      </c>
      <c r="V617" s="3" t="inlineStr">
        <is>
          <t>香港</t>
        </is>
      </c>
      <c r="W617" s="3" t="inlineStr">
        <is>
          <t>无纺布【规格三中号】/ 箱出</t>
        </is>
      </c>
      <c r="X617" s="3" t="inlineStr">
        <is>
          <t>ESS-SFTS-OTMS</t>
        </is>
      </c>
      <c r="Y617" s="3" t="n"/>
      <c r="Z617" s="3" t="inlineStr"/>
      <c r="AA617" s="3" t="inlineStr">
        <is>
          <t>寄付月結</t>
        </is>
      </c>
      <c r="AB617">
        <f>IFERROR(VLOOKUP(Q617&amp;"",對照表!$A:$B,1,FALSE),"")</f>
        <v/>
      </c>
      <c r="AC617">
        <f>IFERROR(VLOOKUP(Q617&amp;"",對照表!$A:$B,2,FALSE),"")</f>
        <v/>
      </c>
    </row>
    <row r="618">
      <c r="A618" s="3" t="inlineStr">
        <is>
          <t>SF5116616533484</t>
        </is>
      </c>
      <c r="B618" s="3" t="n">
        <v>58424825806851</v>
      </c>
      <c r="C618" s="3" t="inlineStr">
        <is>
          <t>已簽收</t>
        </is>
      </c>
      <c r="D618" s="3" t="inlineStr">
        <is>
          <t>2026-07-03 10:31:08</t>
        </is>
      </c>
      <c r="E618" s="3" t="inlineStr">
        <is>
          <t>2026-07-04 11:09</t>
        </is>
      </c>
      <c r="F618" s="3" t="n">
        <v>11.6</v>
      </c>
      <c r="G618" s="3" t="n">
        <v>1</v>
      </c>
      <c r="H618" s="3" t="n"/>
      <c r="I618" s="3" t="inlineStr"/>
      <c r="J618" s="3" t="inlineStr">
        <is>
          <t>Keeta</t>
        </is>
      </c>
      <c r="K618" s="3" t="inlineStr">
        <is>
          <t>****9568</t>
        </is>
      </c>
      <c r="L618" s="3" t="n"/>
      <c r="M618" s="3" t="inlineStr">
        <is>
          <t>***** 物流中心5樓</t>
        </is>
      </c>
      <c r="N618" s="3" t="inlineStr">
        <is>
          <t>北区</t>
        </is>
      </c>
      <c r="O618" s="3" t="inlineStr">
        <is>
          <t>香港</t>
        </is>
      </c>
      <c r="P618" s="3" t="inlineStr">
        <is>
          <t>香港特别行政区</t>
        </is>
      </c>
      <c r="Q618" s="3" t="n">
        <v>448856</v>
      </c>
      <c r="R618" s="3" t="inlineStr">
        <is>
          <t>ElToroSteakHouseBar</t>
        </is>
      </c>
      <c r="S618" s="3" t="inlineStr">
        <is>
          <t>****28030105</t>
        </is>
      </c>
      <c r="T618" s="3" t="inlineStr">
        <is>
          <t>****28030105</t>
        </is>
      </c>
      <c r="U618" s="3" t="inlineStr">
        <is>
          <t>***** 110A號舖</t>
        </is>
      </c>
      <c r="V618" s="3" t="inlineStr">
        <is>
          <t>香港</t>
        </is>
      </c>
      <c r="W618" s="3" t="inlineStr">
        <is>
          <t>无纺布【规格四大号】/ 箱出</t>
        </is>
      </c>
      <c r="X618" s="3" t="inlineStr">
        <is>
          <t>ESS-SFTS-OTMS</t>
        </is>
      </c>
      <c r="Y618" s="3" t="n"/>
      <c r="Z618" s="3" t="inlineStr"/>
      <c r="AA618" s="3" t="inlineStr">
        <is>
          <t>寄付月結</t>
        </is>
      </c>
      <c r="AB618">
        <f>IFERROR(VLOOKUP(Q618&amp;"",對照表!$A:$B,1,FALSE),"")</f>
        <v/>
      </c>
      <c r="AC618">
        <f>IFERROR(VLOOKUP(Q618&amp;"",對照表!$A:$B,2,FALSE),"")</f>
        <v/>
      </c>
    </row>
    <row r="619">
      <c r="A619" s="3" t="inlineStr">
        <is>
          <t>SF5116616533448</t>
        </is>
      </c>
      <c r="B619" s="3" t="n">
        <v>58424825774465</v>
      </c>
      <c r="C619" s="3" t="inlineStr">
        <is>
          <t>已簽收</t>
        </is>
      </c>
      <c r="D619" s="3" t="inlineStr">
        <is>
          <t>2026-07-03 17:02:38</t>
        </is>
      </c>
      <c r="E619" s="3" t="inlineStr">
        <is>
          <t>2026-07-04 11:23</t>
        </is>
      </c>
      <c r="F619" s="3" t="n">
        <v>6</v>
      </c>
      <c r="G619" s="3" t="n">
        <v>1</v>
      </c>
      <c r="H619" s="3" t="n"/>
      <c r="I619" s="3" t="inlineStr"/>
      <c r="J619" s="3" t="inlineStr">
        <is>
          <t>Keeta</t>
        </is>
      </c>
      <c r="K619" s="3" t="inlineStr">
        <is>
          <t>****9568</t>
        </is>
      </c>
      <c r="L619" s="3" t="n"/>
      <c r="M619" s="3" t="inlineStr">
        <is>
          <t>***** 物流中心5樓</t>
        </is>
      </c>
      <c r="N619" s="3" t="inlineStr">
        <is>
          <t>北区</t>
        </is>
      </c>
      <c r="O619" s="3" t="inlineStr">
        <is>
          <t>香港</t>
        </is>
      </c>
      <c r="P619" s="3" t="inlineStr">
        <is>
          <t>香港特别行政区</t>
        </is>
      </c>
      <c r="Q619" s="3" t="n">
        <v>579828</v>
      </c>
      <c r="R619" s="3" t="inlineStr">
        <is>
          <t>湊湊火鍋茶憩超抵一人食(圍方)</t>
        </is>
      </c>
      <c r="S619" s="3" t="inlineStr">
        <is>
          <t>****24806828</t>
        </is>
      </c>
      <c r="T619" s="3" t="inlineStr">
        <is>
          <t>****24806828</t>
        </is>
      </c>
      <c r="U619" s="3" t="inlineStr">
        <is>
          <t>***** 樓327號舖</t>
        </is>
      </c>
      <c r="V619" s="3" t="inlineStr">
        <is>
          <t>香港</t>
        </is>
      </c>
      <c r="W619" s="3" t="inlineStr">
        <is>
          <t>无纺布【规格一单杯】/ 箱出</t>
        </is>
      </c>
      <c r="X619" s="3" t="inlineStr">
        <is>
          <t>ESS-SFTS-OTMS</t>
        </is>
      </c>
      <c r="Y619" s="3" t="n"/>
      <c r="Z619" s="3" t="inlineStr"/>
      <c r="AA619" s="3" t="inlineStr">
        <is>
          <t>寄付月結</t>
        </is>
      </c>
      <c r="AB619">
        <f>IFERROR(VLOOKUP(Q619&amp;"",對照表!$A:$B,1,FALSE),"")</f>
        <v/>
      </c>
      <c r="AC619">
        <f>IFERROR(VLOOKUP(Q619&amp;"",對照表!$A:$B,2,FALSE),"")</f>
        <v/>
      </c>
    </row>
    <row r="620">
      <c r="A620" s="3" t="inlineStr">
        <is>
          <t>SF5116616533041</t>
        </is>
      </c>
      <c r="B620" s="3" t="n">
        <v>58424825774379</v>
      </c>
      <c r="C620" s="3" t="inlineStr">
        <is>
          <t>已簽收</t>
        </is>
      </c>
      <c r="D620" s="3" t="inlineStr">
        <is>
          <t>2026-07-03 16:50:24</t>
        </is>
      </c>
      <c r="E620" s="3" t="inlineStr">
        <is>
          <t>2026-07-04 10:34</t>
        </is>
      </c>
      <c r="F620" s="3" t="n">
        <v>31.2</v>
      </c>
      <c r="G620" s="3" t="n">
        <v>3</v>
      </c>
      <c r="H620" s="3" t="n"/>
      <c r="I620" s="3" t="inlineStr"/>
      <c r="J620" s="3" t="inlineStr">
        <is>
          <t>Keeta</t>
        </is>
      </c>
      <c r="K620" s="3" t="inlineStr">
        <is>
          <t>****9568</t>
        </is>
      </c>
      <c r="L620" s="3" t="n"/>
      <c r="M620" s="3" t="inlineStr">
        <is>
          <t>***** 物流中心5樓</t>
        </is>
      </c>
      <c r="N620" s="3" t="inlineStr">
        <is>
          <t>北区</t>
        </is>
      </c>
      <c r="O620" s="3" t="inlineStr">
        <is>
          <t>香港</t>
        </is>
      </c>
      <c r="P620" s="3" t="inlineStr">
        <is>
          <t>香港特别行政区</t>
        </is>
      </c>
      <c r="Q620" s="3" t="n">
        <v>721527349</v>
      </c>
      <c r="R620" s="3" t="inlineStr">
        <is>
          <t>綠盒舍（輕食沙律 新鮮果蔬優質蛋白）</t>
        </is>
      </c>
      <c r="S620" s="3" t="inlineStr">
        <is>
          <t>****90200530</t>
        </is>
      </c>
      <c r="T620" s="3" t="inlineStr">
        <is>
          <t>****90200530</t>
        </is>
      </c>
      <c r="U620" s="3" t="inlineStr">
        <is>
          <t>***** 樓203號舖</t>
        </is>
      </c>
      <c r="V620" s="3" t="inlineStr">
        <is>
          <t>香港</t>
        </is>
      </c>
      <c r="W620" s="3" t="inlineStr">
        <is>
          <t>塑料袋【大】/ 扎出, 纸袋【通版】/ 箱出</t>
        </is>
      </c>
      <c r="X620" s="3" t="inlineStr">
        <is>
          <t>ESS-SFTS-OTMS</t>
        </is>
      </c>
      <c r="Y620" s="3" t="n"/>
      <c r="Z620" s="3" t="inlineStr"/>
      <c r="AA620" s="3" t="inlineStr">
        <is>
          <t>寄付月結</t>
        </is>
      </c>
      <c r="AB620">
        <f>IFERROR(VLOOKUP(Q620&amp;"",對照表!$A:$B,1,FALSE),"")</f>
        <v/>
      </c>
      <c r="AC620">
        <f>IFERROR(VLOOKUP(Q620&amp;"",對照表!$A:$B,2,FALSE),"")</f>
        <v/>
      </c>
    </row>
    <row r="621">
      <c r="A621" s="3" t="inlineStr">
        <is>
          <t>SF5116616533254</t>
        </is>
      </c>
      <c r="B621" s="3" t="n">
        <v>58424825774425</v>
      </c>
      <c r="C621" s="3" t="inlineStr">
        <is>
          <t>已簽收</t>
        </is>
      </c>
      <c r="D621" s="3" t="inlineStr">
        <is>
          <t>2026-07-03 15:10:15</t>
        </is>
      </c>
      <c r="E621" s="3" t="inlineStr">
        <is>
          <t>2026-07-04 14:04</t>
        </is>
      </c>
      <c r="F621" s="3" t="n">
        <v>2</v>
      </c>
      <c r="G621" s="3" t="n">
        <v>1</v>
      </c>
      <c r="H621" s="3" t="n"/>
      <c r="I621" s="3" t="inlineStr"/>
      <c r="J621" s="3" t="inlineStr">
        <is>
          <t>Keeta</t>
        </is>
      </c>
      <c r="K621" s="3" t="inlineStr">
        <is>
          <t>****9568</t>
        </is>
      </c>
      <c r="L621" s="3" t="n"/>
      <c r="M621" s="3" t="inlineStr">
        <is>
          <t>***** 物流中心5樓</t>
        </is>
      </c>
      <c r="N621" s="3" t="inlineStr">
        <is>
          <t>北区</t>
        </is>
      </c>
      <c r="O621" s="3" t="inlineStr">
        <is>
          <t>香港</t>
        </is>
      </c>
      <c r="P621" s="3" t="inlineStr">
        <is>
          <t>香港特别行政区</t>
        </is>
      </c>
      <c r="Q621" s="3" t="n">
        <v>468620</v>
      </c>
      <c r="R621" s="3" t="inlineStr">
        <is>
          <t>萬福堂茶業（老字號自家製涼茶）</t>
        </is>
      </c>
      <c r="S621" s="3" t="inlineStr">
        <is>
          <t>****56286399</t>
        </is>
      </c>
      <c r="T621" s="3" t="inlineStr">
        <is>
          <t>****56286399</t>
        </is>
      </c>
      <c r="U621" s="3" t="inlineStr">
        <is>
          <t>***** 6號地下B舖</t>
        </is>
      </c>
      <c r="V621" s="3" t="inlineStr">
        <is>
          <t>香港</t>
        </is>
      </c>
      <c r="W621" s="3" t="inlineStr">
        <is>
          <t>塑料袋【小】/ 扎出, 塑料袋【大】/ 扎出</t>
        </is>
      </c>
      <c r="X621" s="3" t="inlineStr">
        <is>
          <t>ESS-SFTS-OTMS</t>
        </is>
      </c>
      <c r="Y621" s="3" t="n"/>
      <c r="Z621" s="3" t="inlineStr"/>
      <c r="AA621" s="3" t="inlineStr">
        <is>
          <t>寄付月結</t>
        </is>
      </c>
      <c r="AB621">
        <f>IFERROR(VLOOKUP(Q621&amp;"",對照表!$A:$B,1,FALSE),"")</f>
        <v/>
      </c>
      <c r="AC621">
        <f>IFERROR(VLOOKUP(Q621&amp;"",對照表!$A:$B,2,FALSE),"")</f>
        <v/>
      </c>
    </row>
    <row r="622">
      <c r="A622" s="3" t="inlineStr">
        <is>
          <t>SF5116616533379</t>
        </is>
      </c>
      <c r="B622" s="3" t="n">
        <v>58424825774448</v>
      </c>
      <c r="C622" s="3" t="inlineStr">
        <is>
          <t>已簽收</t>
        </is>
      </c>
      <c r="D622" s="3" t="inlineStr">
        <is>
          <t>2026-07-03 12:13:04</t>
        </is>
      </c>
      <c r="E622" s="3" t="inlineStr">
        <is>
          <t>2026-07-04 16:02</t>
        </is>
      </c>
      <c r="F622" s="3" t="n">
        <v>11.6</v>
      </c>
      <c r="G622" s="3" t="n">
        <v>1</v>
      </c>
      <c r="H622" s="3" t="n"/>
      <c r="I622" s="3" t="inlineStr"/>
      <c r="J622" s="3" t="inlineStr">
        <is>
          <t>Keeta</t>
        </is>
      </c>
      <c r="K622" s="3" t="inlineStr">
        <is>
          <t>****9568</t>
        </is>
      </c>
      <c r="L622" s="3" t="n"/>
      <c r="M622" s="3" t="inlineStr">
        <is>
          <t>***** 物流中心5樓</t>
        </is>
      </c>
      <c r="N622" s="3" t="inlineStr">
        <is>
          <t>北区</t>
        </is>
      </c>
      <c r="O622" s="3" t="inlineStr">
        <is>
          <t>香港</t>
        </is>
      </c>
      <c r="P622" s="3" t="inlineStr">
        <is>
          <t>香港特别行政区</t>
        </is>
      </c>
      <c r="Q622" s="3" t="n">
        <v>468622</v>
      </c>
      <c r="R622" s="3" t="inlineStr">
        <is>
          <t>甜匠SoulSweet</t>
        </is>
      </c>
      <c r="S622" s="3" t="inlineStr">
        <is>
          <t>****39565254</t>
        </is>
      </c>
      <c r="T622" s="3" t="inlineStr">
        <is>
          <t>****39565254</t>
        </is>
      </c>
      <c r="U622" s="3" t="inlineStr">
        <is>
          <t>***** 2-13號舖</t>
        </is>
      </c>
      <c r="V622" s="3" t="inlineStr">
        <is>
          <t>香港</t>
        </is>
      </c>
      <c r="W622" s="3" t="inlineStr">
        <is>
          <t>无纺布【规格四大号】/ 箱出</t>
        </is>
      </c>
      <c r="X622" s="3" t="inlineStr">
        <is>
          <t>ESS-SFTS-OTMS</t>
        </is>
      </c>
      <c r="Y622" s="3" t="n"/>
      <c r="Z622" s="3" t="inlineStr"/>
      <c r="AA622" s="3" t="inlineStr">
        <is>
          <t>寄付月結</t>
        </is>
      </c>
      <c r="AB622">
        <f>IFERROR(VLOOKUP(Q622&amp;"",對照表!$A:$B,1,FALSE),"")</f>
        <v/>
      </c>
      <c r="AC622">
        <f>IFERROR(VLOOKUP(Q622&amp;"",對照表!$A:$B,2,FALSE),"")</f>
        <v/>
      </c>
    </row>
    <row r="623">
      <c r="A623" s="3" t="inlineStr">
        <is>
          <t>SF5116616533397</t>
        </is>
      </c>
      <c r="B623" s="3" t="n">
        <v>58424825774453</v>
      </c>
      <c r="C623" s="3" t="inlineStr">
        <is>
          <t>已簽收</t>
        </is>
      </c>
      <c r="D623" s="3" t="inlineStr">
        <is>
          <t>2026-07-03 10:51:52</t>
        </is>
      </c>
      <c r="E623" s="3" t="inlineStr">
        <is>
          <t>2026-07-04 12:34</t>
        </is>
      </c>
      <c r="F623" s="3" t="n">
        <v>4.81</v>
      </c>
      <c r="G623" s="3" t="n">
        <v>1</v>
      </c>
      <c r="H623" s="3" t="n"/>
      <c r="I623" s="3" t="inlineStr"/>
      <c r="J623" s="3" t="inlineStr">
        <is>
          <t>Keeta</t>
        </is>
      </c>
      <c r="K623" s="3" t="inlineStr">
        <is>
          <t>****9568</t>
        </is>
      </c>
      <c r="L623" s="3" t="n"/>
      <c r="M623" s="3" t="inlineStr">
        <is>
          <t>***** 物流中心5樓</t>
        </is>
      </c>
      <c r="N623" s="3" t="inlineStr">
        <is>
          <t>北区</t>
        </is>
      </c>
      <c r="O623" s="3" t="inlineStr">
        <is>
          <t>香港</t>
        </is>
      </c>
      <c r="P623" s="3" t="inlineStr">
        <is>
          <t>香港特别行政区</t>
        </is>
      </c>
      <c r="Q623" s="3" t="n">
        <v>721443359</v>
      </c>
      <c r="R623" s="3" t="inlineStr">
        <is>
          <t>箐越越式小食(彩明)足料又惹味極之高質</t>
        </is>
      </c>
      <c r="S623" s="3" t="inlineStr">
        <is>
          <t>****55145195</t>
        </is>
      </c>
      <c r="T623" s="3" t="inlineStr">
        <is>
          <t>****55145195</t>
        </is>
      </c>
      <c r="U623" s="3" t="inlineStr">
        <is>
          <t>***** CM63號鋪</t>
        </is>
      </c>
      <c r="V623" s="3" t="inlineStr">
        <is>
          <t>香港</t>
        </is>
      </c>
      <c r="W623" s="3" t="inlineStr">
        <is>
          <t>塑料袋【大】/ 扎出</t>
        </is>
      </c>
      <c r="X623" s="3" t="inlineStr">
        <is>
          <t>ESS-SFTS-OTMS</t>
        </is>
      </c>
      <c r="Y623" s="3" t="n"/>
      <c r="Z623" s="3" t="inlineStr"/>
      <c r="AA623" s="3" t="inlineStr">
        <is>
          <t>寄付月結</t>
        </is>
      </c>
      <c r="AB623">
        <f>IFERROR(VLOOKUP(Q623&amp;"",對照表!$A:$B,1,FALSE),"")</f>
        <v/>
      </c>
      <c r="AC623">
        <f>IFERROR(VLOOKUP(Q623&amp;"",對照表!$A:$B,2,FALSE),"")</f>
        <v/>
      </c>
    </row>
    <row r="624">
      <c r="A624" s="3" t="inlineStr">
        <is>
          <t>SF5116616533420</t>
        </is>
      </c>
      <c r="B624" s="3" t="n">
        <v>58424825774460</v>
      </c>
      <c r="C624" s="3" t="inlineStr">
        <is>
          <t>已簽收</t>
        </is>
      </c>
      <c r="D624" s="3" t="inlineStr">
        <is>
          <t>2026-07-03 14:33:23</t>
        </is>
      </c>
      <c r="E624" s="3" t="inlineStr">
        <is>
          <t>2026-07-04 12:22</t>
        </is>
      </c>
      <c r="F624" s="3" t="n">
        <v>15</v>
      </c>
      <c r="G624" s="3" t="n">
        <v>2</v>
      </c>
      <c r="H624" s="3" t="n"/>
      <c r="I624" s="3" t="inlineStr"/>
      <c r="J624" s="3" t="inlineStr">
        <is>
          <t>Keeta</t>
        </is>
      </c>
      <c r="K624" s="3" t="inlineStr">
        <is>
          <t>****9568</t>
        </is>
      </c>
      <c r="L624" s="3" t="n"/>
      <c r="M624" s="3" t="inlineStr">
        <is>
          <t>***** 物流中心5樓</t>
        </is>
      </c>
      <c r="N624" s="3" t="inlineStr">
        <is>
          <t>北区</t>
        </is>
      </c>
      <c r="O624" s="3" t="inlineStr">
        <is>
          <t>香港</t>
        </is>
      </c>
      <c r="P624" s="3" t="inlineStr">
        <is>
          <t>香港特别行政区</t>
        </is>
      </c>
      <c r="Q624" s="3" t="n">
        <v>560126</v>
      </c>
      <c r="R624" s="3" t="inlineStr">
        <is>
          <t>翠華餐廳(尚翠)</t>
        </is>
      </c>
      <c r="S624" s="3" t="inlineStr">
        <is>
          <t>****27608882</t>
        </is>
      </c>
      <c r="T624" s="3" t="inlineStr">
        <is>
          <t>****27608882</t>
        </is>
      </c>
      <c r="U624" s="3" t="inlineStr">
        <is>
          <t>***** 下1及2號舖</t>
        </is>
      </c>
      <c r="V624" s="3" t="inlineStr">
        <is>
          <t>香港</t>
        </is>
      </c>
      <c r="W624" s="3" t="inlineStr">
        <is>
          <t>无纺布【规格二双杯】/ 箱出</t>
        </is>
      </c>
      <c r="X624" s="3" t="inlineStr">
        <is>
          <t>ESS-SFTS-OTMS</t>
        </is>
      </c>
      <c r="Y624" s="3" t="n"/>
      <c r="Z624" s="3" t="inlineStr"/>
      <c r="AA624" s="3" t="inlineStr">
        <is>
          <t>寄付月結</t>
        </is>
      </c>
      <c r="AB624">
        <f>IFERROR(VLOOKUP(Q624&amp;"",對照表!$A:$B,1,FALSE),"")</f>
        <v/>
      </c>
      <c r="AC624">
        <f>IFERROR(VLOOKUP(Q624&amp;"",對照表!$A:$B,2,FALSE),"")</f>
        <v/>
      </c>
    </row>
    <row r="625">
      <c r="A625" s="3" t="inlineStr">
        <is>
          <t>SF5116616533148</t>
        </is>
      </c>
      <c r="B625" s="3" t="n">
        <v>58424825774400</v>
      </c>
      <c r="C625" s="3" t="inlineStr">
        <is>
          <t>已簽收</t>
        </is>
      </c>
      <c r="D625" s="3" t="inlineStr">
        <is>
          <t>2026-07-03 14:33:22</t>
        </is>
      </c>
      <c r="E625" s="3" t="inlineStr">
        <is>
          <t>2026-07-04 13:46</t>
        </is>
      </c>
      <c r="F625" s="3" t="n">
        <v>15</v>
      </c>
      <c r="G625" s="3" t="n">
        <v>2</v>
      </c>
      <c r="H625" s="3" t="n"/>
      <c r="I625" s="3" t="inlineStr"/>
      <c r="J625" s="3" t="inlineStr">
        <is>
          <t>Keeta</t>
        </is>
      </c>
      <c r="K625" s="3" t="inlineStr">
        <is>
          <t>****9568</t>
        </is>
      </c>
      <c r="L625" s="3" t="n"/>
      <c r="M625" s="3" t="inlineStr">
        <is>
          <t>***** 物流中心5樓</t>
        </is>
      </c>
      <c r="N625" s="3" t="inlineStr">
        <is>
          <t>北区</t>
        </is>
      </c>
      <c r="O625" s="3" t="inlineStr">
        <is>
          <t>香港</t>
        </is>
      </c>
      <c r="P625" s="3" t="inlineStr">
        <is>
          <t>香港特别行政区</t>
        </is>
      </c>
      <c r="Q625" s="3" t="n">
        <v>569984</v>
      </c>
      <c r="R625" s="3" t="inlineStr">
        <is>
          <t>翠華餐廳(富翠)</t>
        </is>
      </c>
      <c r="S625" s="3" t="inlineStr">
        <is>
          <t>****28112877</t>
        </is>
      </c>
      <c r="T625" s="3" t="inlineStr">
        <is>
          <t>****28112877</t>
        </is>
      </c>
      <c r="U625" s="3" t="inlineStr">
        <is>
          <t>***** 樓101號舖</t>
        </is>
      </c>
      <c r="V625" s="3" t="inlineStr">
        <is>
          <t>香港</t>
        </is>
      </c>
      <c r="W625" s="3" t="inlineStr">
        <is>
          <t>无纺布【规格二双杯】/ 箱出</t>
        </is>
      </c>
      <c r="X625" s="3" t="inlineStr">
        <is>
          <t>ESS-SFTS-OTMS</t>
        </is>
      </c>
      <c r="Y625" s="3" t="n"/>
      <c r="Z625" s="3" t="inlineStr"/>
      <c r="AA625" s="3" t="inlineStr">
        <is>
          <t>寄付月結</t>
        </is>
      </c>
      <c r="AB625">
        <f>IFERROR(VLOOKUP(Q625&amp;"",對照表!$A:$B,1,FALSE),"")</f>
        <v/>
      </c>
      <c r="AC625">
        <f>IFERROR(VLOOKUP(Q625&amp;"",對照表!$A:$B,2,FALSE),"")</f>
        <v/>
      </c>
    </row>
    <row r="626">
      <c r="A626" s="3" t="inlineStr">
        <is>
          <t>SF5116616532910</t>
        </is>
      </c>
      <c r="B626" s="3" t="n">
        <v>58424825774350</v>
      </c>
      <c r="C626" s="3" t="inlineStr">
        <is>
          <t>已簽收</t>
        </is>
      </c>
      <c r="D626" s="3" t="inlineStr">
        <is>
          <t>2026-07-03 16:46:00</t>
        </is>
      </c>
      <c r="E626" s="3" t="inlineStr">
        <is>
          <t>2026-07-04 13:21</t>
        </is>
      </c>
      <c r="F626" s="3" t="n">
        <v>47.36</v>
      </c>
      <c r="G626" s="3" t="n">
        <v>4</v>
      </c>
      <c r="H626" s="3" t="n"/>
      <c r="I626" s="3" t="inlineStr"/>
      <c r="J626" s="3" t="inlineStr">
        <is>
          <t>Keeta</t>
        </is>
      </c>
      <c r="K626" s="3" t="inlineStr">
        <is>
          <t>****9568</t>
        </is>
      </c>
      <c r="L626" s="3" t="n"/>
      <c r="M626" s="3" t="inlineStr">
        <is>
          <t>***** 物流中心5樓</t>
        </is>
      </c>
      <c r="N626" s="3" t="inlineStr">
        <is>
          <t>北区</t>
        </is>
      </c>
      <c r="O626" s="3" t="inlineStr">
        <is>
          <t>香港</t>
        </is>
      </c>
      <c r="P626" s="3" t="inlineStr">
        <is>
          <t>香港特别行政区</t>
        </is>
      </c>
      <c r="Q626" s="3" t="n">
        <v>486101</v>
      </c>
      <c r="R626" s="3" t="inlineStr">
        <is>
          <t>韓媽廚房長沙灣(只此一家)(真韓國人主理)</t>
        </is>
      </c>
      <c r="S626" s="3" t="inlineStr">
        <is>
          <t>****61952850</t>
        </is>
      </c>
      <c r="T626" s="3" t="inlineStr">
        <is>
          <t>****61952850</t>
        </is>
      </c>
      <c r="U626" s="3" t="inlineStr">
        <is>
          <t>***** 商場地下4鋪</t>
        </is>
      </c>
      <c r="V626" s="3" t="inlineStr">
        <is>
          <t>香港</t>
        </is>
      </c>
      <c r="W626" s="3" t="inlineStr">
        <is>
          <t>无纺布【Preminum黑】/ 箱出, 纸袋【Preminum黑】/ 箱出</t>
        </is>
      </c>
      <c r="X626" s="3" t="inlineStr">
        <is>
          <t>ESS-SFTS-OTMS</t>
        </is>
      </c>
      <c r="Y626" s="3" t="n"/>
      <c r="Z626" s="3" t="inlineStr"/>
      <c r="AA626" s="3" t="inlineStr">
        <is>
          <t>寄付月結</t>
        </is>
      </c>
      <c r="AB626">
        <f>IFERROR(VLOOKUP(Q626&amp;"",對照表!$A:$B,1,FALSE),"")</f>
        <v/>
      </c>
      <c r="AC626">
        <f>IFERROR(VLOOKUP(Q626&amp;"",對照表!$A:$B,2,FALSE),"")</f>
        <v/>
      </c>
    </row>
    <row r="627">
      <c r="A627" s="3" t="inlineStr">
        <is>
          <t>SF5116616532877</t>
        </is>
      </c>
      <c r="B627" s="3" t="n">
        <v>58424825774342</v>
      </c>
      <c r="C627" s="3" t="inlineStr">
        <is>
          <t>已簽收</t>
        </is>
      </c>
      <c r="D627" s="3" t="inlineStr">
        <is>
          <t>2026-07-03 11:13:35</t>
        </is>
      </c>
      <c r="E627" s="3" t="inlineStr">
        <is>
          <t>2026-07-04 15:03</t>
        </is>
      </c>
      <c r="F627" s="3" t="n">
        <v>45</v>
      </c>
      <c r="G627" s="3" t="n">
        <v>3</v>
      </c>
      <c r="H627" s="3" t="n"/>
      <c r="I627" s="3" t="inlineStr"/>
      <c r="J627" s="3" t="inlineStr">
        <is>
          <t>Keeta</t>
        </is>
      </c>
      <c r="K627" s="3" t="inlineStr">
        <is>
          <t>****9568</t>
        </is>
      </c>
      <c r="L627" s="3" t="n"/>
      <c r="M627" s="3" t="inlineStr">
        <is>
          <t>***** 物流中心5樓</t>
        </is>
      </c>
      <c r="N627" s="3" t="inlineStr">
        <is>
          <t>北区</t>
        </is>
      </c>
      <c r="O627" s="3" t="inlineStr">
        <is>
          <t>香港</t>
        </is>
      </c>
      <c r="P627" s="3" t="inlineStr">
        <is>
          <t>香港特别行政区</t>
        </is>
      </c>
      <c r="Q627" s="3" t="n">
        <v>579848</v>
      </c>
      <c r="R627" s="3" t="inlineStr">
        <is>
          <t>十二味(堅尼地城)</t>
        </is>
      </c>
      <c r="S627" s="3" t="inlineStr">
        <is>
          <t>****67901070</t>
        </is>
      </c>
      <c r="T627" s="3" t="inlineStr">
        <is>
          <t>****67901070</t>
        </is>
      </c>
      <c r="U627" s="3" t="inlineStr">
        <is>
          <t>***** 下2-4號舖</t>
        </is>
      </c>
      <c r="V627" s="3" t="inlineStr">
        <is>
          <t>香港</t>
        </is>
      </c>
      <c r="W627" s="3" t="inlineStr">
        <is>
          <t>纸袋【通版】/ 箱出</t>
        </is>
      </c>
      <c r="X627" s="3" t="inlineStr">
        <is>
          <t>ESS-SFTS-OTMS</t>
        </is>
      </c>
      <c r="Y627" s="3" t="n"/>
      <c r="Z627" s="3" t="inlineStr"/>
      <c r="AA627" s="3" t="inlineStr">
        <is>
          <t>寄付月結</t>
        </is>
      </c>
      <c r="AB627">
        <f>IFERROR(VLOOKUP(Q627&amp;"",對照表!$A:$B,1,FALSE),"")</f>
        <v/>
      </c>
      <c r="AC627">
        <f>IFERROR(VLOOKUP(Q627&amp;"",對照表!$A:$B,2,FALSE),"")</f>
        <v/>
      </c>
    </row>
    <row r="628">
      <c r="A628" s="3" t="inlineStr">
        <is>
          <t>SF5116616533333</t>
        </is>
      </c>
      <c r="B628" s="3" t="n">
        <v>58424825774440</v>
      </c>
      <c r="C628" s="3" t="inlineStr">
        <is>
          <t>已簽收</t>
        </is>
      </c>
      <c r="D628" s="3" t="inlineStr">
        <is>
          <t>2026-07-03 15:32:21</t>
        </is>
      </c>
      <c r="E628" s="3" t="inlineStr">
        <is>
          <t>2026-07-04 11:52</t>
        </is>
      </c>
      <c r="F628" s="3" t="n">
        <v>11.6</v>
      </c>
      <c r="G628" s="3" t="n">
        <v>1</v>
      </c>
      <c r="H628" s="3" t="n"/>
      <c r="I628" s="3" t="inlineStr"/>
      <c r="J628" s="3" t="inlineStr">
        <is>
          <t>Keeta</t>
        </is>
      </c>
      <c r="K628" s="3" t="inlineStr">
        <is>
          <t>****9568</t>
        </is>
      </c>
      <c r="L628" s="3" t="n"/>
      <c r="M628" s="3" t="inlineStr">
        <is>
          <t>***** 物流中心5樓</t>
        </is>
      </c>
      <c r="N628" s="3" t="inlineStr">
        <is>
          <t>北区</t>
        </is>
      </c>
      <c r="O628" s="3" t="inlineStr">
        <is>
          <t>香港</t>
        </is>
      </c>
      <c r="P628" s="3" t="inlineStr">
        <is>
          <t>香港特别行政区</t>
        </is>
      </c>
      <c r="Q628" s="3" t="n">
        <v>449862</v>
      </c>
      <c r="R628" s="3" t="inlineStr">
        <is>
          <t>甜多1點</t>
        </is>
      </c>
      <c r="S628" s="3" t="inlineStr">
        <is>
          <t>****98083364</t>
        </is>
      </c>
      <c r="T628" s="3" t="inlineStr">
        <is>
          <t>****98083364</t>
        </is>
      </c>
      <c r="U628" s="3" t="inlineStr">
        <is>
          <t>***** 7A和7B鋪</t>
        </is>
      </c>
      <c r="V628" s="3" t="inlineStr">
        <is>
          <t>香港</t>
        </is>
      </c>
      <c r="W628" s="3" t="inlineStr">
        <is>
          <t>无纺布【规格四大号】/ 箱出</t>
        </is>
      </c>
      <c r="X628" s="3" t="inlineStr">
        <is>
          <t>ESS-SFTS-OTMS</t>
        </is>
      </c>
      <c r="Y628" s="3" t="n"/>
      <c r="Z628" s="3" t="inlineStr"/>
      <c r="AA628" s="3" t="inlineStr">
        <is>
          <t>寄付月結</t>
        </is>
      </c>
      <c r="AB628">
        <f>IFERROR(VLOOKUP(Q628&amp;"",對照表!$A:$B,1,FALSE),"")</f>
        <v/>
      </c>
      <c r="AC628">
        <f>IFERROR(VLOOKUP(Q628&amp;"",對照表!$A:$B,2,FALSE),"")</f>
        <v/>
      </c>
    </row>
    <row r="629">
      <c r="A629" s="3" t="inlineStr">
        <is>
          <t>SF5116616533351</t>
        </is>
      </c>
      <c r="B629" s="3" t="n">
        <v>58424825774445</v>
      </c>
      <c r="C629" s="3" t="inlineStr">
        <is>
          <t>已簽收</t>
        </is>
      </c>
      <c r="D629" s="3" t="inlineStr">
        <is>
          <t>2026-07-03 13:44:46</t>
        </is>
      </c>
      <c r="E629" s="3" t="inlineStr">
        <is>
          <t>2026-07-04 16:06</t>
        </is>
      </c>
      <c r="F629" s="3" t="n">
        <v>23.2</v>
      </c>
      <c r="G629" s="3" t="n">
        <v>2</v>
      </c>
      <c r="H629" s="3" t="n"/>
      <c r="I629" s="3" t="inlineStr"/>
      <c r="J629" s="3" t="inlineStr">
        <is>
          <t>Keeta</t>
        </is>
      </c>
      <c r="K629" s="3" t="inlineStr">
        <is>
          <t>****9568</t>
        </is>
      </c>
      <c r="L629" s="3" t="n"/>
      <c r="M629" s="3" t="inlineStr">
        <is>
          <t>***** 物流中心5樓</t>
        </is>
      </c>
      <c r="N629" s="3" t="inlineStr">
        <is>
          <t>北区</t>
        </is>
      </c>
      <c r="O629" s="3" t="inlineStr">
        <is>
          <t>香港</t>
        </is>
      </c>
      <c r="P629" s="3" t="inlineStr">
        <is>
          <t>香港特别行政区</t>
        </is>
      </c>
      <c r="Q629" s="3" t="n">
        <v>451934</v>
      </c>
      <c r="R629" s="3" t="inlineStr">
        <is>
          <t>上海天龍樓DragonParadise(正宗隱世上海菜)</t>
        </is>
      </c>
      <c r="S629" s="3" t="inlineStr">
        <is>
          <t>****62809891</t>
        </is>
      </c>
      <c r="T629" s="3" t="inlineStr">
        <is>
          <t>****62809891</t>
        </is>
      </c>
      <c r="U629" s="3" t="inlineStr">
        <is>
          <t>***** -62號C舖</t>
        </is>
      </c>
      <c r="V629" s="3" t="inlineStr">
        <is>
          <t>香港</t>
        </is>
      </c>
      <c r="W629" s="3" t="inlineStr">
        <is>
          <t>无纺布【规格四大号】/ 箱出</t>
        </is>
      </c>
      <c r="X629" s="3" t="inlineStr">
        <is>
          <t>ESS-SFTS-OTMS</t>
        </is>
      </c>
      <c r="Y629" s="3" t="n"/>
      <c r="Z629" s="3" t="inlineStr"/>
      <c r="AA629" s="3" t="inlineStr">
        <is>
          <t>寄付月結</t>
        </is>
      </c>
      <c r="AB629">
        <f>IFERROR(VLOOKUP(Q629&amp;"",對照表!$A:$B,1,FALSE),"")</f>
        <v/>
      </c>
      <c r="AC629">
        <f>IFERROR(VLOOKUP(Q629&amp;"",對照表!$A:$B,2,FALSE),"")</f>
        <v/>
      </c>
    </row>
    <row r="630">
      <c r="A630" s="3" t="inlineStr">
        <is>
          <t>SF5116616533096</t>
        </is>
      </c>
      <c r="B630" s="3" t="n">
        <v>58424825774387</v>
      </c>
      <c r="C630" s="3" t="inlineStr">
        <is>
          <t>已簽收</t>
        </is>
      </c>
      <c r="D630" s="3" t="inlineStr">
        <is>
          <t>2026-07-03 11:45:28</t>
        </is>
      </c>
      <c r="E630" s="3" t="inlineStr">
        <is>
          <t>2026-07-04 11:48</t>
        </is>
      </c>
      <c r="F630" s="3" t="n">
        <v>11.9</v>
      </c>
      <c r="G630" s="3" t="n">
        <v>1</v>
      </c>
      <c r="H630" s="3" t="n"/>
      <c r="I630" s="3" t="inlineStr"/>
      <c r="J630" s="3" t="inlineStr">
        <is>
          <t>Keeta</t>
        </is>
      </c>
      <c r="K630" s="3" t="inlineStr">
        <is>
          <t>****9568</t>
        </is>
      </c>
      <c r="L630" s="3" t="n"/>
      <c r="M630" s="3" t="inlineStr">
        <is>
          <t>***** 物流中心5樓</t>
        </is>
      </c>
      <c r="N630" s="3" t="inlineStr">
        <is>
          <t>北区</t>
        </is>
      </c>
      <c r="O630" s="3" t="inlineStr">
        <is>
          <t>香港</t>
        </is>
      </c>
      <c r="P630" s="3" t="inlineStr">
        <is>
          <t>香港特别行政区</t>
        </is>
      </c>
      <c r="Q630" s="3" t="n">
        <v>711268</v>
      </c>
      <c r="R630" s="3" t="inlineStr">
        <is>
          <t>PizzaExpressPizzaPasta(觀塘)</t>
        </is>
      </c>
      <c r="S630" s="3" t="inlineStr">
        <is>
          <t>****31641368</t>
        </is>
      </c>
      <c r="T630" s="3" t="inlineStr">
        <is>
          <t>****31641368</t>
        </is>
      </c>
      <c r="U630" s="3" t="inlineStr">
        <is>
          <t>***** 假日酒店一樓</t>
        </is>
      </c>
      <c r="V630" s="3" t="inlineStr">
        <is>
          <t>香港</t>
        </is>
      </c>
      <c r="W630" s="3" t="inlineStr">
        <is>
          <t>无纺布【Preminum黑】/ 箱出</t>
        </is>
      </c>
      <c r="X630" s="3" t="inlineStr">
        <is>
          <t>ESS-SFTS-OTMS</t>
        </is>
      </c>
      <c r="Y630" s="3" t="n"/>
      <c r="Z630" s="3" t="inlineStr"/>
      <c r="AA630" s="3" t="inlineStr">
        <is>
          <t>寄付月結</t>
        </is>
      </c>
      <c r="AB630">
        <f>IFERROR(VLOOKUP(Q630&amp;"",對照表!$A:$B,1,FALSE),"")</f>
        <v/>
      </c>
      <c r="AC630">
        <f>IFERROR(VLOOKUP(Q630&amp;"",對照表!$A:$B,2,FALSE),"")</f>
        <v/>
      </c>
    </row>
    <row r="631">
      <c r="A631" s="3" t="inlineStr">
        <is>
          <t>SF5116616532895</t>
        </is>
      </c>
      <c r="B631" s="3" t="n">
        <v>58424825774346</v>
      </c>
      <c r="C631" s="3" t="inlineStr">
        <is>
          <t>派送中</t>
        </is>
      </c>
      <c r="D631" s="3" t="inlineStr">
        <is>
          <t>2026-07-03 14:22:07</t>
        </is>
      </c>
      <c r="E631" s="3" t="n"/>
      <c r="F631" s="3" t="n">
        <v>32.18</v>
      </c>
      <c r="G631" s="3" t="n">
        <v>4</v>
      </c>
      <c r="H631" s="3" t="n"/>
      <c r="I631" s="3" t="inlineStr"/>
      <c r="J631" s="3" t="inlineStr">
        <is>
          <t>Keeta</t>
        </is>
      </c>
      <c r="K631" s="3" t="inlineStr">
        <is>
          <t>****9568</t>
        </is>
      </c>
      <c r="L631" s="3" t="n"/>
      <c r="M631" s="3" t="inlineStr">
        <is>
          <t>***** 物流中心5樓</t>
        </is>
      </c>
      <c r="N631" s="3" t="inlineStr">
        <is>
          <t>北区</t>
        </is>
      </c>
      <c r="O631" s="3" t="inlineStr">
        <is>
          <t>香港</t>
        </is>
      </c>
      <c r="P631" s="3" t="inlineStr">
        <is>
          <t>香港特别行政区</t>
        </is>
      </c>
      <c r="Q631" s="3" t="n">
        <v>496429</v>
      </c>
      <c r="R631" s="3" t="inlineStr">
        <is>
          <t>辣妹粉麵超正四川麻辣燙冬日暖胃暖心</t>
        </is>
      </c>
      <c r="S631" s="3" t="inlineStr">
        <is>
          <t>****69759618</t>
        </is>
      </c>
      <c r="T631" s="3" t="inlineStr">
        <is>
          <t>****69759618</t>
        </is>
      </c>
      <c r="U631" s="3" t="inlineStr">
        <is>
          <t>***** 利園山道5號</t>
        </is>
      </c>
      <c r="V631" s="3" t="inlineStr">
        <is>
          <t>香港</t>
        </is>
      </c>
      <c r="W631" s="3" t="inlineStr">
        <is>
          <t>无纺布【规格四大号】/ 箱出, 塑料袋【小】/ 扎出</t>
        </is>
      </c>
      <c r="X631" s="3" t="inlineStr">
        <is>
          <t>ESS-SFTS-OTMS</t>
        </is>
      </c>
      <c r="Y631" s="3" t="n"/>
      <c r="Z631" s="3" t="inlineStr"/>
      <c r="AA631" s="3" t="inlineStr">
        <is>
          <t>寄付月結</t>
        </is>
      </c>
      <c r="AB631">
        <f>IFERROR(VLOOKUP(Q631&amp;"",對照表!$A:$B,1,FALSE),"")</f>
        <v/>
      </c>
      <c r="AC631">
        <f>IFERROR(VLOOKUP(Q631&amp;"",對照表!$A:$B,2,FALSE),"")</f>
        <v/>
      </c>
    </row>
    <row r="632">
      <c r="A632" s="3" t="inlineStr">
        <is>
          <t>SF5116616533545</t>
        </is>
      </c>
      <c r="B632" s="3" t="n">
        <v>58424825806867</v>
      </c>
      <c r="C632" s="3" t="inlineStr">
        <is>
          <t>已簽收</t>
        </is>
      </c>
      <c r="D632" s="3" t="inlineStr">
        <is>
          <t>2026-07-03 11:44:55</t>
        </is>
      </c>
      <c r="E632" s="3" t="inlineStr">
        <is>
          <t>2026-07-04 10:26</t>
        </is>
      </c>
      <c r="F632" s="3" t="n">
        <v>23.64</v>
      </c>
      <c r="G632" s="3" t="n">
        <v>2</v>
      </c>
      <c r="H632" s="3" t="n"/>
      <c r="I632" s="3" t="inlineStr"/>
      <c r="J632" s="3" t="inlineStr">
        <is>
          <t>Keeta</t>
        </is>
      </c>
      <c r="K632" s="3" t="inlineStr">
        <is>
          <t>****9568</t>
        </is>
      </c>
      <c r="L632" s="3" t="n"/>
      <c r="M632" s="3" t="inlineStr">
        <is>
          <t>***** 物流中心5樓</t>
        </is>
      </c>
      <c r="N632" s="3" t="inlineStr">
        <is>
          <t>北区</t>
        </is>
      </c>
      <c r="O632" s="3" t="inlineStr">
        <is>
          <t>香港</t>
        </is>
      </c>
      <c r="P632" s="3" t="inlineStr">
        <is>
          <t>香港特别行政区</t>
        </is>
      </c>
      <c r="Q632" s="3" t="n">
        <v>479694</v>
      </c>
      <c r="R632" s="3" t="inlineStr">
        <is>
          <t>樹屋TREEHOUSE(霎東街)</t>
        </is>
      </c>
      <c r="S632" s="3" t="inlineStr">
        <is>
          <t>****55800072</t>
        </is>
      </c>
      <c r="T632" s="3" t="inlineStr">
        <is>
          <t>****55800072</t>
        </is>
      </c>
      <c r="U632" s="3" t="inlineStr">
        <is>
          <t>***** ay Bay</t>
        </is>
      </c>
      <c r="V632" s="3" t="inlineStr">
        <is>
          <t>香港</t>
        </is>
      </c>
      <c r="W632" s="3" t="inlineStr">
        <is>
          <t>无纺布【Preminum黑】/ 箱出</t>
        </is>
      </c>
      <c r="X632" s="3" t="inlineStr">
        <is>
          <t>ESS-SFTS-OTMS</t>
        </is>
      </c>
      <c r="Y632" s="3" t="n"/>
      <c r="Z632" s="3" t="inlineStr"/>
      <c r="AA632" s="3" t="inlineStr">
        <is>
          <t>寄付月結</t>
        </is>
      </c>
      <c r="AB632">
        <f>IFERROR(VLOOKUP(Q632&amp;"",對照表!$A:$B,1,FALSE),"")</f>
        <v/>
      </c>
      <c r="AC632">
        <f>IFERROR(VLOOKUP(Q632&amp;"",對照表!$A:$B,2,FALSE),"")</f>
        <v/>
      </c>
    </row>
    <row r="633">
      <c r="A633" s="3" t="inlineStr">
        <is>
          <t>SF5116616533315</t>
        </is>
      </c>
      <c r="B633" s="3" t="n">
        <v>58424825774437</v>
      </c>
      <c r="C633" s="3" t="inlineStr">
        <is>
          <t>已簽收</t>
        </is>
      </c>
      <c r="D633" s="3" t="inlineStr">
        <is>
          <t>2026-07-03 11:36:09</t>
        </is>
      </c>
      <c r="E633" s="3" t="inlineStr">
        <is>
          <t>2026-07-06 10:20</t>
        </is>
      </c>
      <c r="F633" s="3" t="n">
        <v>20.2</v>
      </c>
      <c r="G633" s="3" t="n">
        <v>2</v>
      </c>
      <c r="H633" s="3" t="n"/>
      <c r="I633" s="3" t="inlineStr"/>
      <c r="J633" s="3" t="inlineStr">
        <is>
          <t>Keeta</t>
        </is>
      </c>
      <c r="K633" s="3" t="inlineStr">
        <is>
          <t>****9568</t>
        </is>
      </c>
      <c r="L633" s="3" t="n"/>
      <c r="M633" s="3" t="inlineStr">
        <is>
          <t>***** 物流中心5樓</t>
        </is>
      </c>
      <c r="N633" s="3" t="inlineStr">
        <is>
          <t>北区</t>
        </is>
      </c>
      <c r="O633" s="3" t="inlineStr">
        <is>
          <t>香港</t>
        </is>
      </c>
      <c r="P633" s="3" t="inlineStr">
        <is>
          <t>香港特别行政区</t>
        </is>
      </c>
      <c r="Q633" s="3" t="n">
        <v>487235</v>
      </c>
      <c r="R633" s="3" t="inlineStr">
        <is>
          <t>OneMorepProtein全港首創高蛋白低卡鮮奶昔BagelBurger</t>
        </is>
      </c>
      <c r="S633" s="3" t="inlineStr">
        <is>
          <t>****66931766</t>
        </is>
      </c>
      <c r="T633" s="3" t="inlineStr">
        <is>
          <t>****66931766</t>
        </is>
      </c>
      <c r="U633" s="3" t="inlineStr">
        <is>
          <t>***** 9樓909室</t>
        </is>
      </c>
      <c r="V633" s="3" t="inlineStr">
        <is>
          <t>香港</t>
        </is>
      </c>
      <c r="W633" s="3" t="inlineStr">
        <is>
          <t>无纺布【规格三中号】/ 箱出</t>
        </is>
      </c>
      <c r="X633" s="3" t="inlineStr">
        <is>
          <t>ESS-SFTS-OTMS</t>
        </is>
      </c>
      <c r="Y633" s="3" t="n"/>
      <c r="Z633" s="3" t="inlineStr"/>
      <c r="AA633" s="3" t="inlineStr">
        <is>
          <t>寄付月結</t>
        </is>
      </c>
      <c r="AB633">
        <f>IFERROR(VLOOKUP(Q633&amp;"",對照表!$A:$B,1,FALSE),"")</f>
        <v/>
      </c>
      <c r="AC633">
        <f>IFERROR(VLOOKUP(Q633&amp;"",對照表!$A:$B,2,FALSE),"")</f>
        <v/>
      </c>
    </row>
    <row r="634">
      <c r="A634" s="3" t="inlineStr">
        <is>
          <t>SF5116616532965</t>
        </is>
      </c>
      <c r="B634" s="3" t="n">
        <v>58424825774360</v>
      </c>
      <c r="C634" s="3" t="inlineStr">
        <is>
          <t>已簽收</t>
        </is>
      </c>
      <c r="D634" s="3" t="inlineStr">
        <is>
          <t>2026-07-03 13:44:47</t>
        </is>
      </c>
      <c r="E634" s="3" t="inlineStr">
        <is>
          <t>2026-07-04 13:00</t>
        </is>
      </c>
      <c r="F634" s="3" t="n">
        <v>23.2</v>
      </c>
      <c r="G634" s="3" t="n">
        <v>2</v>
      </c>
      <c r="H634" s="3" t="n"/>
      <c r="I634" s="3" t="inlineStr"/>
      <c r="J634" s="3" t="inlineStr">
        <is>
          <t>Keeta</t>
        </is>
      </c>
      <c r="K634" s="3" t="inlineStr">
        <is>
          <t>****9568</t>
        </is>
      </c>
      <c r="L634" s="3" t="n"/>
      <c r="M634" s="3" t="inlineStr">
        <is>
          <t>***** 物流中心5樓</t>
        </is>
      </c>
      <c r="N634" s="3" t="inlineStr">
        <is>
          <t>北区</t>
        </is>
      </c>
      <c r="O634" s="3" t="inlineStr">
        <is>
          <t>香港</t>
        </is>
      </c>
      <c r="P634" s="3" t="inlineStr">
        <is>
          <t>香港特别行政区</t>
        </is>
      </c>
      <c r="Q634" s="3" t="n">
        <v>721535331</v>
      </c>
      <c r="R634" s="3" t="inlineStr">
        <is>
          <t>脆皮皇（古法炮製雞味濃郁肉嫩多汁一試難忘）</t>
        </is>
      </c>
      <c r="S634" s="3" t="inlineStr">
        <is>
          <t>****54123498</t>
        </is>
      </c>
      <c r="T634" s="3" t="inlineStr">
        <is>
          <t>****54123498</t>
        </is>
      </c>
      <c r="U634" s="3" t="inlineStr">
        <is>
          <t>***** 廈地下G2鋪</t>
        </is>
      </c>
      <c r="V634" s="3" t="inlineStr">
        <is>
          <t>香港</t>
        </is>
      </c>
      <c r="W634" s="3" t="inlineStr">
        <is>
          <t>无纺布【规格四大号】/ 箱出</t>
        </is>
      </c>
      <c r="X634" s="3" t="inlineStr">
        <is>
          <t>ESS-SFTS-OTMS</t>
        </is>
      </c>
      <c r="Y634" s="3" t="n"/>
      <c r="Z634" s="3" t="inlineStr"/>
      <c r="AA634" s="3" t="inlineStr">
        <is>
          <t>寄付月結</t>
        </is>
      </c>
      <c r="AB634">
        <f>IFERROR(VLOOKUP(Q634&amp;"",對照表!$A:$B,1,FALSE),"")</f>
        <v/>
      </c>
      <c r="AC634">
        <f>IFERROR(VLOOKUP(Q634&amp;"",對照表!$A:$B,2,FALSE),"")</f>
        <v/>
      </c>
    </row>
    <row r="635">
      <c r="A635" s="3" t="inlineStr">
        <is>
          <t>SF5116616533475</t>
        </is>
      </c>
      <c r="B635" s="3" t="n">
        <v>58424825774470</v>
      </c>
      <c r="C635" s="3" t="inlineStr">
        <is>
          <t>已簽收</t>
        </is>
      </c>
      <c r="D635" s="3" t="inlineStr">
        <is>
          <t>2026-07-03 10:23:03</t>
        </is>
      </c>
      <c r="E635" s="3" t="inlineStr">
        <is>
          <t>2026-07-04 12:30</t>
        </is>
      </c>
      <c r="F635" s="3" t="n">
        <v>2.3</v>
      </c>
      <c r="G635" s="3" t="n">
        <v>1</v>
      </c>
      <c r="H635" s="3" t="n"/>
      <c r="I635" s="3" t="inlineStr"/>
      <c r="J635" s="3" t="inlineStr">
        <is>
          <t>Keeta</t>
        </is>
      </c>
      <c r="K635" s="3" t="inlineStr">
        <is>
          <t>****9568</t>
        </is>
      </c>
      <c r="L635" s="3" t="n"/>
      <c r="M635" s="3" t="inlineStr">
        <is>
          <t>***** 物流中心5樓</t>
        </is>
      </c>
      <c r="N635" s="3" t="inlineStr">
        <is>
          <t>北区</t>
        </is>
      </c>
      <c r="O635" s="3" t="inlineStr">
        <is>
          <t>香港</t>
        </is>
      </c>
      <c r="P635" s="3" t="inlineStr">
        <is>
          <t>香港特别行政区</t>
        </is>
      </c>
      <c r="Q635" s="3" t="n">
        <v>435196</v>
      </c>
      <c r="R635" s="3" t="inlineStr">
        <is>
          <t>銘翠軒</t>
        </is>
      </c>
      <c r="S635" s="3" t="inlineStr">
        <is>
          <t>****23981339</t>
        </is>
      </c>
      <c r="T635" s="3" t="inlineStr">
        <is>
          <t>****23981339</t>
        </is>
      </c>
      <c r="U635" s="3" t="inlineStr">
        <is>
          <t>***** C-4E號舖</t>
        </is>
      </c>
      <c r="V635" s="3" t="inlineStr">
        <is>
          <t>香港</t>
        </is>
      </c>
      <c r="W635" s="3" t="inlineStr">
        <is>
          <t>塑料袋【大】/ 扎出</t>
        </is>
      </c>
      <c r="X635" s="3" t="inlineStr">
        <is>
          <t>ESS-SFTS-OTMS</t>
        </is>
      </c>
      <c r="Y635" s="3" t="n"/>
      <c r="Z635" s="3" t="inlineStr"/>
      <c r="AA635" s="3" t="inlineStr">
        <is>
          <t>寄付月結</t>
        </is>
      </c>
      <c r="AB635">
        <f>IFERROR(VLOOKUP(Q635&amp;"",對照表!$A:$B,1,FALSE),"")</f>
        <v/>
      </c>
      <c r="AC635">
        <f>IFERROR(VLOOKUP(Q635&amp;"",對照表!$A:$B,2,FALSE),"")</f>
        <v/>
      </c>
    </row>
    <row r="636">
      <c r="A636" s="3" t="inlineStr">
        <is>
          <t>SF5116616533457</t>
        </is>
      </c>
      <c r="B636" s="3" t="n">
        <v>58424825774467</v>
      </c>
      <c r="C636" s="3" t="inlineStr">
        <is>
          <t>已簽收</t>
        </is>
      </c>
      <c r="D636" s="3" t="inlineStr">
        <is>
          <t>2026-07-03 15:12:56</t>
        </is>
      </c>
      <c r="E636" s="3" t="inlineStr">
        <is>
          <t>2026-07-04 12:24</t>
        </is>
      </c>
      <c r="F636" s="3" t="n">
        <v>5.2</v>
      </c>
      <c r="G636" s="3" t="n">
        <v>1</v>
      </c>
      <c r="H636" s="3" t="n"/>
      <c r="I636" s="3" t="inlineStr"/>
      <c r="J636" s="3" t="inlineStr">
        <is>
          <t>Keeta</t>
        </is>
      </c>
      <c r="K636" s="3" t="inlineStr">
        <is>
          <t>****9568</t>
        </is>
      </c>
      <c r="L636" s="3" t="n"/>
      <c r="M636" s="3" t="inlineStr">
        <is>
          <t>***** 物流中心5樓</t>
        </is>
      </c>
      <c r="N636" s="3" t="inlineStr">
        <is>
          <t>北区</t>
        </is>
      </c>
      <c r="O636" s="3" t="inlineStr">
        <is>
          <t>香港</t>
        </is>
      </c>
      <c r="P636" s="3" t="inlineStr">
        <is>
          <t>香港特别行政区</t>
        </is>
      </c>
      <c r="Q636" s="3" t="n">
        <v>482739</v>
      </c>
      <c r="R636" s="3" t="inlineStr">
        <is>
          <t>東北餃子阿媽靚餃街坊小廚</t>
        </is>
      </c>
      <c r="S636" s="3" t="inlineStr">
        <is>
          <t>****28809818</t>
        </is>
      </c>
      <c r="T636" s="3" t="inlineStr">
        <is>
          <t>****28809818</t>
        </is>
      </c>
      <c r="U636" s="3" t="inlineStr">
        <is>
          <t>***** A號如意大樓</t>
        </is>
      </c>
      <c r="V636" s="3" t="inlineStr">
        <is>
          <t>香港</t>
        </is>
      </c>
      <c r="W636" s="3" t="inlineStr">
        <is>
          <t>塑料袋【大】/ 扎出, 塑料袋【小】/ 扎出</t>
        </is>
      </c>
      <c r="X636" s="3" t="inlineStr">
        <is>
          <t>ESS-SFTS-OTMS</t>
        </is>
      </c>
      <c r="Y636" s="3" t="n"/>
      <c r="Z636" s="3" t="inlineStr"/>
      <c r="AA636" s="3" t="inlineStr">
        <is>
          <t>寄付月結</t>
        </is>
      </c>
      <c r="AB636">
        <f>IFERROR(VLOOKUP(Q636&amp;"",對照表!$A:$B,1,FALSE),"")</f>
        <v/>
      </c>
      <c r="AC636">
        <f>IFERROR(VLOOKUP(Q636&amp;"",對照表!$A:$B,2,FALSE),"")</f>
        <v/>
      </c>
    </row>
    <row r="637">
      <c r="A637" s="3" t="inlineStr">
        <is>
          <t>SF5116616533290</t>
        </is>
      </c>
      <c r="B637" s="3" t="n">
        <v>58424825774432</v>
      </c>
      <c r="C637" s="3" t="inlineStr">
        <is>
          <t>已簽收</t>
        </is>
      </c>
      <c r="D637" s="3" t="inlineStr">
        <is>
          <t>2026-07-03 17:15:51</t>
        </is>
      </c>
      <c r="E637" s="3" t="inlineStr">
        <is>
          <t>2026-07-04 10:59</t>
        </is>
      </c>
      <c r="F637" s="3" t="n">
        <v>25.59</v>
      </c>
      <c r="G637" s="3" t="n">
        <v>3</v>
      </c>
      <c r="H637" s="3" t="n"/>
      <c r="I637" s="3" t="inlineStr"/>
      <c r="J637" s="3" t="inlineStr">
        <is>
          <t>Keeta</t>
        </is>
      </c>
      <c r="K637" s="3" t="inlineStr">
        <is>
          <t>****9568</t>
        </is>
      </c>
      <c r="L637" s="3" t="n"/>
      <c r="M637" s="3" t="inlineStr">
        <is>
          <t>***** 物流中心5樓</t>
        </is>
      </c>
      <c r="N637" s="3" t="inlineStr">
        <is>
          <t>北区</t>
        </is>
      </c>
      <c r="O637" s="3" t="inlineStr">
        <is>
          <t>香港</t>
        </is>
      </c>
      <c r="P637" s="3" t="inlineStr">
        <is>
          <t>香港特别行政区</t>
        </is>
      </c>
      <c r="Q637" s="3" t="n">
        <v>576545</v>
      </c>
      <c r="R637" s="3" t="inlineStr">
        <is>
          <t>湊湊火鍋茶憩超抵一人食(家樂坊)</t>
        </is>
      </c>
      <c r="S637" s="3" t="inlineStr">
        <is>
          <t>****23600299</t>
        </is>
      </c>
      <c r="T637" s="3" t="inlineStr">
        <is>
          <t>****23600299</t>
        </is>
      </c>
      <c r="U637" s="3" t="inlineStr">
        <is>
          <t>***** 地庫B3號舖</t>
        </is>
      </c>
      <c r="V637" s="3" t="inlineStr">
        <is>
          <t>香港</t>
        </is>
      </c>
      <c r="W637" s="3" t="inlineStr">
        <is>
          <t>无纺布【规格四大号】/ 箱出, 无纺布【规格一单杯】/ 箱出, 无纺布【规格二双杯】/ 箱出</t>
        </is>
      </c>
      <c r="X637" s="3" t="inlineStr">
        <is>
          <t>ESS-SFTS-OTMS</t>
        </is>
      </c>
      <c r="Y637" s="3" t="n"/>
      <c r="Z637" s="3" t="inlineStr"/>
      <c r="AA637" s="3" t="inlineStr">
        <is>
          <t>寄付月結</t>
        </is>
      </c>
      <c r="AB637">
        <f>IFERROR(VLOOKUP(Q637&amp;"",對照表!$A:$B,1,FALSE),"")</f>
        <v/>
      </c>
      <c r="AC637">
        <f>IFERROR(VLOOKUP(Q637&amp;"",對照表!$A:$B,2,FALSE),"")</f>
        <v/>
      </c>
    </row>
    <row r="638">
      <c r="A638" s="3" t="inlineStr">
        <is>
          <t>SF5116616533111</t>
        </is>
      </c>
      <c r="B638" s="3" t="n">
        <v>58424825774393</v>
      </c>
      <c r="C638" s="3" t="inlineStr">
        <is>
          <t>已簽收</t>
        </is>
      </c>
      <c r="D638" s="3" t="inlineStr">
        <is>
          <t>2026-07-03 14:22:32</t>
        </is>
      </c>
      <c r="E638" s="3" t="inlineStr">
        <is>
          <t>2026-07-04 12:43</t>
        </is>
      </c>
      <c r="F638" s="3" t="n">
        <v>47.77</v>
      </c>
      <c r="G638" s="3" t="n">
        <v>5</v>
      </c>
      <c r="H638" s="3" t="n"/>
      <c r="I638" s="3" t="inlineStr"/>
      <c r="J638" s="3" t="inlineStr">
        <is>
          <t>Keeta</t>
        </is>
      </c>
      <c r="K638" s="3" t="inlineStr">
        <is>
          <t>****9568</t>
        </is>
      </c>
      <c r="L638" s="3" t="n"/>
      <c r="M638" s="3" t="inlineStr">
        <is>
          <t>***** 物流中心5樓</t>
        </is>
      </c>
      <c r="N638" s="3" t="inlineStr">
        <is>
          <t>北区</t>
        </is>
      </c>
      <c r="O638" s="3" t="inlineStr">
        <is>
          <t>香港</t>
        </is>
      </c>
      <c r="P638" s="3" t="inlineStr">
        <is>
          <t>香港特别行政区</t>
        </is>
      </c>
      <c r="Q638" s="3" t="n">
        <v>721526397</v>
      </c>
      <c r="R638" s="3" t="inlineStr">
        <is>
          <t>津苑牛雜粉麵【25年老字號】</t>
        </is>
      </c>
      <c r="S638" s="3" t="inlineStr">
        <is>
          <t>****26821026</t>
        </is>
      </c>
      <c r="T638" s="3" t="inlineStr">
        <is>
          <t>****26821026</t>
        </is>
      </c>
      <c r="U638" s="3" t="inlineStr">
        <is>
          <t>***** 都廣場92號</t>
        </is>
      </c>
      <c r="V638" s="3" t="inlineStr">
        <is>
          <t>香港</t>
        </is>
      </c>
      <c r="W638" s="3" t="inlineStr">
        <is>
          <t>塑料袋【大】/ 扎出, 无纺布【规格四大号】/ 箱出</t>
        </is>
      </c>
      <c r="X638" s="3" t="inlineStr">
        <is>
          <t>ESS-SFTS-OTMS</t>
        </is>
      </c>
      <c r="Y638" s="3" t="n"/>
      <c r="Z638" s="3" t="inlineStr"/>
      <c r="AA638" s="3" t="inlineStr">
        <is>
          <t>寄付月結</t>
        </is>
      </c>
      <c r="AB638">
        <f>IFERROR(VLOOKUP(Q638&amp;"",對照表!$A:$B,1,FALSE),"")</f>
        <v/>
      </c>
      <c r="AC638">
        <f>IFERROR(VLOOKUP(Q638&amp;"",對照表!$A:$B,2,FALSE),"")</f>
        <v/>
      </c>
    </row>
    <row r="639">
      <c r="A639" s="3" t="inlineStr">
        <is>
          <t>SF5116616533193</t>
        </is>
      </c>
      <c r="B639" s="3" t="n">
        <v>58424825774412</v>
      </c>
      <c r="C639" s="3" t="inlineStr">
        <is>
          <t>已簽收</t>
        </is>
      </c>
      <c r="D639" s="3" t="inlineStr">
        <is>
          <t>2026-07-03 14:13:48</t>
        </is>
      </c>
      <c r="E639" s="3" t="inlineStr">
        <is>
          <t>2026-07-04 13:36</t>
        </is>
      </c>
      <c r="F639" s="3" t="n">
        <v>21.72</v>
      </c>
      <c r="G639" s="3" t="n">
        <v>2</v>
      </c>
      <c r="H639" s="3" t="n"/>
      <c r="I639" s="3" t="inlineStr"/>
      <c r="J639" s="3" t="inlineStr">
        <is>
          <t>Keeta</t>
        </is>
      </c>
      <c r="K639" s="3" t="inlineStr">
        <is>
          <t>****9568</t>
        </is>
      </c>
      <c r="L639" s="3" t="n"/>
      <c r="M639" s="3" t="inlineStr">
        <is>
          <t>***** 物流中心5樓</t>
        </is>
      </c>
      <c r="N639" s="3" t="inlineStr">
        <is>
          <t>北区</t>
        </is>
      </c>
      <c r="O639" s="3" t="inlineStr">
        <is>
          <t>香港</t>
        </is>
      </c>
      <c r="P639" s="3" t="inlineStr">
        <is>
          <t>香港特别行政区</t>
        </is>
      </c>
      <c r="Q639" s="3" t="n">
        <v>580821</v>
      </c>
      <c r="R639" s="3" t="inlineStr">
        <is>
          <t>戀Tsukiau</t>
        </is>
      </c>
      <c r="S639" s="3" t="inlineStr">
        <is>
          <t>****63140979</t>
        </is>
      </c>
      <c r="T639" s="3" t="inlineStr">
        <is>
          <t>****63140979</t>
        </is>
      </c>
      <c r="U639" s="3" t="inlineStr">
        <is>
          <t>***** za 10樓</t>
        </is>
      </c>
      <c r="V639" s="3" t="inlineStr">
        <is>
          <t>香港</t>
        </is>
      </c>
      <c r="W639" s="3" t="inlineStr">
        <is>
          <t>无纺布【规格三中号】/ 箱出, 无纺布【Preminum黑】/ 箱出</t>
        </is>
      </c>
      <c r="X639" s="3" t="inlineStr">
        <is>
          <t>ESS-SFTS-OTMS</t>
        </is>
      </c>
      <c r="Y639" s="3" t="n"/>
      <c r="Z639" s="3" t="inlineStr"/>
      <c r="AA639" s="3" t="inlineStr">
        <is>
          <t>寄付月結</t>
        </is>
      </c>
      <c r="AB639">
        <f>IFERROR(VLOOKUP(Q639&amp;"",對照表!$A:$B,1,FALSE),"")</f>
        <v/>
      </c>
      <c r="AC639">
        <f>IFERROR(VLOOKUP(Q639&amp;"",對照表!$A:$B,2,FALSE),"")</f>
        <v/>
      </c>
    </row>
    <row r="640">
      <c r="A640" s="3" t="inlineStr">
        <is>
          <t>SF5116616533615</t>
        </is>
      </c>
      <c r="B640" s="3" t="n">
        <v>58424825806882</v>
      </c>
      <c r="C640" s="3" t="inlineStr">
        <is>
          <t>已簽收</t>
        </is>
      </c>
      <c r="D640" s="3" t="inlineStr">
        <is>
          <t>2026-07-03 15:09:23</t>
        </is>
      </c>
      <c r="E640" s="3" t="inlineStr">
        <is>
          <t>2026-07-04 09:33</t>
        </is>
      </c>
      <c r="F640" s="3" t="n">
        <v>1.05</v>
      </c>
      <c r="G640" s="3" t="n">
        <v>2</v>
      </c>
      <c r="H640" s="3" t="n"/>
      <c r="I640" s="3" t="inlineStr"/>
      <c r="J640" s="3" t="inlineStr">
        <is>
          <t>Keeta</t>
        </is>
      </c>
      <c r="K640" s="3" t="inlineStr">
        <is>
          <t>****9568</t>
        </is>
      </c>
      <c r="L640" s="3" t="n"/>
      <c r="M640" s="3" t="inlineStr">
        <is>
          <t>***** 物流中心5樓</t>
        </is>
      </c>
      <c r="N640" s="3" t="inlineStr">
        <is>
          <t>北区</t>
        </is>
      </c>
      <c r="O640" s="3" t="inlineStr">
        <is>
          <t>香港</t>
        </is>
      </c>
      <c r="P640" s="3" t="inlineStr">
        <is>
          <t>香港特别行政区</t>
        </is>
      </c>
      <c r="Q640" s="3" t="n">
        <v>486970</v>
      </c>
      <c r="R640" s="3" t="inlineStr">
        <is>
          <t>呂錦記手撕雞專門店(土瓜灣店)</t>
        </is>
      </c>
      <c r="S640" s="3" t="inlineStr">
        <is>
          <t>****98178899</t>
        </is>
      </c>
      <c r="T640" s="3" t="inlineStr">
        <is>
          <t>****98178899</t>
        </is>
      </c>
      <c r="U640" s="3" t="inlineStr">
        <is>
          <t>***** 廈地下C號鋪</t>
        </is>
      </c>
      <c r="V640" s="3" t="inlineStr">
        <is>
          <t>香港</t>
        </is>
      </c>
      <c r="W640" s="3" t="inlineStr">
        <is>
          <t>塑料袋【小】/ 扎出, 塑料袋【大】/ 扎出</t>
        </is>
      </c>
      <c r="X640" s="3" t="inlineStr">
        <is>
          <t>ESS-SFTS-OTMS</t>
        </is>
      </c>
      <c r="Y640" s="3" t="n"/>
      <c r="Z640" s="3" t="inlineStr"/>
      <c r="AA640" s="3" t="inlineStr">
        <is>
          <t>寄付月結</t>
        </is>
      </c>
      <c r="AB640">
        <f>IFERROR(VLOOKUP(Q640&amp;"",對照表!$A:$B,1,FALSE),"")</f>
        <v/>
      </c>
      <c r="AC640">
        <f>IFERROR(VLOOKUP(Q640&amp;"",對照表!$A:$B,2,FALSE),"")</f>
        <v/>
      </c>
    </row>
    <row r="641">
      <c r="A641" s="3" t="inlineStr">
        <is>
          <t>SF5116616533402</t>
        </is>
      </c>
      <c r="B641" s="3" t="n">
        <v>58424825774454</v>
      </c>
      <c r="C641" s="3" t="inlineStr">
        <is>
          <t>已簽收</t>
        </is>
      </c>
      <c r="D641" s="3" t="inlineStr">
        <is>
          <t>2026-07-03 10:22:14</t>
        </is>
      </c>
      <c r="E641" s="3" t="inlineStr">
        <is>
          <t>2026-07-04 12:00</t>
        </is>
      </c>
      <c r="F641" s="3" t="n">
        <v>1.2</v>
      </c>
      <c r="G641" s="3" t="n">
        <v>1</v>
      </c>
      <c r="H641" s="3" t="n"/>
      <c r="I641" s="3" t="inlineStr"/>
      <c r="J641" s="3" t="inlineStr">
        <is>
          <t>Keeta</t>
        </is>
      </c>
      <c r="K641" s="3" t="inlineStr">
        <is>
          <t>****9568</t>
        </is>
      </c>
      <c r="L641" s="3" t="n"/>
      <c r="M641" s="3" t="inlineStr">
        <is>
          <t>***** 物流中心5樓</t>
        </is>
      </c>
      <c r="N641" s="3" t="inlineStr">
        <is>
          <t>北区</t>
        </is>
      </c>
      <c r="O641" s="3" t="inlineStr">
        <is>
          <t>香港</t>
        </is>
      </c>
      <c r="P641" s="3" t="inlineStr">
        <is>
          <t>香港特别行政区</t>
        </is>
      </c>
      <c r="Q641" s="3" t="n">
        <v>721537363</v>
      </c>
      <c r="R641" s="3" t="inlineStr">
        <is>
          <t>港佬車仔麵</t>
        </is>
      </c>
      <c r="S641" s="3" t="inlineStr">
        <is>
          <t>****65377225</t>
        </is>
      </c>
      <c r="T641" s="3" t="inlineStr">
        <is>
          <t>****65377225</t>
        </is>
      </c>
      <c r="U641" s="3" t="inlineStr">
        <is>
          <t>***** 號, A8鋪</t>
        </is>
      </c>
      <c r="V641" s="3" t="inlineStr">
        <is>
          <t>香港</t>
        </is>
      </c>
      <c r="W641" s="3" t="inlineStr">
        <is>
          <t>塑料袋【大】/ 扎出</t>
        </is>
      </c>
      <c r="X641" s="3" t="inlineStr">
        <is>
          <t>ESS-SFTS-OTMS</t>
        </is>
      </c>
      <c r="Y641" s="3" t="n"/>
      <c r="Z641" s="3" t="inlineStr"/>
      <c r="AA641" s="3" t="inlineStr">
        <is>
          <t>寄付月結</t>
        </is>
      </c>
      <c r="AB641">
        <f>IFERROR(VLOOKUP(Q641&amp;"",對照表!$A:$B,1,FALSE),"")</f>
        <v/>
      </c>
      <c r="AC641">
        <f>IFERROR(VLOOKUP(Q641&amp;"",對照表!$A:$B,2,FALSE),"")</f>
        <v/>
      </c>
    </row>
    <row r="642">
      <c r="A642" s="3" t="inlineStr">
        <is>
          <t>SF5116616691037</t>
        </is>
      </c>
      <c r="B642" s="3" t="n">
        <v>58424825806910</v>
      </c>
      <c r="C642" s="3" t="inlineStr">
        <is>
          <t>已簽收</t>
        </is>
      </c>
      <c r="D642" s="3" t="inlineStr">
        <is>
          <t>2026-07-03 10:27:19</t>
        </is>
      </c>
      <c r="E642" s="3" t="inlineStr">
        <is>
          <t>2026-07-04 13:38</t>
        </is>
      </c>
      <c r="F642" s="3" t="n">
        <v>1</v>
      </c>
      <c r="G642" s="3" t="n">
        <v>1</v>
      </c>
      <c r="H642" s="3" t="n"/>
      <c r="I642" s="3" t="inlineStr"/>
      <c r="J642" s="3" t="inlineStr">
        <is>
          <t>Keeta</t>
        </is>
      </c>
      <c r="K642" s="3" t="inlineStr">
        <is>
          <t>****9568</t>
        </is>
      </c>
      <c r="L642" s="3" t="n"/>
      <c r="M642" s="3" t="inlineStr">
        <is>
          <t>***** 物流中心5樓</t>
        </is>
      </c>
      <c r="N642" s="3" t="inlineStr">
        <is>
          <t>北区</t>
        </is>
      </c>
      <c r="O642" s="3" t="inlineStr">
        <is>
          <t>香港</t>
        </is>
      </c>
      <c r="P642" s="3" t="inlineStr">
        <is>
          <t>香港特别行政区</t>
        </is>
      </c>
      <c r="Q642" s="3" t="n">
        <v>448683</v>
      </c>
      <c r="R642" s="3" t="inlineStr">
        <is>
          <t>聚興樓(長發廣場)粵式秘製手撕雞</t>
        </is>
      </c>
      <c r="S642" s="3" t="inlineStr">
        <is>
          <t>****24406998</t>
        </is>
      </c>
      <c r="T642" s="3" t="inlineStr">
        <is>
          <t>****24406998</t>
        </is>
      </c>
      <c r="U642" s="3" t="inlineStr">
        <is>
          <t>***** -416號舖</t>
        </is>
      </c>
      <c r="V642" s="3" t="inlineStr">
        <is>
          <t>香港</t>
        </is>
      </c>
      <c r="W642" s="3" t="inlineStr">
        <is>
          <t>塑料袋【大】/ 扎出</t>
        </is>
      </c>
      <c r="X642" s="3" t="inlineStr">
        <is>
          <t>ESS-SFTS-OTMS</t>
        </is>
      </c>
      <c r="Y642" s="3" t="n"/>
      <c r="Z642" s="3" t="inlineStr"/>
      <c r="AA642" s="3" t="inlineStr">
        <is>
          <t>寄付月結</t>
        </is>
      </c>
      <c r="AB642">
        <f>IFERROR(VLOOKUP(Q642&amp;"",對照表!$A:$B,1,FALSE),"")</f>
        <v/>
      </c>
      <c r="AC642">
        <f>IFERROR(VLOOKUP(Q642&amp;"",對照表!$A:$B,2,FALSE),"")</f>
        <v/>
      </c>
    </row>
    <row r="643">
      <c r="A643" s="3" t="inlineStr">
        <is>
          <t>SF5116616691073</t>
        </is>
      </c>
      <c r="B643" s="3" t="n">
        <v>58424825806921</v>
      </c>
      <c r="C643" s="3" t="inlineStr">
        <is>
          <t>已簽收</t>
        </is>
      </c>
      <c r="D643" s="3" t="inlineStr">
        <is>
          <t>2026-07-03 11:51:52</t>
        </is>
      </c>
      <c r="E643" s="3" t="inlineStr">
        <is>
          <t>2026-07-04 12:15</t>
        </is>
      </c>
      <c r="F643" s="3" t="n">
        <v>10.1</v>
      </c>
      <c r="G643" s="3" t="n">
        <v>1</v>
      </c>
      <c r="H643" s="3" t="n"/>
      <c r="I643" s="3" t="inlineStr"/>
      <c r="J643" s="3" t="inlineStr">
        <is>
          <t>Keeta</t>
        </is>
      </c>
      <c r="K643" s="3" t="inlineStr">
        <is>
          <t>****9568</t>
        </is>
      </c>
      <c r="L643" s="3" t="n"/>
      <c r="M643" s="3" t="inlineStr">
        <is>
          <t>***** 物流中心5樓</t>
        </is>
      </c>
      <c r="N643" s="3" t="inlineStr">
        <is>
          <t>北区</t>
        </is>
      </c>
      <c r="O643" s="3" t="inlineStr">
        <is>
          <t>香港</t>
        </is>
      </c>
      <c r="P643" s="3" t="inlineStr">
        <is>
          <t>香港特别行政区</t>
        </is>
      </c>
      <c r="Q643" s="3" t="n">
        <v>603829</v>
      </c>
      <c r="R643" s="3" t="inlineStr">
        <is>
          <t>大都會冰室</t>
        </is>
      </c>
      <c r="S643" s="3" t="inlineStr">
        <is>
          <t>****31000161</t>
        </is>
      </c>
      <c r="T643" s="3" t="inlineStr">
        <is>
          <t>****31000161</t>
        </is>
      </c>
      <c r="U643" s="3" t="inlineStr">
        <is>
          <t>***** 樓L305舖</t>
        </is>
      </c>
      <c r="V643" s="3" t="inlineStr">
        <is>
          <t>香港</t>
        </is>
      </c>
      <c r="W643" s="3" t="inlineStr">
        <is>
          <t>无纺布【规格三中号】/ 箱出</t>
        </is>
      </c>
      <c r="X643" s="3" t="inlineStr">
        <is>
          <t>ESS-SFTS-OTMS</t>
        </is>
      </c>
      <c r="Y643" s="3" t="n"/>
      <c r="Z643" s="3" t="inlineStr"/>
      <c r="AA643" s="3" t="inlineStr">
        <is>
          <t>寄付月結</t>
        </is>
      </c>
      <c r="AB643">
        <f>IFERROR(VLOOKUP(Q643&amp;"",對照表!$A:$B,1,FALSE),"")</f>
        <v/>
      </c>
      <c r="AC643">
        <f>IFERROR(VLOOKUP(Q643&amp;"",對照表!$A:$B,2,FALSE),"")</f>
        <v/>
      </c>
    </row>
    <row r="644">
      <c r="A644" s="3" t="inlineStr">
        <is>
          <t>SF5116616533439</t>
        </is>
      </c>
      <c r="B644" s="3" t="n">
        <v>58424825774463</v>
      </c>
      <c r="C644" s="3" t="inlineStr">
        <is>
          <t>已簽收</t>
        </is>
      </c>
      <c r="D644" s="3" t="inlineStr">
        <is>
          <t>2026-07-03 12:13:02</t>
        </is>
      </c>
      <c r="E644" s="3" t="inlineStr">
        <is>
          <t>2026-07-04 15:30</t>
        </is>
      </c>
      <c r="F644" s="3" t="n">
        <v>11.6</v>
      </c>
      <c r="G644" s="3" t="n">
        <v>1</v>
      </c>
      <c r="H644" s="3" t="n"/>
      <c r="I644" s="3" t="inlineStr"/>
      <c r="J644" s="3" t="inlineStr">
        <is>
          <t>Keeta</t>
        </is>
      </c>
      <c r="K644" s="3" t="inlineStr">
        <is>
          <t>****9568</t>
        </is>
      </c>
      <c r="L644" s="3" t="n"/>
      <c r="M644" s="3" t="inlineStr">
        <is>
          <t>***** 物流中心5樓</t>
        </is>
      </c>
      <c r="N644" s="3" t="inlineStr">
        <is>
          <t>北区</t>
        </is>
      </c>
      <c r="O644" s="3" t="inlineStr">
        <is>
          <t>香港</t>
        </is>
      </c>
      <c r="P644" s="3" t="inlineStr">
        <is>
          <t>香港特别行政区</t>
        </is>
      </c>
      <c r="Q644" s="3" t="n">
        <v>484893</v>
      </c>
      <c r="R644" s="3" t="inlineStr">
        <is>
          <t>雲南味味小食</t>
        </is>
      </c>
      <c r="S644" s="3" t="inlineStr">
        <is>
          <t>****26407363</t>
        </is>
      </c>
      <c r="T644" s="3" t="inlineStr">
        <is>
          <t>****26407363</t>
        </is>
      </c>
      <c r="U644" s="3" t="inlineStr">
        <is>
          <t>***** G3-G4舖</t>
        </is>
      </c>
      <c r="V644" s="3" t="inlineStr">
        <is>
          <t>香港</t>
        </is>
      </c>
      <c r="W644" s="3" t="inlineStr">
        <is>
          <t>无纺布【规格四大号】/ 箱出</t>
        </is>
      </c>
      <c r="X644" s="3" t="inlineStr">
        <is>
          <t>ESS-SFTS-OTMS</t>
        </is>
      </c>
      <c r="Y644" s="3" t="n"/>
      <c r="Z644" s="3" t="inlineStr"/>
      <c r="AA644" s="3" t="inlineStr">
        <is>
          <t>寄付月結</t>
        </is>
      </c>
      <c r="AB644">
        <f>IFERROR(VLOOKUP(Q644&amp;"",對照表!$A:$B,1,FALSE),"")</f>
        <v/>
      </c>
      <c r="AC644">
        <f>IFERROR(VLOOKUP(Q644&amp;"",對照表!$A:$B,2,FALSE),"")</f>
        <v/>
      </c>
    </row>
    <row r="645">
      <c r="A645" s="3" t="inlineStr">
        <is>
          <t>SF5116616533518</t>
        </is>
      </c>
      <c r="B645" s="3" t="n">
        <v>58424825806859</v>
      </c>
      <c r="C645" s="3" t="inlineStr">
        <is>
          <t>已簽收</t>
        </is>
      </c>
      <c r="D645" s="3" t="inlineStr">
        <is>
          <t>2026-07-03 11:36:10</t>
        </is>
      </c>
      <c r="E645" s="3" t="inlineStr">
        <is>
          <t>2026-07-04 15:08</t>
        </is>
      </c>
      <c r="F645" s="3" t="n">
        <v>20.2</v>
      </c>
      <c r="G645" s="3" t="n">
        <v>2</v>
      </c>
      <c r="H645" s="3" t="n"/>
      <c r="I645" s="3" t="inlineStr"/>
      <c r="J645" s="3" t="inlineStr">
        <is>
          <t>Keeta</t>
        </is>
      </c>
      <c r="K645" s="3" t="inlineStr">
        <is>
          <t>****9568</t>
        </is>
      </c>
      <c r="L645" s="3" t="n"/>
      <c r="M645" s="3" t="inlineStr">
        <is>
          <t>***** 物流中心5樓</t>
        </is>
      </c>
      <c r="N645" s="3" t="inlineStr">
        <is>
          <t>北区</t>
        </is>
      </c>
      <c r="O645" s="3" t="inlineStr">
        <is>
          <t>香港</t>
        </is>
      </c>
      <c r="P645" s="3" t="inlineStr">
        <is>
          <t>香港特别行政区</t>
        </is>
      </c>
      <c r="Q645" s="3" t="n">
        <v>568557</v>
      </c>
      <c r="R645" s="3" t="inlineStr">
        <is>
          <t>窯雞王（筲箕灣店）</t>
        </is>
      </c>
      <c r="S645" s="3" t="inlineStr">
        <is>
          <t>****63957662</t>
        </is>
      </c>
      <c r="T645" s="3" t="inlineStr">
        <is>
          <t>****63957662</t>
        </is>
      </c>
      <c r="U645" s="3" t="inlineStr">
        <is>
          <t>***** 2-214號</t>
        </is>
      </c>
      <c r="V645" s="3" t="inlineStr">
        <is>
          <t>香港</t>
        </is>
      </c>
      <c r="W645" s="3" t="inlineStr">
        <is>
          <t>无纺布【规格三中号】/ 箱出</t>
        </is>
      </c>
      <c r="X645" s="3" t="inlineStr">
        <is>
          <t>ESS-SFTS-OTMS</t>
        </is>
      </c>
      <c r="Y645" s="3" t="n"/>
      <c r="Z645" s="3" t="inlineStr"/>
      <c r="AA645" s="3" t="inlineStr">
        <is>
          <t>寄付月結</t>
        </is>
      </c>
      <c r="AB645">
        <f>IFERROR(VLOOKUP(Q645&amp;"",對照表!$A:$B,1,FALSE),"")</f>
        <v/>
      </c>
      <c r="AC645">
        <f>IFERROR(VLOOKUP(Q645&amp;"",對照表!$A:$B,2,FALSE),"")</f>
        <v/>
      </c>
    </row>
    <row r="646">
      <c r="A646" s="3" t="inlineStr">
        <is>
          <t>SF5116616533324</t>
        </is>
      </c>
      <c r="B646" s="3" t="n">
        <v>58424825774439</v>
      </c>
      <c r="C646" s="3" t="inlineStr">
        <is>
          <t>派送中</t>
        </is>
      </c>
      <c r="D646" s="3" t="inlineStr">
        <is>
          <t>2026-07-03 11:51:19</t>
        </is>
      </c>
      <c r="E646" s="3" t="n"/>
      <c r="F646" s="3" t="n">
        <v>10.1</v>
      </c>
      <c r="G646" s="3" t="n">
        <v>1</v>
      </c>
      <c r="H646" s="3" t="n"/>
      <c r="I646" s="3" t="inlineStr"/>
      <c r="J646" s="3" t="inlineStr">
        <is>
          <t>Keeta</t>
        </is>
      </c>
      <c r="K646" s="3" t="inlineStr">
        <is>
          <t>****9568</t>
        </is>
      </c>
      <c r="L646" s="3" t="n"/>
      <c r="M646" s="3" t="inlineStr">
        <is>
          <t>***** 物流中心5樓</t>
        </is>
      </c>
      <c r="N646" s="3" t="inlineStr">
        <is>
          <t>北区</t>
        </is>
      </c>
      <c r="O646" s="3" t="inlineStr">
        <is>
          <t>香港</t>
        </is>
      </c>
      <c r="P646" s="3" t="inlineStr">
        <is>
          <t>香港特别行政区</t>
        </is>
      </c>
      <c r="Q646" s="3" t="n">
        <v>458454</v>
      </c>
      <c r="R646" s="3" t="inlineStr">
        <is>
          <t>城記(魚蛋粉)</t>
        </is>
      </c>
      <c r="S646" s="3" t="inlineStr">
        <is>
          <t>****52267581</t>
        </is>
      </c>
      <c r="T646" s="3" t="inlineStr">
        <is>
          <t>****52267581</t>
        </is>
      </c>
      <c r="U646" s="3" t="inlineStr">
        <is>
          <t>***** 2樓18號舖</t>
        </is>
      </c>
      <c r="V646" s="3" t="inlineStr">
        <is>
          <t>香港</t>
        </is>
      </c>
      <c r="W646" s="3" t="inlineStr">
        <is>
          <t>无纺布【规格三中号】/ 箱出</t>
        </is>
      </c>
      <c r="X646" s="3" t="inlineStr">
        <is>
          <t>ESS-SFTS-OTMS</t>
        </is>
      </c>
      <c r="Y646" s="3" t="n"/>
      <c r="Z646" s="3" t="inlineStr"/>
      <c r="AA646" s="3" t="inlineStr">
        <is>
          <t>寄付月結</t>
        </is>
      </c>
      <c r="AB646">
        <f>IFERROR(VLOOKUP(Q646&amp;"",對照表!$A:$B,1,FALSE),"")</f>
        <v/>
      </c>
      <c r="AC646">
        <f>IFERROR(VLOOKUP(Q646&amp;"",對照表!$A:$B,2,FALSE),"")</f>
        <v/>
      </c>
    </row>
    <row r="647">
      <c r="A647" s="3" t="inlineStr">
        <is>
          <t>SF5116616532974</t>
        </is>
      </c>
      <c r="B647" s="3" t="n">
        <v>58424825774362</v>
      </c>
      <c r="C647" s="3" t="inlineStr">
        <is>
          <t>已簽收</t>
        </is>
      </c>
      <c r="D647" s="3" t="inlineStr">
        <is>
          <t>2026-07-03 15:45:18</t>
        </is>
      </c>
      <c r="E647" s="3" t="inlineStr">
        <is>
          <t>2026-07-04 09:43</t>
        </is>
      </c>
      <c r="F647" s="3" t="n">
        <v>46.4</v>
      </c>
      <c r="G647" s="3" t="n">
        <v>4</v>
      </c>
      <c r="H647" s="3" t="n"/>
      <c r="I647" s="3" t="inlineStr"/>
      <c r="J647" s="3" t="inlineStr">
        <is>
          <t>Keeta</t>
        </is>
      </c>
      <c r="K647" s="3" t="inlineStr">
        <is>
          <t>****9568</t>
        </is>
      </c>
      <c r="L647" s="3" t="n"/>
      <c r="M647" s="3" t="inlineStr">
        <is>
          <t>***** 物流中心5樓</t>
        </is>
      </c>
      <c r="N647" s="3" t="inlineStr">
        <is>
          <t>北区</t>
        </is>
      </c>
      <c r="O647" s="3" t="inlineStr">
        <is>
          <t>香港</t>
        </is>
      </c>
      <c r="P647" s="3" t="inlineStr">
        <is>
          <t>香港特别行政区</t>
        </is>
      </c>
      <c r="Q647" s="3" t="n">
        <v>721528364</v>
      </c>
      <c r="R647" s="3" t="inlineStr">
        <is>
          <t>泰煌白咖喱</t>
        </is>
      </c>
      <c r="S647" s="3" t="inlineStr">
        <is>
          <t>****52487675</t>
        </is>
      </c>
      <c r="T647" s="3" t="inlineStr">
        <is>
          <t>****52487675</t>
        </is>
      </c>
      <c r="U647" s="3" t="inlineStr">
        <is>
          <t>***** 座10樓Y室</t>
        </is>
      </c>
      <c r="V647" s="3" t="inlineStr">
        <is>
          <t>香港</t>
        </is>
      </c>
      <c r="W647" s="3" t="inlineStr">
        <is>
          <t>无纺布【规格四大号】/ 箱出</t>
        </is>
      </c>
      <c r="X647" s="3" t="inlineStr">
        <is>
          <t>ESS-SFTS-OTMS</t>
        </is>
      </c>
      <c r="Y647" s="3" t="n"/>
      <c r="Z647" s="3" t="inlineStr"/>
      <c r="AA647" s="3" t="inlineStr">
        <is>
          <t>寄付月結</t>
        </is>
      </c>
      <c r="AB647">
        <f>IFERROR(VLOOKUP(Q647&amp;"",對照表!$A:$B,1,FALSE),"")</f>
        <v/>
      </c>
      <c r="AC647">
        <f>IFERROR(VLOOKUP(Q647&amp;"",對照表!$A:$B,2,FALSE),"")</f>
        <v/>
      </c>
    </row>
    <row r="648">
      <c r="A648" s="3" t="inlineStr">
        <is>
          <t>SF5116616533388</t>
        </is>
      </c>
      <c r="B648" s="3" t="n">
        <v>58424825774451</v>
      </c>
      <c r="C648" s="3" t="inlineStr">
        <is>
          <t>已簽收</t>
        </is>
      </c>
      <c r="D648" s="3" t="inlineStr">
        <is>
          <t>2026-07-03 14:33:00</t>
        </is>
      </c>
      <c r="E648" s="3" t="inlineStr">
        <is>
          <t>2026-07-04 12:53</t>
        </is>
      </c>
      <c r="F648" s="3" t="n">
        <v>7.5</v>
      </c>
      <c r="G648" s="3" t="n">
        <v>1</v>
      </c>
      <c r="H648" s="3" t="n"/>
      <c r="I648" s="3" t="inlineStr"/>
      <c r="J648" s="3" t="inlineStr">
        <is>
          <t>Keeta</t>
        </is>
      </c>
      <c r="K648" s="3" t="inlineStr">
        <is>
          <t>****9568</t>
        </is>
      </c>
      <c r="L648" s="3" t="n"/>
      <c r="M648" s="3" t="inlineStr">
        <is>
          <t>***** 物流中心5樓</t>
        </is>
      </c>
      <c r="N648" s="3" t="inlineStr">
        <is>
          <t>北区</t>
        </is>
      </c>
      <c r="O648" s="3" t="inlineStr">
        <is>
          <t>香港</t>
        </is>
      </c>
      <c r="P648" s="3" t="inlineStr">
        <is>
          <t>香港特别行政区</t>
        </is>
      </c>
      <c r="Q648" s="3" t="n">
        <v>491807</v>
      </c>
      <c r="R648" s="3" t="inlineStr">
        <is>
          <t>魔法甜品屋MagicDessert</t>
        </is>
      </c>
      <c r="S648" s="3" t="inlineStr">
        <is>
          <t>****29479000</t>
        </is>
      </c>
      <c r="T648" s="3" t="inlineStr">
        <is>
          <t>****29479000</t>
        </is>
      </c>
      <c r="U648" s="3" t="inlineStr">
        <is>
          <t>***** 下115號舖</t>
        </is>
      </c>
      <c r="V648" s="3" t="inlineStr">
        <is>
          <t>香港</t>
        </is>
      </c>
      <c r="W648" s="3" t="inlineStr">
        <is>
          <t>无纺布【规格二双杯】/ 箱出</t>
        </is>
      </c>
      <c r="X648" s="3" t="inlineStr">
        <is>
          <t>ESS-SFTS-OTMS</t>
        </is>
      </c>
      <c r="Y648" s="3" t="n"/>
      <c r="Z648" s="3" t="inlineStr"/>
      <c r="AA648" s="3" t="inlineStr">
        <is>
          <t>寄付月結</t>
        </is>
      </c>
      <c r="AB648">
        <f>IFERROR(VLOOKUP(Q648&amp;"",對照表!$A:$B,1,FALSE),"")</f>
        <v/>
      </c>
      <c r="AC648">
        <f>IFERROR(VLOOKUP(Q648&amp;"",對照表!$A:$B,2,FALSE),"")</f>
        <v/>
      </c>
    </row>
    <row r="649">
      <c r="A649" s="3" t="inlineStr">
        <is>
          <t>SF5116616533360</t>
        </is>
      </c>
      <c r="B649" s="3" t="n">
        <v>58424825774446</v>
      </c>
      <c r="C649" s="3" t="inlineStr">
        <is>
          <t>已簽收</t>
        </is>
      </c>
      <c r="D649" s="3" t="inlineStr">
        <is>
          <t>2026-07-03 14:15:19</t>
        </is>
      </c>
      <c r="E649" s="3" t="inlineStr">
        <is>
          <t>2026-07-04 11:39</t>
        </is>
      </c>
      <c r="F649" s="3" t="n">
        <v>40.4</v>
      </c>
      <c r="G649" s="3" t="n">
        <v>4</v>
      </c>
      <c r="H649" s="3" t="n"/>
      <c r="I649" s="3" t="inlineStr"/>
      <c r="J649" s="3" t="inlineStr">
        <is>
          <t>Keeta</t>
        </is>
      </c>
      <c r="K649" s="3" t="inlineStr">
        <is>
          <t>****9568</t>
        </is>
      </c>
      <c r="L649" s="3" t="n"/>
      <c r="M649" s="3" t="inlineStr">
        <is>
          <t>***** 物流中心5樓</t>
        </is>
      </c>
      <c r="N649" s="3" t="inlineStr">
        <is>
          <t>北区</t>
        </is>
      </c>
      <c r="O649" s="3" t="inlineStr">
        <is>
          <t>香港</t>
        </is>
      </c>
      <c r="P649" s="3" t="inlineStr">
        <is>
          <t>香港特别行政区</t>
        </is>
      </c>
      <c r="Q649" s="3" t="n">
        <v>468278</v>
      </c>
      <c r="R649" s="3" t="inlineStr">
        <is>
          <t>嵐姐石磨腸粉（將軍澳）</t>
        </is>
      </c>
      <c r="S649" s="3" t="inlineStr">
        <is>
          <t>****61087853</t>
        </is>
      </c>
      <c r="T649" s="3" t="inlineStr">
        <is>
          <t>****61087853</t>
        </is>
      </c>
      <c r="U649" s="3" t="inlineStr">
        <is>
          <t>***** 地下40號舖</t>
        </is>
      </c>
      <c r="V649" s="3" t="inlineStr">
        <is>
          <t>香港</t>
        </is>
      </c>
      <c r="W649" s="3" t="inlineStr">
        <is>
          <t>无纺布【规格三中号】/ 箱出</t>
        </is>
      </c>
      <c r="X649" s="3" t="inlineStr">
        <is>
          <t>ESS-SFTS-OTMS</t>
        </is>
      </c>
      <c r="Y649" s="3" t="n"/>
      <c r="Z649" s="3" t="inlineStr"/>
      <c r="AA649" s="3" t="inlineStr">
        <is>
          <t>寄付月結</t>
        </is>
      </c>
      <c r="AB649">
        <f>IFERROR(VLOOKUP(Q649&amp;"",對照表!$A:$B,1,FALSE),"")</f>
        <v/>
      </c>
      <c r="AC649">
        <f>IFERROR(VLOOKUP(Q649&amp;"",對照表!$A:$B,2,FALSE),"")</f>
        <v/>
      </c>
    </row>
    <row r="650">
      <c r="A650" s="3" t="inlineStr">
        <is>
          <t>SF5116616533157</t>
        </is>
      </c>
      <c r="B650" s="3" t="n">
        <v>58424825774405</v>
      </c>
      <c r="C650" s="3" t="inlineStr">
        <is>
          <t>已簽收</t>
        </is>
      </c>
      <c r="D650" s="3" t="inlineStr">
        <is>
          <t>2026-07-03 11:45:03</t>
        </is>
      </c>
      <c r="E650" s="3" t="inlineStr">
        <is>
          <t>2026-07-04 16:12</t>
        </is>
      </c>
      <c r="F650" s="3" t="n">
        <v>23.64</v>
      </c>
      <c r="G650" s="3" t="n">
        <v>2</v>
      </c>
      <c r="H650" s="3" t="n"/>
      <c r="I650" s="3" t="inlineStr"/>
      <c r="J650" s="3" t="inlineStr">
        <is>
          <t>Keeta</t>
        </is>
      </c>
      <c r="K650" s="3" t="inlineStr">
        <is>
          <t>****9568</t>
        </is>
      </c>
      <c r="L650" s="3" t="n"/>
      <c r="M650" s="3" t="inlineStr">
        <is>
          <t>***** 物流中心5樓</t>
        </is>
      </c>
      <c r="N650" s="3" t="inlineStr">
        <is>
          <t>北区</t>
        </is>
      </c>
      <c r="O650" s="3" t="inlineStr">
        <is>
          <t>香港</t>
        </is>
      </c>
      <c r="P650" s="3" t="inlineStr">
        <is>
          <t>香港特别行政区</t>
        </is>
      </c>
      <c r="Q650" s="3" t="n">
        <v>561061</v>
      </c>
      <c r="R650" s="3" t="inlineStr">
        <is>
          <t>小野人燒烤KOKA（惹味羊肉串No1）沙田</t>
        </is>
      </c>
      <c r="S650" s="3" t="inlineStr">
        <is>
          <t>****27808210</t>
        </is>
      </c>
      <c r="T650" s="3" t="inlineStr">
        <is>
          <t>****27808210</t>
        </is>
      </c>
      <c r="U650" s="3" t="inlineStr">
        <is>
          <t>***** 326A號舖</t>
        </is>
      </c>
      <c r="V650" s="3" t="inlineStr">
        <is>
          <t>香港</t>
        </is>
      </c>
      <c r="W650" s="3" t="inlineStr">
        <is>
          <t>无纺布【Preminum黑】/ 箱出</t>
        </is>
      </c>
      <c r="X650" s="3" t="inlineStr">
        <is>
          <t>ESS-SFTS-OTMS</t>
        </is>
      </c>
      <c r="Y650" s="3" t="n"/>
      <c r="Z650" s="3" t="inlineStr"/>
      <c r="AA650" s="3" t="inlineStr">
        <is>
          <t>寄付月結</t>
        </is>
      </c>
      <c r="AB650">
        <f>IFERROR(VLOOKUP(Q650&amp;"",對照表!$A:$B,1,FALSE),"")</f>
        <v/>
      </c>
      <c r="AC650">
        <f>IFERROR(VLOOKUP(Q650&amp;"",對照表!$A:$B,2,FALSE),"")</f>
        <v/>
      </c>
    </row>
    <row r="651">
      <c r="A651" s="3" t="inlineStr">
        <is>
          <t>SF5116616533509</t>
        </is>
      </c>
      <c r="B651" s="3" t="n">
        <v>58424825806857</v>
      </c>
      <c r="C651" s="3" t="inlineStr">
        <is>
          <t>已簽收</t>
        </is>
      </c>
      <c r="D651" s="3" t="inlineStr">
        <is>
          <t>2026-07-03 14:16:21</t>
        </is>
      </c>
      <c r="E651" s="3" t="inlineStr">
        <is>
          <t>2026-07-04 16:36</t>
        </is>
      </c>
      <c r="F651" s="3" t="n">
        <v>40.4</v>
      </c>
      <c r="G651" s="3" t="n">
        <v>4</v>
      </c>
      <c r="H651" s="3" t="n"/>
      <c r="I651" s="3" t="inlineStr"/>
      <c r="J651" s="3" t="inlineStr">
        <is>
          <t>Keeta</t>
        </is>
      </c>
      <c r="K651" s="3" t="inlineStr">
        <is>
          <t>****9568</t>
        </is>
      </c>
      <c r="L651" s="3" t="n"/>
      <c r="M651" s="3" t="inlineStr">
        <is>
          <t>***** 物流中心5樓</t>
        </is>
      </c>
      <c r="N651" s="3" t="inlineStr">
        <is>
          <t>北区</t>
        </is>
      </c>
      <c r="O651" s="3" t="inlineStr">
        <is>
          <t>香港</t>
        </is>
      </c>
      <c r="P651" s="3" t="inlineStr">
        <is>
          <t>香港特别行政区</t>
        </is>
      </c>
      <c r="Q651" s="3" t="n">
        <v>494946</v>
      </c>
      <c r="R651" s="3" t="inlineStr">
        <is>
          <t>渡亭推薦港式串燒街頭小食便當及粉麵</t>
        </is>
      </c>
      <c r="S651" s="3" t="inlineStr">
        <is>
          <t>****53772600</t>
        </is>
      </c>
      <c r="T651" s="3" t="inlineStr">
        <is>
          <t>****53772600</t>
        </is>
      </c>
      <c r="U651" s="3" t="inlineStr">
        <is>
          <t>***** 廈地下A號舖</t>
        </is>
      </c>
      <c r="V651" s="3" t="inlineStr">
        <is>
          <t>香港</t>
        </is>
      </c>
      <c r="W651" s="3" t="inlineStr">
        <is>
          <t>无纺布【规格三中号】/ 箱出</t>
        </is>
      </c>
      <c r="X651" s="3" t="inlineStr">
        <is>
          <t>ESS-SFTS-OTMS</t>
        </is>
      </c>
      <c r="Y651" s="3" t="n"/>
      <c r="Z651" s="3" t="inlineStr"/>
      <c r="AA651" s="3" t="inlineStr">
        <is>
          <t>寄付月結</t>
        </is>
      </c>
      <c r="AB651">
        <f>IFERROR(VLOOKUP(Q651&amp;"",對照表!$A:$B,1,FALSE),"")</f>
        <v/>
      </c>
      <c r="AC651">
        <f>IFERROR(VLOOKUP(Q651&amp;"",對照表!$A:$B,2,FALSE),"")</f>
        <v/>
      </c>
    </row>
    <row r="652">
      <c r="A652" s="3" t="inlineStr">
        <is>
          <t>SF5116616691019</t>
        </is>
      </c>
      <c r="B652" s="3" t="n">
        <v>58424825806906</v>
      </c>
      <c r="C652" s="3" t="inlineStr">
        <is>
          <t>已簽收</t>
        </is>
      </c>
      <c r="D652" s="3" t="inlineStr">
        <is>
          <t>2026-07-03 11:36:07</t>
        </is>
      </c>
      <c r="E652" s="3" t="inlineStr">
        <is>
          <t>2026-07-04 09:19</t>
        </is>
      </c>
      <c r="F652" s="3" t="n">
        <v>20.2</v>
      </c>
      <c r="G652" s="3" t="n">
        <v>2</v>
      </c>
      <c r="H652" s="3" t="n"/>
      <c r="I652" s="3" t="inlineStr"/>
      <c r="J652" s="3" t="inlineStr">
        <is>
          <t>Keeta</t>
        </is>
      </c>
      <c r="K652" s="3" t="inlineStr">
        <is>
          <t>****9568</t>
        </is>
      </c>
      <c r="L652" s="3" t="n"/>
      <c r="M652" s="3" t="inlineStr">
        <is>
          <t>***** 物流中心5樓</t>
        </is>
      </c>
      <c r="N652" s="3" t="inlineStr">
        <is>
          <t>北区</t>
        </is>
      </c>
      <c r="O652" s="3" t="inlineStr">
        <is>
          <t>香港</t>
        </is>
      </c>
      <c r="P652" s="3" t="inlineStr">
        <is>
          <t>香港特别行政区</t>
        </is>
      </c>
      <c r="Q652" s="3" t="n">
        <v>721520312</v>
      </c>
      <c r="R652" s="3" t="inlineStr">
        <is>
          <t>聚湘緣正宗湖南菜辣得嚟有層次</t>
        </is>
      </c>
      <c r="S652" s="3" t="inlineStr">
        <is>
          <t>****69233880</t>
        </is>
      </c>
      <c r="T652" s="3" t="inlineStr">
        <is>
          <t>****69233880</t>
        </is>
      </c>
      <c r="U652" s="3" t="inlineStr">
        <is>
          <t>***** 室18號廚房</t>
        </is>
      </c>
      <c r="V652" s="3" t="inlineStr">
        <is>
          <t>香港</t>
        </is>
      </c>
      <c r="W652" s="3" t="inlineStr">
        <is>
          <t>无纺布【规格三中号】/ 箱出</t>
        </is>
      </c>
      <c r="X652" s="3" t="inlineStr">
        <is>
          <t>ESS-SFTS-OTMS</t>
        </is>
      </c>
      <c r="Y652" s="3" t="n"/>
      <c r="Z652" s="3" t="inlineStr"/>
      <c r="AA652" s="3" t="inlineStr">
        <is>
          <t>寄付月結</t>
        </is>
      </c>
      <c r="AB652">
        <f>IFERROR(VLOOKUP(Q652&amp;"",對照表!$A:$B,1,FALSE),"")</f>
        <v/>
      </c>
      <c r="AC652">
        <f>IFERROR(VLOOKUP(Q652&amp;"",對照表!$A:$B,2,FALSE),"")</f>
        <v/>
      </c>
    </row>
    <row r="653">
      <c r="A653" s="3" t="inlineStr">
        <is>
          <t>SF5116616533527</t>
        </is>
      </c>
      <c r="B653" s="3" t="n">
        <v>58424825806860</v>
      </c>
      <c r="C653" s="3" t="inlineStr">
        <is>
          <t>已簽收</t>
        </is>
      </c>
      <c r="D653" s="3" t="inlineStr">
        <is>
          <t>2026-07-03 15:09:27</t>
        </is>
      </c>
      <c r="E653" s="3" t="inlineStr">
        <is>
          <t>2026-07-04 10:18</t>
        </is>
      </c>
      <c r="F653" s="3" t="n">
        <v>1.05</v>
      </c>
      <c r="G653" s="3" t="n">
        <v>2</v>
      </c>
      <c r="H653" s="3" t="n"/>
      <c r="I653" s="3" t="inlineStr"/>
      <c r="J653" s="3" t="inlineStr">
        <is>
          <t>Keeta</t>
        </is>
      </c>
      <c r="K653" s="3" t="inlineStr">
        <is>
          <t>****9568</t>
        </is>
      </c>
      <c r="L653" s="3" t="n"/>
      <c r="M653" s="3" t="inlineStr">
        <is>
          <t>***** 物流中心5樓</t>
        </is>
      </c>
      <c r="N653" s="3" t="inlineStr">
        <is>
          <t>北区</t>
        </is>
      </c>
      <c r="O653" s="3" t="inlineStr">
        <is>
          <t>香港</t>
        </is>
      </c>
      <c r="P653" s="3" t="inlineStr">
        <is>
          <t>香港特别行政区</t>
        </is>
      </c>
      <c r="Q653" s="3" t="n">
        <v>721432293</v>
      </c>
      <c r="R653" s="3" t="inlineStr">
        <is>
          <t>呂錦記手撕雞專門店（油塘店）</t>
        </is>
      </c>
      <c r="S653" s="3" t="inlineStr">
        <is>
          <t>****97132723</t>
        </is>
      </c>
      <c r="T653" s="3" t="inlineStr">
        <is>
          <t>****97132723</t>
        </is>
      </c>
      <c r="U653" s="3" t="inlineStr">
        <is>
          <t>***** 2樓201B</t>
        </is>
      </c>
      <c r="V653" s="3" t="inlineStr">
        <is>
          <t>香港</t>
        </is>
      </c>
      <c r="W653" s="3" t="inlineStr">
        <is>
          <t>塑料袋【大】/ 扎出, 塑料袋【小】/ 扎出</t>
        </is>
      </c>
      <c r="X653" s="3" t="inlineStr">
        <is>
          <t>ESS-SFTS-OTMS</t>
        </is>
      </c>
      <c r="Y653" s="3" t="n"/>
      <c r="Z653" s="3" t="inlineStr"/>
      <c r="AA653" s="3" t="inlineStr">
        <is>
          <t>寄付月結</t>
        </is>
      </c>
      <c r="AB653">
        <f>IFERROR(VLOOKUP(Q653&amp;"",對照表!$A:$B,1,FALSE),"")</f>
        <v/>
      </c>
      <c r="AC653">
        <f>IFERROR(VLOOKUP(Q653&amp;"",對照表!$A:$B,2,FALSE),"")</f>
        <v/>
      </c>
    </row>
    <row r="654">
      <c r="A654" s="3" t="inlineStr">
        <is>
          <t>SF5116616533536</t>
        </is>
      </c>
      <c r="B654" s="3" t="n">
        <v>58424825806864</v>
      </c>
      <c r="C654" s="3" t="inlineStr">
        <is>
          <t>已簽收</t>
        </is>
      </c>
      <c r="D654" s="3" t="inlineStr">
        <is>
          <t>2026-07-03 13:44:45</t>
        </is>
      </c>
      <c r="E654" s="3" t="inlineStr">
        <is>
          <t>2026-07-04 11:00</t>
        </is>
      </c>
      <c r="F654" s="3" t="n">
        <v>23.2</v>
      </c>
      <c r="G654" s="3" t="n">
        <v>2</v>
      </c>
      <c r="H654" s="3" t="n"/>
      <c r="I654" s="3" t="inlineStr"/>
      <c r="J654" s="3" t="inlineStr">
        <is>
          <t>Keeta</t>
        </is>
      </c>
      <c r="K654" s="3" t="inlineStr">
        <is>
          <t>****9568</t>
        </is>
      </c>
      <c r="L654" s="3" t="n"/>
      <c r="M654" s="3" t="inlineStr">
        <is>
          <t>***** 物流中心5樓</t>
        </is>
      </c>
      <c r="N654" s="3" t="inlineStr">
        <is>
          <t>北区</t>
        </is>
      </c>
      <c r="O654" s="3" t="inlineStr">
        <is>
          <t>香港</t>
        </is>
      </c>
      <c r="P654" s="3" t="inlineStr">
        <is>
          <t>香港特别行政区</t>
        </is>
      </c>
      <c r="Q654" s="3" t="n">
        <v>721499297</v>
      </c>
      <c r="R654" s="3" t="inlineStr">
        <is>
          <t>大門炸雞真正韓廚主理香港連鎖品牌</t>
        </is>
      </c>
      <c r="S654" s="3" t="inlineStr">
        <is>
          <t>****27000000</t>
        </is>
      </c>
      <c r="T654" s="3" t="inlineStr">
        <is>
          <t>****27000000</t>
        </is>
      </c>
      <c r="U654" s="3" t="inlineStr">
        <is>
          <t>***** 街樓地下低層</t>
        </is>
      </c>
      <c r="V654" s="3" t="inlineStr">
        <is>
          <t>香港</t>
        </is>
      </c>
      <c r="W654" s="3" t="inlineStr">
        <is>
          <t>无纺布【规格四大号】/ 箱出</t>
        </is>
      </c>
      <c r="X654" s="3" t="inlineStr">
        <is>
          <t>ESS-SFTS-OTMS</t>
        </is>
      </c>
      <c r="Y654" s="3" t="n"/>
      <c r="Z654" s="3" t="inlineStr"/>
      <c r="AA654" s="3" t="inlineStr">
        <is>
          <t>寄付月結</t>
        </is>
      </c>
      <c r="AB654">
        <f>IFERROR(VLOOKUP(Q654&amp;"",對照表!$A:$B,1,FALSE),"")</f>
        <v/>
      </c>
      <c r="AC654">
        <f>IFERROR(VLOOKUP(Q654&amp;"",對照表!$A:$B,2,FALSE),"")</f>
        <v/>
      </c>
    </row>
    <row r="655">
      <c r="A655" s="3" t="inlineStr">
        <is>
          <t>SF5116616533651</t>
        </is>
      </c>
      <c r="B655" s="3" t="n">
        <v>58424825806892</v>
      </c>
      <c r="C655" s="3" t="inlineStr">
        <is>
          <t>已簽收</t>
        </is>
      </c>
      <c r="D655" s="3" t="inlineStr">
        <is>
          <t>2026-07-03 10:31:09</t>
        </is>
      </c>
      <c r="E655" s="3" t="inlineStr">
        <is>
          <t>2026-07-04 12:21</t>
        </is>
      </c>
      <c r="F655" s="3" t="n">
        <v>11.6</v>
      </c>
      <c r="G655" s="3" t="n">
        <v>1</v>
      </c>
      <c r="H655" s="3" t="n"/>
      <c r="I655" s="3" t="inlineStr"/>
      <c r="J655" s="3" t="inlineStr">
        <is>
          <t>Keeta</t>
        </is>
      </c>
      <c r="K655" s="3" t="inlineStr">
        <is>
          <t>****9568</t>
        </is>
      </c>
      <c r="L655" s="3" t="n"/>
      <c r="M655" s="3" t="inlineStr">
        <is>
          <t>***** 物流中心5樓</t>
        </is>
      </c>
      <c r="N655" s="3" t="inlineStr">
        <is>
          <t>北区</t>
        </is>
      </c>
      <c r="O655" s="3" t="inlineStr">
        <is>
          <t>香港</t>
        </is>
      </c>
      <c r="P655" s="3" t="inlineStr">
        <is>
          <t>香港特别行政区</t>
        </is>
      </c>
      <c r="Q655" s="3" t="n">
        <v>473388</v>
      </c>
      <c r="R655" s="3" t="inlineStr">
        <is>
          <t>西西里餐廳Sicilia（大埔店）</t>
        </is>
      </c>
      <c r="S655" s="3" t="inlineStr">
        <is>
          <t>****28080339</t>
        </is>
      </c>
      <c r="T655" s="3" t="inlineStr">
        <is>
          <t>****28080339</t>
        </is>
      </c>
      <c r="U655" s="3" t="inlineStr">
        <is>
          <t>***** 地下13號舖</t>
        </is>
      </c>
      <c r="V655" s="3" t="inlineStr">
        <is>
          <t>香港</t>
        </is>
      </c>
      <c r="W655" s="3" t="inlineStr">
        <is>
          <t>无纺布【规格四大号】/ 箱出</t>
        </is>
      </c>
      <c r="X655" s="3" t="inlineStr">
        <is>
          <t>ESS-SFTS-OTMS</t>
        </is>
      </c>
      <c r="Y655" s="3" t="n"/>
      <c r="Z655" s="3" t="inlineStr"/>
      <c r="AA655" s="3" t="inlineStr">
        <is>
          <t>寄付月結</t>
        </is>
      </c>
      <c r="AB655">
        <f>IFERROR(VLOOKUP(Q655&amp;"",對照表!$A:$B,1,FALSE),"")</f>
        <v/>
      </c>
      <c r="AC655">
        <f>IFERROR(VLOOKUP(Q655&amp;"",對照表!$A:$B,2,FALSE),"")</f>
        <v/>
      </c>
    </row>
    <row r="656">
      <c r="A656" s="3" t="inlineStr">
        <is>
          <t>SF5116616533581</t>
        </is>
      </c>
      <c r="B656" s="3" t="n">
        <v>58424825806876</v>
      </c>
      <c r="C656" s="3" t="inlineStr">
        <is>
          <t>已簽收</t>
        </is>
      </c>
      <c r="D656" s="3" t="inlineStr">
        <is>
          <t>2026-07-03 11:10:04</t>
        </is>
      </c>
      <c r="E656" s="3" t="inlineStr">
        <is>
          <t>2026-07-04 14:18</t>
        </is>
      </c>
      <c r="F656" s="3" t="n">
        <v>60</v>
      </c>
      <c r="G656" s="3" t="n">
        <v>4</v>
      </c>
      <c r="H656" s="3" t="n"/>
      <c r="I656" s="3" t="inlineStr"/>
      <c r="J656" s="3" t="inlineStr">
        <is>
          <t>Keeta</t>
        </is>
      </c>
      <c r="K656" s="3" t="inlineStr">
        <is>
          <t>****9568</t>
        </is>
      </c>
      <c r="L656" s="3" t="n"/>
      <c r="M656" s="3" t="inlineStr">
        <is>
          <t>***** 物流中心5樓</t>
        </is>
      </c>
      <c r="N656" s="3" t="inlineStr">
        <is>
          <t>北区</t>
        </is>
      </c>
      <c r="O656" s="3" t="inlineStr">
        <is>
          <t>香港</t>
        </is>
      </c>
      <c r="P656" s="3" t="inlineStr">
        <is>
          <t>香港特别行政区</t>
        </is>
      </c>
      <c r="Q656" s="3" t="n">
        <v>590987</v>
      </c>
      <c r="R656" s="3" t="inlineStr">
        <is>
          <t>鉄皇子小賣所</t>
        </is>
      </c>
      <c r="S656" s="3" t="inlineStr">
        <is>
          <t>****54993728</t>
        </is>
      </c>
      <c r="T656" s="3" t="inlineStr">
        <is>
          <t>****54993728</t>
        </is>
      </c>
      <c r="U656" s="3" t="inlineStr">
        <is>
          <t>***** A54A號舖</t>
        </is>
      </c>
      <c r="V656" s="3" t="inlineStr">
        <is>
          <t>香港</t>
        </is>
      </c>
      <c r="W656" s="3" t="inlineStr">
        <is>
          <t>纸袋【通版】/ 箱出</t>
        </is>
      </c>
      <c r="X656" s="3" t="inlineStr">
        <is>
          <t>ESS-SFTS-OTMS</t>
        </is>
      </c>
      <c r="Y656" s="3" t="n"/>
      <c r="Z656" s="3" t="inlineStr"/>
      <c r="AA656" s="3" t="inlineStr">
        <is>
          <t>寄付月結</t>
        </is>
      </c>
      <c r="AB656">
        <f>IFERROR(VLOOKUP(Q656&amp;"",對照表!$A:$B,1,FALSE),"")</f>
        <v/>
      </c>
      <c r="AC656">
        <f>IFERROR(VLOOKUP(Q656&amp;"",對照表!$A:$B,2,FALSE),"")</f>
        <v/>
      </c>
    </row>
    <row r="657">
      <c r="A657" s="3" t="inlineStr">
        <is>
          <t>SF5116616691055</t>
        </is>
      </c>
      <c r="B657" s="3" t="n">
        <v>58424825806915</v>
      </c>
      <c r="C657" s="3" t="inlineStr">
        <is>
          <t>已簽收</t>
        </is>
      </c>
      <c r="D657" s="3" t="inlineStr">
        <is>
          <t>2026-07-03 13:52:17</t>
        </is>
      </c>
      <c r="E657" s="3" t="inlineStr">
        <is>
          <t>2026-07-04 14:13</t>
        </is>
      </c>
      <c r="F657" s="3" t="n">
        <v>15</v>
      </c>
      <c r="G657" s="3" t="n">
        <v>1</v>
      </c>
      <c r="H657" s="3" t="n"/>
      <c r="I657" s="3" t="inlineStr"/>
      <c r="J657" s="3" t="inlineStr">
        <is>
          <t>Keeta</t>
        </is>
      </c>
      <c r="K657" s="3" t="inlineStr">
        <is>
          <t>****9568</t>
        </is>
      </c>
      <c r="L657" s="3" t="n"/>
      <c r="M657" s="3" t="inlineStr">
        <is>
          <t>***** 物流中心5樓</t>
        </is>
      </c>
      <c r="N657" s="3" t="inlineStr">
        <is>
          <t>北区</t>
        </is>
      </c>
      <c r="O657" s="3" t="inlineStr">
        <is>
          <t>香港</t>
        </is>
      </c>
      <c r="P657" s="3" t="inlineStr">
        <is>
          <t>香港特别行政区</t>
        </is>
      </c>
      <c r="Q657" s="3" t="n">
        <v>721429377</v>
      </c>
      <c r="R657" s="3" t="inlineStr">
        <is>
          <t>火蓮花日本餐廳</t>
        </is>
      </c>
      <c r="S657" s="3" t="inlineStr">
        <is>
          <t>****26330881</t>
        </is>
      </c>
      <c r="T657" s="3" t="inlineStr">
        <is>
          <t>****26330881</t>
        </is>
      </c>
      <c r="U657" s="3" t="inlineStr">
        <is>
          <t>***** 逸酒店28F</t>
        </is>
      </c>
      <c r="V657" s="3" t="inlineStr">
        <is>
          <t>香港</t>
        </is>
      </c>
      <c r="W657" s="3" t="inlineStr">
        <is>
          <t>纸袋【通版】/ 箱出</t>
        </is>
      </c>
      <c r="X657" s="3" t="inlineStr">
        <is>
          <t>ESS-SFTS-OTMS</t>
        </is>
      </c>
      <c r="Y657" s="3" t="n"/>
      <c r="Z657" s="3" t="inlineStr"/>
      <c r="AA657" s="3" t="inlineStr">
        <is>
          <t>寄付月結</t>
        </is>
      </c>
      <c r="AB657">
        <f>IFERROR(VLOOKUP(Q657&amp;"",對照表!$A:$B,1,FALSE),"")</f>
        <v/>
      </c>
      <c r="AC657">
        <f>IFERROR(VLOOKUP(Q657&amp;"",對照表!$A:$B,2,FALSE),"")</f>
        <v/>
      </c>
    </row>
    <row r="658">
      <c r="A658" s="3" t="inlineStr">
        <is>
          <t>SF5116616533466</t>
        </is>
      </c>
      <c r="B658" s="3" t="n">
        <v>58424825774468</v>
      </c>
      <c r="C658" s="3" t="inlineStr">
        <is>
          <t>已簽收</t>
        </is>
      </c>
      <c r="D658" s="3" t="inlineStr">
        <is>
          <t>2026-07-03 10:45:19</t>
        </is>
      </c>
      <c r="E658" s="3" t="inlineStr">
        <is>
          <t>2026-07-04 11:29</t>
        </is>
      </c>
      <c r="F658" s="3" t="n">
        <v>6</v>
      </c>
      <c r="G658" s="3" t="n">
        <v>1</v>
      </c>
      <c r="H658" s="3" t="n"/>
      <c r="I658" s="3" t="inlineStr"/>
      <c r="J658" s="3" t="inlineStr">
        <is>
          <t>Keeta</t>
        </is>
      </c>
      <c r="K658" s="3" t="inlineStr">
        <is>
          <t>****9568</t>
        </is>
      </c>
      <c r="L658" s="3" t="n"/>
      <c r="M658" s="3" t="inlineStr">
        <is>
          <t>***** 物流中心5樓</t>
        </is>
      </c>
      <c r="N658" s="3" t="inlineStr">
        <is>
          <t>北区</t>
        </is>
      </c>
      <c r="O658" s="3" t="inlineStr">
        <is>
          <t>香港</t>
        </is>
      </c>
      <c r="P658" s="3" t="inlineStr">
        <is>
          <t>香港特别行政区</t>
        </is>
      </c>
      <c r="Q658" s="3" t="n">
        <v>487837</v>
      </c>
      <c r="R658" s="3" t="inlineStr">
        <is>
          <t>潮興魚蛋粉（爆款魚片頭）</t>
        </is>
      </c>
      <c r="S658" s="3" t="inlineStr">
        <is>
          <t>****21868522</t>
        </is>
      </c>
      <c r="T658" s="3" t="inlineStr">
        <is>
          <t>****21868522</t>
        </is>
      </c>
      <c r="U658" s="3" t="inlineStr">
        <is>
          <t>***** 偉倫大樓地舖</t>
        </is>
      </c>
      <c r="V658" s="3" t="inlineStr">
        <is>
          <t>香港</t>
        </is>
      </c>
      <c r="W658" s="3" t="inlineStr">
        <is>
          <t>塑料袋【大】/ 扎出</t>
        </is>
      </c>
      <c r="X658" s="3" t="inlineStr">
        <is>
          <t>ESS-SFTS-OTMS</t>
        </is>
      </c>
      <c r="Y658" s="3" t="n"/>
      <c r="Z658" s="3" t="inlineStr"/>
      <c r="AA658" s="3" t="inlineStr">
        <is>
          <t>寄付月結</t>
        </is>
      </c>
      <c r="AB658">
        <f>IFERROR(VLOOKUP(Q658&amp;"",對照表!$A:$B,1,FALSE),"")</f>
        <v/>
      </c>
      <c r="AC658">
        <f>IFERROR(VLOOKUP(Q658&amp;"",對照表!$A:$B,2,FALSE),"")</f>
        <v/>
      </c>
    </row>
    <row r="659">
      <c r="A659" s="3" t="inlineStr">
        <is>
          <t>SF5116616533606</t>
        </is>
      </c>
      <c r="B659" s="3" t="n">
        <v>58424825806880</v>
      </c>
      <c r="C659" s="3" t="inlineStr">
        <is>
          <t>已簽收</t>
        </is>
      </c>
      <c r="D659" s="3" t="inlineStr">
        <is>
          <t>2026-07-03 11:36:11</t>
        </is>
      </c>
      <c r="E659" s="3" t="inlineStr">
        <is>
          <t>2026-07-04 12:25</t>
        </is>
      </c>
      <c r="F659" s="3" t="n">
        <v>20.2</v>
      </c>
      <c r="G659" s="3" t="n">
        <v>2</v>
      </c>
      <c r="H659" s="3" t="n"/>
      <c r="I659" s="3" t="inlineStr"/>
      <c r="J659" s="3" t="inlineStr">
        <is>
          <t>Keeta</t>
        </is>
      </c>
      <c r="K659" s="3" t="inlineStr">
        <is>
          <t>****9568</t>
        </is>
      </c>
      <c r="L659" s="3" t="n"/>
      <c r="M659" s="3" t="inlineStr">
        <is>
          <t>***** 物流中心5樓</t>
        </is>
      </c>
      <c r="N659" s="3" t="inlineStr">
        <is>
          <t>北区</t>
        </is>
      </c>
      <c r="O659" s="3" t="inlineStr">
        <is>
          <t>香港</t>
        </is>
      </c>
      <c r="P659" s="3" t="inlineStr">
        <is>
          <t>香港特别行政区</t>
        </is>
      </c>
      <c r="Q659" s="3" t="n">
        <v>721442361</v>
      </c>
      <c r="R659" s="3" t="inlineStr">
        <is>
          <t>滿載靚扒專門店</t>
        </is>
      </c>
      <c r="S659" s="3" t="inlineStr">
        <is>
          <t>****59190910</t>
        </is>
      </c>
      <c r="T659" s="3" t="inlineStr">
        <is>
          <t>****59190910</t>
        </is>
      </c>
      <c r="U659" s="3" t="inlineStr">
        <is>
          <t>***** 閣地下1號舖</t>
        </is>
      </c>
      <c r="V659" s="3" t="inlineStr">
        <is>
          <t>香港</t>
        </is>
      </c>
      <c r="W659" s="3" t="inlineStr">
        <is>
          <t>无纺布【规格三中号】/ 箱出</t>
        </is>
      </c>
      <c r="X659" s="3" t="inlineStr">
        <is>
          <t>ESS-SFTS-OTMS</t>
        </is>
      </c>
      <c r="Y659" s="3" t="n"/>
      <c r="Z659" s="3" t="inlineStr"/>
      <c r="AA659" s="3" t="inlineStr">
        <is>
          <t>寄付月結</t>
        </is>
      </c>
      <c r="AB659">
        <f>IFERROR(VLOOKUP(Q659&amp;"",對照表!$A:$B,1,FALSE),"")</f>
        <v/>
      </c>
      <c r="AC659">
        <f>IFERROR(VLOOKUP(Q659&amp;"",對照表!$A:$B,2,FALSE),"")</f>
        <v/>
      </c>
    </row>
    <row r="660">
      <c r="A660" s="3" t="inlineStr">
        <is>
          <t>SF5116616533572</t>
        </is>
      </c>
      <c r="B660" s="3" t="n">
        <v>58424825806873</v>
      </c>
      <c r="C660" s="3" t="inlineStr">
        <is>
          <t>已簽收</t>
        </is>
      </c>
      <c r="D660" s="3" t="inlineStr">
        <is>
          <t>2026-07-03 10:27:11</t>
        </is>
      </c>
      <c r="E660" s="3" t="inlineStr">
        <is>
          <t>2026-07-04 15:42</t>
        </is>
      </c>
      <c r="F660" s="3" t="n">
        <v>1</v>
      </c>
      <c r="G660" s="3" t="n">
        <v>1</v>
      </c>
      <c r="H660" s="3" t="n"/>
      <c r="I660" s="3" t="inlineStr"/>
      <c r="J660" s="3" t="inlineStr">
        <is>
          <t>Keeta</t>
        </is>
      </c>
      <c r="K660" s="3" t="inlineStr">
        <is>
          <t>****9568</t>
        </is>
      </c>
      <c r="L660" s="3" t="n"/>
      <c r="M660" s="3" t="inlineStr">
        <is>
          <t>***** 物流中心5樓</t>
        </is>
      </c>
      <c r="N660" s="3" t="inlineStr">
        <is>
          <t>北区</t>
        </is>
      </c>
      <c r="O660" s="3" t="inlineStr">
        <is>
          <t>香港</t>
        </is>
      </c>
      <c r="P660" s="3" t="inlineStr">
        <is>
          <t>香港特别行政区</t>
        </is>
      </c>
      <c r="Q660" s="3" t="n">
        <v>448942</v>
      </c>
      <c r="R660" s="3" t="inlineStr">
        <is>
          <t>雞同鴨講（無骨海南雞一人餐埋嚟睇下囉）</t>
        </is>
      </c>
      <c r="S660" s="3" t="inlineStr">
        <is>
          <t>****91322790</t>
        </is>
      </c>
      <c r="T660" s="3" t="inlineStr">
        <is>
          <t>****91322790</t>
        </is>
      </c>
      <c r="U660" s="3" t="inlineStr">
        <is>
          <t>***** 樓8-9號舖</t>
        </is>
      </c>
      <c r="V660" s="3" t="inlineStr">
        <is>
          <t>香港</t>
        </is>
      </c>
      <c r="W660" s="3" t="inlineStr">
        <is>
          <t>塑料袋【大】/ 扎出</t>
        </is>
      </c>
      <c r="X660" s="3" t="inlineStr">
        <is>
          <t>ESS-SFTS-OTMS</t>
        </is>
      </c>
      <c r="Y660" s="3" t="n"/>
      <c r="Z660" s="3" t="inlineStr"/>
      <c r="AA660" s="3" t="inlineStr">
        <is>
          <t>寄付月結</t>
        </is>
      </c>
      <c r="AB660">
        <f>IFERROR(VLOOKUP(Q660&amp;"",對照表!$A:$B,1,FALSE),"")</f>
        <v/>
      </c>
      <c r="AC660">
        <f>IFERROR(VLOOKUP(Q660&amp;"",對照表!$A:$B,2,FALSE),"")</f>
        <v/>
      </c>
    </row>
    <row r="661">
      <c r="A661" s="3" t="inlineStr">
        <is>
          <t>SF5116616690997</t>
        </is>
      </c>
      <c r="B661" s="3" t="n">
        <v>58424825806902</v>
      </c>
      <c r="C661" s="3" t="inlineStr">
        <is>
          <t>已簽收</t>
        </is>
      </c>
      <c r="D661" s="3" t="inlineStr">
        <is>
          <t>2026-07-03 15:33:03</t>
        </is>
      </c>
      <c r="E661" s="3" t="inlineStr">
        <is>
          <t>2026-07-06 16:54</t>
        </is>
      </c>
      <c r="F661" s="3" t="n">
        <v>33.3</v>
      </c>
      <c r="G661" s="3" t="n">
        <v>3</v>
      </c>
      <c r="H661" s="3" t="n"/>
      <c r="I661" s="3" t="inlineStr"/>
      <c r="J661" s="3" t="inlineStr">
        <is>
          <t>Keeta</t>
        </is>
      </c>
      <c r="K661" s="3" t="inlineStr">
        <is>
          <t>****9568</t>
        </is>
      </c>
      <c r="L661" s="3" t="n"/>
      <c r="M661" s="3" t="inlineStr">
        <is>
          <t>***** 物流中心5樓</t>
        </is>
      </c>
      <c r="N661" s="3" t="inlineStr">
        <is>
          <t>北区</t>
        </is>
      </c>
      <c r="O661" s="3" t="inlineStr">
        <is>
          <t>香港</t>
        </is>
      </c>
      <c r="P661" s="3" t="inlineStr">
        <is>
          <t>香港特别行政区</t>
        </is>
      </c>
      <c r="Q661" s="3" t="n">
        <v>450972</v>
      </c>
      <c r="R661" s="3" t="inlineStr">
        <is>
          <t>CandysChicken卡蒂炸雞招牌美式酥脆炸雞(西環)</t>
        </is>
      </c>
      <c r="S661" s="3" t="inlineStr">
        <is>
          <t>****93114881</t>
        </is>
      </c>
      <c r="T661" s="3" t="inlineStr">
        <is>
          <t>****93114881</t>
        </is>
      </c>
      <c r="U661" s="3" t="inlineStr">
        <is>
          <t>***** 運樓地下D鋪</t>
        </is>
      </c>
      <c r="V661" s="3" t="inlineStr">
        <is>
          <t>香港</t>
        </is>
      </c>
      <c r="W661" s="3" t="inlineStr">
        <is>
          <t>无纺布【规格三中号】/ 箱出, 无纺布【规格四大号】/ 箱出</t>
        </is>
      </c>
      <c r="X661" s="3" t="inlineStr">
        <is>
          <t>ESS-SFTS-OTMS</t>
        </is>
      </c>
      <c r="Y661" s="3" t="n"/>
      <c r="Z661" s="3" t="inlineStr"/>
      <c r="AA661" s="3" t="inlineStr">
        <is>
          <t>寄付月結</t>
        </is>
      </c>
      <c r="AB661">
        <f>IFERROR(VLOOKUP(Q661&amp;"",對照表!$A:$B,1,FALSE),"")</f>
        <v/>
      </c>
      <c r="AC661">
        <f>IFERROR(VLOOKUP(Q661&amp;"",對照表!$A:$B,2,FALSE),"")</f>
        <v/>
      </c>
    </row>
    <row r="662">
      <c r="A662" s="3" t="inlineStr">
        <is>
          <t>SF5116616691028</t>
        </is>
      </c>
      <c r="B662" s="3" t="n">
        <v>58424825806909</v>
      </c>
      <c r="C662" s="3" t="inlineStr">
        <is>
          <t>已簽收</t>
        </is>
      </c>
      <c r="D662" s="3" t="inlineStr">
        <is>
          <t>2026-07-03 10:27:26</t>
        </is>
      </c>
      <c r="E662" s="3" t="inlineStr">
        <is>
          <t>2026-07-04 12:43</t>
        </is>
      </c>
      <c r="F662" s="3" t="n">
        <v>1</v>
      </c>
      <c r="G662" s="3" t="n">
        <v>1</v>
      </c>
      <c r="H662" s="3" t="n"/>
      <c r="I662" s="3" t="inlineStr"/>
      <c r="J662" s="3" t="inlineStr">
        <is>
          <t>Keeta</t>
        </is>
      </c>
      <c r="K662" s="3" t="inlineStr">
        <is>
          <t>****9568</t>
        </is>
      </c>
      <c r="L662" s="3" t="n"/>
      <c r="M662" s="3" t="inlineStr">
        <is>
          <t>***** 物流中心5樓</t>
        </is>
      </c>
      <c r="N662" s="3" t="inlineStr">
        <is>
          <t>北区</t>
        </is>
      </c>
      <c r="O662" s="3" t="inlineStr">
        <is>
          <t>香港</t>
        </is>
      </c>
      <c r="P662" s="3" t="inlineStr">
        <is>
          <t>香港特别行政区</t>
        </is>
      </c>
      <c r="Q662" s="3" t="n">
        <v>597288</v>
      </c>
      <c r="R662" s="3" t="inlineStr">
        <is>
          <t>卡本卡網絡人氣冬陰功撈麵正式上架新便當小食組合</t>
        </is>
      </c>
      <c r="S662" s="3" t="inlineStr">
        <is>
          <t>****98353207</t>
        </is>
      </c>
      <c r="T662" s="3" t="inlineStr">
        <is>
          <t>****98353207</t>
        </is>
      </c>
      <c r="U662" s="3" t="inlineStr">
        <is>
          <t>***** 下10A號鋪</t>
        </is>
      </c>
      <c r="V662" s="3" t="inlineStr">
        <is>
          <t>香港</t>
        </is>
      </c>
      <c r="W662" s="3" t="inlineStr">
        <is>
          <t>塑料袋【大】/ 扎出</t>
        </is>
      </c>
      <c r="X662" s="3" t="inlineStr">
        <is>
          <t>ESS-SFTS-OTMS</t>
        </is>
      </c>
      <c r="Y662" s="3" t="n"/>
      <c r="Z662" s="3" t="inlineStr"/>
      <c r="AA662" s="3" t="inlineStr">
        <is>
          <t>寄付月結</t>
        </is>
      </c>
      <c r="AB662">
        <f>IFERROR(VLOOKUP(Q662&amp;"",對照表!$A:$B,1,FALSE),"")</f>
        <v/>
      </c>
      <c r="AC662">
        <f>IFERROR(VLOOKUP(Q662&amp;"",對照表!$A:$B,2,FALSE),"")</f>
        <v/>
      </c>
    </row>
    <row r="663">
      <c r="A663" s="3" t="inlineStr">
        <is>
          <t>SF5116616690951</t>
        </is>
      </c>
      <c r="B663" s="3" t="n">
        <v>58424825806894</v>
      </c>
      <c r="C663" s="3" t="inlineStr">
        <is>
          <t>已簽收</t>
        </is>
      </c>
      <c r="D663" s="3" t="inlineStr">
        <is>
          <t>2026-07-03 17:08:22</t>
        </is>
      </c>
      <c r="E663" s="3" t="inlineStr">
        <is>
          <t>2026-07-04 09:47</t>
        </is>
      </c>
      <c r="F663" s="3" t="n">
        <v>59.4</v>
      </c>
      <c r="G663" s="3" t="n">
        <v>6</v>
      </c>
      <c r="H663" s="3" t="n"/>
      <c r="I663" s="3" t="inlineStr"/>
      <c r="J663" s="3" t="inlineStr">
        <is>
          <t>Keeta</t>
        </is>
      </c>
      <c r="K663" s="3" t="inlineStr">
        <is>
          <t>****9568</t>
        </is>
      </c>
      <c r="L663" s="3" t="n"/>
      <c r="M663" s="3" t="inlineStr">
        <is>
          <t>***** 物流中心5樓</t>
        </is>
      </c>
      <c r="N663" s="3" t="inlineStr">
        <is>
          <t>北区</t>
        </is>
      </c>
      <c r="O663" s="3" t="inlineStr">
        <is>
          <t>香港</t>
        </is>
      </c>
      <c r="P663" s="3" t="inlineStr">
        <is>
          <t>香港特别行政区</t>
        </is>
      </c>
      <c r="Q663" s="3" t="n">
        <v>485237</v>
      </c>
      <c r="R663" s="3" t="inlineStr">
        <is>
          <t>港作港式創作料理健康5級之選</t>
        </is>
      </c>
      <c r="S663" s="3" t="inlineStr">
        <is>
          <t>****68880372</t>
        </is>
      </c>
      <c r="T663" s="3" t="inlineStr">
        <is>
          <t>****68880372</t>
        </is>
      </c>
      <c r="U663" s="3" t="inlineStr">
        <is>
          <t>***** 座10樓K室</t>
        </is>
      </c>
      <c r="V663" s="3" t="inlineStr">
        <is>
          <t>香港</t>
        </is>
      </c>
      <c r="W663" s="3" t="inlineStr">
        <is>
          <t>无纺布【规格三中号】/ 箱出</t>
        </is>
      </c>
      <c r="X663" s="3" t="inlineStr">
        <is>
          <t>ESS-SFTS-OTMS</t>
        </is>
      </c>
      <c r="Y663" s="3" t="n"/>
      <c r="Z663" s="3" t="inlineStr"/>
      <c r="AA663" s="3" t="inlineStr">
        <is>
          <t>寄付月結</t>
        </is>
      </c>
      <c r="AB663">
        <f>IFERROR(VLOOKUP(Q663&amp;"",對照表!$A:$B,1,FALSE),"")</f>
        <v/>
      </c>
      <c r="AC663">
        <f>IFERROR(VLOOKUP(Q663&amp;"",對照表!$A:$B,2,FALSE),"")</f>
        <v/>
      </c>
    </row>
    <row r="664">
      <c r="A664" s="3" t="inlineStr">
        <is>
          <t>SF5116616691064</t>
        </is>
      </c>
      <c r="B664" s="3" t="n">
        <v>58424825806919</v>
      </c>
      <c r="C664" s="3" t="inlineStr">
        <is>
          <t>已簽收</t>
        </is>
      </c>
      <c r="D664" s="3" t="inlineStr">
        <is>
          <t>2026-07-03 15:32:25</t>
        </is>
      </c>
      <c r="E664" s="3" t="inlineStr">
        <is>
          <t>2026-07-04 13:03</t>
        </is>
      </c>
      <c r="F664" s="3" t="n">
        <v>31.8</v>
      </c>
      <c r="G664" s="3" t="n">
        <v>3</v>
      </c>
      <c r="H664" s="3" t="n"/>
      <c r="I664" s="3" t="inlineStr"/>
      <c r="J664" s="3" t="inlineStr">
        <is>
          <t>Keeta</t>
        </is>
      </c>
      <c r="K664" s="3" t="inlineStr">
        <is>
          <t>****9568</t>
        </is>
      </c>
      <c r="L664" s="3" t="n"/>
      <c r="M664" s="3" t="inlineStr">
        <is>
          <t>***** 物流中心5樓</t>
        </is>
      </c>
      <c r="N664" s="3" t="inlineStr">
        <is>
          <t>北区</t>
        </is>
      </c>
      <c r="O664" s="3" t="inlineStr">
        <is>
          <t>香港</t>
        </is>
      </c>
      <c r="P664" s="3" t="inlineStr">
        <is>
          <t>香港特别行政区</t>
        </is>
      </c>
      <c r="Q664" s="3" t="n">
        <v>560121</v>
      </c>
      <c r="R664" s="3" t="inlineStr">
        <is>
          <t>紅日蛋包飯全港人氣蛋包飯之最（鰂魚涌）</t>
        </is>
      </c>
      <c r="S664" s="3" t="inlineStr">
        <is>
          <t>****61725628</t>
        </is>
      </c>
      <c r="T664" s="3" t="inlineStr">
        <is>
          <t>****61725628</t>
        </is>
      </c>
      <c r="U664" s="3" t="inlineStr">
        <is>
          <t>***** 7A及9A號</t>
        </is>
      </c>
      <c r="V664" s="3" t="inlineStr">
        <is>
          <t>香港</t>
        </is>
      </c>
      <c r="W664" s="3" t="inlineStr">
        <is>
          <t>无纺布【规格三中号】/ 箱出, 无纺布【规格四大号】/ 箱出</t>
        </is>
      </c>
      <c r="X664" s="3" t="inlineStr">
        <is>
          <t>ESS-SFTS-OTMS</t>
        </is>
      </c>
      <c r="Y664" s="3" t="n"/>
      <c r="Z664" s="3" t="inlineStr"/>
      <c r="AA664" s="3" t="inlineStr">
        <is>
          <t>寄付月結</t>
        </is>
      </c>
      <c r="AB664">
        <f>IFERROR(VLOOKUP(Q664&amp;"",對照表!$A:$B,1,FALSE),"")</f>
        <v/>
      </c>
      <c r="AC664">
        <f>IFERROR(VLOOKUP(Q664&amp;"",對照表!$A:$B,2,FALSE),"")</f>
        <v/>
      </c>
    </row>
    <row r="665">
      <c r="A665" s="3" t="inlineStr">
        <is>
          <t>SF5116616533624</t>
        </is>
      </c>
      <c r="B665" s="3" t="n">
        <v>58424825806884</v>
      </c>
      <c r="C665" s="3" t="inlineStr">
        <is>
          <t>已簽收</t>
        </is>
      </c>
      <c r="D665" s="3" t="inlineStr">
        <is>
          <t>2026-07-03 15:09:30</t>
        </is>
      </c>
      <c r="E665" s="3" t="inlineStr">
        <is>
          <t>2026-07-04 09:54</t>
        </is>
      </c>
      <c r="F665" s="3" t="n">
        <v>1.05</v>
      </c>
      <c r="G665" s="3" t="n">
        <v>2</v>
      </c>
      <c r="H665" s="3" t="n"/>
      <c r="I665" s="3" t="inlineStr"/>
      <c r="J665" s="3" t="inlineStr">
        <is>
          <t>Keeta</t>
        </is>
      </c>
      <c r="K665" s="3" t="inlineStr">
        <is>
          <t>****9568</t>
        </is>
      </c>
      <c r="L665" s="3" t="n"/>
      <c r="M665" s="3" t="inlineStr">
        <is>
          <t>***** 物流中心5樓</t>
        </is>
      </c>
      <c r="N665" s="3" t="inlineStr">
        <is>
          <t>北区</t>
        </is>
      </c>
      <c r="O665" s="3" t="inlineStr">
        <is>
          <t>香港</t>
        </is>
      </c>
      <c r="P665" s="3" t="inlineStr">
        <is>
          <t>香港特别行政区</t>
        </is>
      </c>
      <c r="Q665" s="3" t="n">
        <v>493114</v>
      </c>
      <c r="R665" s="3" t="inlineStr">
        <is>
          <t>呂錦記手撕雞專門店(西營盤店)</t>
        </is>
      </c>
      <c r="S665" s="3" t="inlineStr">
        <is>
          <t>****97132723</t>
        </is>
      </c>
      <c r="T665" s="3" t="inlineStr">
        <is>
          <t>****97132723</t>
        </is>
      </c>
      <c r="U665" s="3" t="inlineStr">
        <is>
          <t>***** 大廈5A地舖</t>
        </is>
      </c>
      <c r="V665" s="3" t="inlineStr">
        <is>
          <t>香港</t>
        </is>
      </c>
      <c r="W665" s="3" t="inlineStr">
        <is>
          <t>塑料袋【小】/ 扎出, 塑料袋【大】/ 扎出</t>
        </is>
      </c>
      <c r="X665" s="3" t="inlineStr">
        <is>
          <t>ESS-SFTS-OTMS</t>
        </is>
      </c>
      <c r="Y665" s="3" t="n"/>
      <c r="Z665" s="3" t="inlineStr"/>
      <c r="AA665" s="3" t="inlineStr">
        <is>
          <t>寄付月結</t>
        </is>
      </c>
      <c r="AB665">
        <f>IFERROR(VLOOKUP(Q665&amp;"",對照表!$A:$B,1,FALSE),"")</f>
        <v/>
      </c>
      <c r="AC665">
        <f>IFERROR(VLOOKUP(Q665&amp;"",對照表!$A:$B,2,FALSE),"")</f>
        <v/>
      </c>
    </row>
    <row r="666">
      <c r="A666" s="3" t="inlineStr">
        <is>
          <t>SF5116616691116</t>
        </is>
      </c>
      <c r="B666" s="3" t="n">
        <v>58424825806929</v>
      </c>
      <c r="C666" s="3" t="inlineStr">
        <is>
          <t>派送中</t>
        </is>
      </c>
      <c r="D666" s="3" t="inlineStr">
        <is>
          <t>2026-07-03 11:51:50</t>
        </is>
      </c>
      <c r="E666" s="3" t="n"/>
      <c r="F666" s="3" t="n">
        <v>10.1</v>
      </c>
      <c r="G666" s="3" t="n">
        <v>1</v>
      </c>
      <c r="H666" s="3" t="n"/>
      <c r="I666" s="3" t="inlineStr"/>
      <c r="J666" s="3" t="inlineStr">
        <is>
          <t>Keeta</t>
        </is>
      </c>
      <c r="K666" s="3" t="inlineStr">
        <is>
          <t>****9568</t>
        </is>
      </c>
      <c r="L666" s="3" t="n"/>
      <c r="M666" s="3" t="inlineStr">
        <is>
          <t>***** 物流中心5樓</t>
        </is>
      </c>
      <c r="N666" s="3" t="inlineStr">
        <is>
          <t>北区</t>
        </is>
      </c>
      <c r="O666" s="3" t="inlineStr">
        <is>
          <t>香港</t>
        </is>
      </c>
      <c r="P666" s="3" t="inlineStr">
        <is>
          <t>香港特别行政区</t>
        </is>
      </c>
      <c r="Q666" s="3" t="n">
        <v>600595</v>
      </c>
      <c r="R666" s="3" t="inlineStr">
        <is>
          <t>辣辣屋ChiliHouse</t>
        </is>
      </c>
      <c r="S666" s="3" t="inlineStr">
        <is>
          <t>****26832048</t>
        </is>
      </c>
      <c r="T666" s="3" t="inlineStr">
        <is>
          <t>****26832048</t>
        </is>
      </c>
      <c r="U666" s="3" t="inlineStr">
        <is>
          <t>***** 樓地下A號舖</t>
        </is>
      </c>
      <c r="V666" s="3" t="inlineStr">
        <is>
          <t>香港</t>
        </is>
      </c>
      <c r="W666" s="3" t="inlineStr">
        <is>
          <t>无纺布【规格三中号】/ 箱出</t>
        </is>
      </c>
      <c r="X666" s="3" t="inlineStr">
        <is>
          <t>ESS-SFTS-OTMS</t>
        </is>
      </c>
      <c r="Y666" s="3" t="n"/>
      <c r="Z666" s="3" t="inlineStr"/>
      <c r="AA666" s="3" t="inlineStr">
        <is>
          <t>寄付月結</t>
        </is>
      </c>
      <c r="AB666">
        <f>IFERROR(VLOOKUP(Q666&amp;"",對照表!$A:$B,1,FALSE),"")</f>
        <v/>
      </c>
      <c r="AC666">
        <f>IFERROR(VLOOKUP(Q666&amp;"",對照表!$A:$B,2,FALSE),"")</f>
        <v/>
      </c>
    </row>
    <row r="667">
      <c r="A667" s="3" t="inlineStr">
        <is>
          <t>SF5116616691082</t>
        </is>
      </c>
      <c r="B667" s="3" t="n">
        <v>58424825806922</v>
      </c>
      <c r="C667" s="3" t="inlineStr">
        <is>
          <t>已簽收</t>
        </is>
      </c>
      <c r="D667" s="3" t="inlineStr">
        <is>
          <t>2026-07-03 10:31:07</t>
        </is>
      </c>
      <c r="E667" s="3" t="inlineStr">
        <is>
          <t>2026-07-07 12:02</t>
        </is>
      </c>
      <c r="F667" s="3" t="n">
        <v>11.6</v>
      </c>
      <c r="G667" s="3" t="n">
        <v>1</v>
      </c>
      <c r="H667" s="3" t="n"/>
      <c r="I667" s="3" t="inlineStr"/>
      <c r="J667" s="3" t="inlineStr">
        <is>
          <t>Keeta</t>
        </is>
      </c>
      <c r="K667" s="3" t="inlineStr">
        <is>
          <t>****9568</t>
        </is>
      </c>
      <c r="L667" s="3" t="n"/>
      <c r="M667" s="3" t="inlineStr">
        <is>
          <t>***** 物流中心5樓</t>
        </is>
      </c>
      <c r="N667" s="3" t="inlineStr">
        <is>
          <t>北区</t>
        </is>
      </c>
      <c r="O667" s="3" t="inlineStr">
        <is>
          <t>香港</t>
        </is>
      </c>
      <c r="P667" s="3" t="inlineStr">
        <is>
          <t>香港特别行政区</t>
        </is>
      </c>
      <c r="Q667" s="3" t="n">
        <v>494611</v>
      </c>
      <c r="R667" s="3" t="inlineStr">
        <is>
          <t>西西里餐廳Sicilia（聯和墟店）</t>
        </is>
      </c>
      <c r="S667" s="3" t="inlineStr">
        <is>
          <t>****0637</t>
        </is>
      </c>
      <c r="T667" s="3" t="inlineStr">
        <is>
          <t>****0637</t>
        </is>
      </c>
      <c r="U667" s="3" t="inlineStr">
        <is>
          <t>***** 楼205号铺</t>
        </is>
      </c>
      <c r="V667" s="3" t="inlineStr">
        <is>
          <t>香港</t>
        </is>
      </c>
      <c r="W667" s="3" t="inlineStr">
        <is>
          <t>无纺布【规格四大号】/ 箱出</t>
        </is>
      </c>
      <c r="X667" s="3" t="inlineStr">
        <is>
          <t>ESS-SFTS-OTMS</t>
        </is>
      </c>
      <c r="Y667" s="3" t="n"/>
      <c r="Z667" s="3" t="inlineStr"/>
      <c r="AA667" s="3" t="inlineStr">
        <is>
          <t>寄付月結</t>
        </is>
      </c>
      <c r="AB667">
        <f>IFERROR(VLOOKUP(Q667&amp;"",對照表!$A:$B,1,FALSE),"")</f>
        <v/>
      </c>
      <c r="AC667">
        <f>IFERROR(VLOOKUP(Q667&amp;"",對照表!$A:$B,2,FALSE),"")</f>
        <v/>
      </c>
    </row>
    <row r="668">
      <c r="A668" s="3" t="inlineStr">
        <is>
          <t>SF5116616691143</t>
        </is>
      </c>
      <c r="B668" s="3" t="n">
        <v>58424825806936</v>
      </c>
      <c r="C668" s="3" t="inlineStr">
        <is>
          <t>已簽收</t>
        </is>
      </c>
      <c r="D668" s="3" t="inlineStr">
        <is>
          <t>2026-07-03 11:51:44</t>
        </is>
      </c>
      <c r="E668" s="3" t="inlineStr">
        <is>
          <t>2026-07-04 12:01</t>
        </is>
      </c>
      <c r="F668" s="3" t="n">
        <v>20.2</v>
      </c>
      <c r="G668" s="3" t="n">
        <v>2</v>
      </c>
      <c r="H668" s="3" t="n"/>
      <c r="I668" s="3" t="inlineStr"/>
      <c r="J668" s="3" t="inlineStr">
        <is>
          <t>Keeta</t>
        </is>
      </c>
      <c r="K668" s="3" t="inlineStr">
        <is>
          <t>****9568</t>
        </is>
      </c>
      <c r="L668" s="3" t="n"/>
      <c r="M668" s="3" t="inlineStr">
        <is>
          <t>***** 物流中心5樓</t>
        </is>
      </c>
      <c r="N668" s="3" t="inlineStr">
        <is>
          <t>北区</t>
        </is>
      </c>
      <c r="O668" s="3" t="inlineStr">
        <is>
          <t>香港</t>
        </is>
      </c>
      <c r="P668" s="3" t="inlineStr">
        <is>
          <t>香港特别行政区</t>
        </is>
      </c>
      <c r="Q668" s="3" t="n">
        <v>474055</v>
      </c>
      <c r="R668" s="3" t="inlineStr">
        <is>
          <t>窯雞王（灣仔店）</t>
        </is>
      </c>
      <c r="S668" s="3" t="inlineStr">
        <is>
          <t>****54163506</t>
        </is>
      </c>
      <c r="T668" s="3" t="inlineStr">
        <is>
          <t>****54163506</t>
        </is>
      </c>
      <c r="U668" s="3" t="inlineStr">
        <is>
          <t>***** 地下B1號舖</t>
        </is>
      </c>
      <c r="V668" s="3" t="inlineStr">
        <is>
          <t>香港</t>
        </is>
      </c>
      <c r="W668" s="3" t="inlineStr">
        <is>
          <t>无纺布【规格三中号】/ 箱出</t>
        </is>
      </c>
      <c r="X668" s="3" t="inlineStr">
        <is>
          <t>ESS-SFTS-OTMS</t>
        </is>
      </c>
      <c r="Y668" s="3" t="n"/>
      <c r="Z668" s="3" t="inlineStr"/>
      <c r="AA668" s="3" t="inlineStr">
        <is>
          <t>寄付月結</t>
        </is>
      </c>
      <c r="AB668">
        <f>IFERROR(VLOOKUP(Q668&amp;"",對照表!$A:$B,1,FALSE),"")</f>
        <v/>
      </c>
      <c r="AC668">
        <f>IFERROR(VLOOKUP(Q668&amp;"",對照表!$A:$B,2,FALSE),"")</f>
        <v/>
      </c>
    </row>
    <row r="669">
      <c r="A669" s="3" t="inlineStr">
        <is>
          <t>SF5116616533642</t>
        </is>
      </c>
      <c r="B669" s="3" t="n">
        <v>58424825806890</v>
      </c>
      <c r="C669" s="3" t="inlineStr">
        <is>
          <t>已簽收</t>
        </is>
      </c>
      <c r="D669" s="3" t="inlineStr">
        <is>
          <t>2026-07-03 11:44:54</t>
        </is>
      </c>
      <c r="E669" s="3" t="inlineStr">
        <is>
          <t>2026-07-04 11:13</t>
        </is>
      </c>
      <c r="F669" s="3" t="n">
        <v>23.64</v>
      </c>
      <c r="G669" s="3" t="n">
        <v>2</v>
      </c>
      <c r="H669" s="3" t="n"/>
      <c r="I669" s="3" t="inlineStr"/>
      <c r="J669" s="3" t="inlineStr">
        <is>
          <t>Keeta</t>
        </is>
      </c>
      <c r="K669" s="3" t="inlineStr">
        <is>
          <t>****9568</t>
        </is>
      </c>
      <c r="L669" s="3" t="n"/>
      <c r="M669" s="3" t="inlineStr">
        <is>
          <t>***** 物流中心5樓</t>
        </is>
      </c>
      <c r="N669" s="3" t="inlineStr">
        <is>
          <t>北区</t>
        </is>
      </c>
      <c r="O669" s="3" t="inlineStr">
        <is>
          <t>香港</t>
        </is>
      </c>
      <c r="P669" s="3" t="inlineStr">
        <is>
          <t>香港特别行政区</t>
        </is>
      </c>
      <c r="Q669" s="3" t="n">
        <v>461670</v>
      </c>
      <c r="R669" s="3" t="inlineStr">
        <is>
          <t>KAiPokeBowl</t>
        </is>
      </c>
      <c r="S669" s="3" t="inlineStr">
        <is>
          <t>****62834419</t>
        </is>
      </c>
      <c r="T669" s="3" t="inlineStr">
        <is>
          <t>****62834419</t>
        </is>
      </c>
      <c r="U669" s="3" t="inlineStr">
        <is>
          <t>***** 工房04號舖</t>
        </is>
      </c>
      <c r="V669" s="3" t="inlineStr">
        <is>
          <t>香港</t>
        </is>
      </c>
      <c r="W669" s="3" t="inlineStr">
        <is>
          <t>无纺布【Preminum黑】/ 箱出</t>
        </is>
      </c>
      <c r="X669" s="3" t="inlineStr">
        <is>
          <t>ESS-SFTS-OTMS</t>
        </is>
      </c>
      <c r="Y669" s="3" t="n"/>
      <c r="Z669" s="3" t="inlineStr"/>
      <c r="AA669" s="3" t="inlineStr">
        <is>
          <t>寄付月結</t>
        </is>
      </c>
      <c r="AB669">
        <f>IFERROR(VLOOKUP(Q669&amp;"",對照表!$A:$B,1,FALSE),"")</f>
        <v/>
      </c>
      <c r="AC669">
        <f>IFERROR(VLOOKUP(Q669&amp;"",對照表!$A:$B,2,FALSE),"")</f>
        <v/>
      </c>
    </row>
    <row r="670">
      <c r="A670" s="3" t="inlineStr">
        <is>
          <t>SF5116616691107</t>
        </is>
      </c>
      <c r="B670" s="3" t="n">
        <v>58424825806926</v>
      </c>
      <c r="C670" s="3" t="inlineStr">
        <is>
          <t>已簽收</t>
        </is>
      </c>
      <c r="D670" s="3" t="inlineStr">
        <is>
          <t>2026-07-03 11:45:28</t>
        </is>
      </c>
      <c r="E670" s="3" t="inlineStr">
        <is>
          <t>2026-07-04 12:32</t>
        </is>
      </c>
      <c r="F670" s="3" t="n">
        <v>11.9</v>
      </c>
      <c r="G670" s="3" t="n">
        <v>1</v>
      </c>
      <c r="H670" s="3" t="n"/>
      <c r="I670" s="3" t="inlineStr"/>
      <c r="J670" s="3" t="inlineStr">
        <is>
          <t>Keeta</t>
        </is>
      </c>
      <c r="K670" s="3" t="inlineStr">
        <is>
          <t>****9568</t>
        </is>
      </c>
      <c r="L670" s="3" t="n"/>
      <c r="M670" s="3" t="inlineStr">
        <is>
          <t>***** 物流中心5樓</t>
        </is>
      </c>
      <c r="N670" s="3" t="inlineStr">
        <is>
          <t>北区</t>
        </is>
      </c>
      <c r="O670" s="3" t="inlineStr">
        <is>
          <t>香港</t>
        </is>
      </c>
      <c r="P670" s="3" t="inlineStr">
        <is>
          <t>香港特别行政区</t>
        </is>
      </c>
      <c r="Q670" s="3" t="n">
        <v>721449312</v>
      </c>
      <c r="R670" s="3" t="inlineStr">
        <is>
          <t>NBURGER（跑馬地）</t>
        </is>
      </c>
      <c r="S670" s="3" t="inlineStr">
        <is>
          <t>****22050208</t>
        </is>
      </c>
      <c r="T670" s="3" t="inlineStr">
        <is>
          <t>****22050208</t>
        </is>
      </c>
      <c r="U670" s="3" t="inlineStr">
        <is>
          <t>***** BURGER</t>
        </is>
      </c>
      <c r="V670" s="3" t="inlineStr">
        <is>
          <t>香港</t>
        </is>
      </c>
      <c r="W670" s="3" t="inlineStr">
        <is>
          <t>无纺布【Preminum黑】/ 箱出</t>
        </is>
      </c>
      <c r="X670" s="3" t="inlineStr">
        <is>
          <t>ESS-SFTS-OTMS</t>
        </is>
      </c>
      <c r="Y670" s="3" t="n"/>
      <c r="Z670" s="3" t="inlineStr"/>
      <c r="AA670" s="3" t="inlineStr">
        <is>
          <t>寄付月結</t>
        </is>
      </c>
      <c r="AB670">
        <f>IFERROR(VLOOKUP(Q670&amp;"",對照表!$A:$B,1,FALSE),"")</f>
        <v/>
      </c>
      <c r="AC670">
        <f>IFERROR(VLOOKUP(Q670&amp;"",對照表!$A:$B,2,FALSE),"")</f>
        <v/>
      </c>
    </row>
    <row r="671">
      <c r="A671" s="3" t="inlineStr">
        <is>
          <t>SF5116616691046</t>
        </is>
      </c>
      <c r="B671" s="3" t="n">
        <v>58424825806912</v>
      </c>
      <c r="C671" s="3" t="inlineStr">
        <is>
          <t>已簽收</t>
        </is>
      </c>
      <c r="D671" s="3" t="inlineStr">
        <is>
          <t>2026-07-03 11:44:53</t>
        </is>
      </c>
      <c r="E671" s="3" t="inlineStr">
        <is>
          <t>2026-07-04 12:56</t>
        </is>
      </c>
      <c r="F671" s="3" t="n">
        <v>23.64</v>
      </c>
      <c r="G671" s="3" t="n">
        <v>2</v>
      </c>
      <c r="H671" s="3" t="n"/>
      <c r="I671" s="3" t="inlineStr"/>
      <c r="J671" s="3" t="inlineStr">
        <is>
          <t>Keeta</t>
        </is>
      </c>
      <c r="K671" s="3" t="inlineStr">
        <is>
          <t>****9568</t>
        </is>
      </c>
      <c r="L671" s="3" t="n"/>
      <c r="M671" s="3" t="inlineStr">
        <is>
          <t>***** 物流中心5樓</t>
        </is>
      </c>
      <c r="N671" s="3" t="inlineStr">
        <is>
          <t>北区</t>
        </is>
      </c>
      <c r="O671" s="3" t="inlineStr">
        <is>
          <t>香港</t>
        </is>
      </c>
      <c r="P671" s="3" t="inlineStr">
        <is>
          <t>香港特别行政区</t>
        </is>
      </c>
      <c r="Q671" s="3" t="n">
        <v>744191</v>
      </c>
      <c r="R671" s="3" t="inlineStr">
        <is>
          <t>NBURGER（堅尼地城）</t>
        </is>
      </c>
      <c r="S671" s="3" t="inlineStr">
        <is>
          <t>****60950218</t>
        </is>
      </c>
      <c r="T671" s="3" t="inlineStr">
        <is>
          <t>****60950218</t>
        </is>
      </c>
      <c r="U671" s="3" t="inlineStr">
        <is>
          <t>***** 2號及3號舖</t>
        </is>
      </c>
      <c r="V671" s="3" t="inlineStr">
        <is>
          <t>香港</t>
        </is>
      </c>
      <c r="W671" s="3" t="inlineStr">
        <is>
          <t>无纺布【Preminum黑】/ 箱出</t>
        </is>
      </c>
      <c r="X671" s="3" t="inlineStr">
        <is>
          <t>ESS-SFTS-OTMS</t>
        </is>
      </c>
      <c r="Y671" s="3" t="n"/>
      <c r="Z671" s="3" t="inlineStr"/>
      <c r="AA671" s="3" t="inlineStr">
        <is>
          <t>寄付月結</t>
        </is>
      </c>
      <c r="AB671">
        <f>IFERROR(VLOOKUP(Q671&amp;"",對照表!$A:$B,1,FALSE),"")</f>
        <v/>
      </c>
      <c r="AC671">
        <f>IFERROR(VLOOKUP(Q671&amp;"",對照表!$A:$B,2,FALSE),"")</f>
        <v/>
      </c>
    </row>
    <row r="672">
      <c r="A672" s="3" t="inlineStr">
        <is>
          <t>SF5116616533411</t>
        </is>
      </c>
      <c r="B672" s="3" t="n">
        <v>58424825774456</v>
      </c>
      <c r="C672" s="3" t="inlineStr">
        <is>
          <t>已簽收</t>
        </is>
      </c>
      <c r="D672" s="3" t="inlineStr">
        <is>
          <t>2026-07-03 11:13:30</t>
        </is>
      </c>
      <c r="E672" s="3" t="inlineStr">
        <is>
          <t>2026-07-07 09:41</t>
        </is>
      </c>
      <c r="F672" s="3" t="n">
        <v>45</v>
      </c>
      <c r="G672" s="3" t="n">
        <v>3</v>
      </c>
      <c r="H672" s="3" t="n"/>
      <c r="I672" s="3" t="inlineStr"/>
      <c r="J672" s="3" t="inlineStr">
        <is>
          <t>Keeta</t>
        </is>
      </c>
      <c r="K672" s="3" t="inlineStr">
        <is>
          <t>****9568</t>
        </is>
      </c>
      <c r="L672" s="3" t="n"/>
      <c r="M672" s="3" t="inlineStr">
        <is>
          <t>***** 物流中心5樓</t>
        </is>
      </c>
      <c r="N672" s="3" t="inlineStr">
        <is>
          <t>北区</t>
        </is>
      </c>
      <c r="O672" s="3" t="inlineStr">
        <is>
          <t>香港</t>
        </is>
      </c>
      <c r="P672" s="3" t="inlineStr">
        <is>
          <t>香港特别行政区</t>
        </is>
      </c>
      <c r="Q672" s="3" t="n">
        <v>576561</v>
      </c>
      <c r="R672" s="3" t="inlineStr">
        <is>
          <t>十二味(尖沙咀)</t>
        </is>
      </c>
      <c r="S672" s="3" t="inlineStr">
        <is>
          <t>****9196</t>
        </is>
      </c>
      <c r="T672" s="3" t="inlineStr">
        <is>
          <t>****9196</t>
        </is>
      </c>
      <c r="U672" s="3" t="inlineStr">
        <is>
          <t>***** -5号地下铺</t>
        </is>
      </c>
      <c r="V672" s="3" t="inlineStr">
        <is>
          <t>香港</t>
        </is>
      </c>
      <c r="W672" s="3" t="inlineStr">
        <is>
          <t>纸袋【通版】/ 箱出</t>
        </is>
      </c>
      <c r="X672" s="3" t="inlineStr">
        <is>
          <t>ESS-SFTS-OTMS</t>
        </is>
      </c>
      <c r="Y672" s="3" t="n"/>
      <c r="Z672" s="3" t="inlineStr"/>
      <c r="AA672" s="3" t="inlineStr">
        <is>
          <t>寄付月結</t>
        </is>
      </c>
      <c r="AB672">
        <f>IFERROR(VLOOKUP(Q672&amp;"",對照表!$A:$B,1,FALSE),"")</f>
        <v/>
      </c>
      <c r="AC672">
        <f>IFERROR(VLOOKUP(Q672&amp;"",對照表!$A:$B,2,FALSE),"")</f>
        <v/>
      </c>
    </row>
    <row r="673">
      <c r="A673" s="3" t="inlineStr">
        <is>
          <t>SF5116616690988</t>
        </is>
      </c>
      <c r="B673" s="3" t="n">
        <v>58424825806900</v>
      </c>
      <c r="C673" s="3" t="inlineStr">
        <is>
          <t>已簽收</t>
        </is>
      </c>
      <c r="D673" s="3" t="inlineStr">
        <is>
          <t>2026-07-03 11:51:04</t>
        </is>
      </c>
      <c r="E673" s="3" t="inlineStr">
        <is>
          <t>2026-07-04 16:36</t>
        </is>
      </c>
      <c r="F673" s="3" t="n">
        <v>10.1</v>
      </c>
      <c r="G673" s="3" t="n">
        <v>1</v>
      </c>
      <c r="H673" s="3" t="n"/>
      <c r="I673" s="3" t="inlineStr"/>
      <c r="J673" s="3" t="inlineStr">
        <is>
          <t>Keeta</t>
        </is>
      </c>
      <c r="K673" s="3" t="inlineStr">
        <is>
          <t>****9568</t>
        </is>
      </c>
      <c r="L673" s="3" t="n"/>
      <c r="M673" s="3" t="inlineStr">
        <is>
          <t>***** 物流中心5樓</t>
        </is>
      </c>
      <c r="N673" s="3" t="inlineStr">
        <is>
          <t>北区</t>
        </is>
      </c>
      <c r="O673" s="3" t="inlineStr">
        <is>
          <t>香港</t>
        </is>
      </c>
      <c r="P673" s="3" t="inlineStr">
        <is>
          <t>香港特别行政区</t>
        </is>
      </c>
      <c r="Q673" s="3" t="n">
        <v>461815</v>
      </c>
      <c r="R673" s="3" t="inlineStr">
        <is>
          <t>滿記粉麵甜品</t>
        </is>
      </c>
      <c r="S673" s="3" t="inlineStr">
        <is>
          <t>****98556645</t>
        </is>
      </c>
      <c r="T673" s="3" t="inlineStr">
        <is>
          <t>****98556645</t>
        </is>
      </c>
      <c r="U673" s="3" t="inlineStr">
        <is>
          <t>***** 墟和豐街9號</t>
        </is>
      </c>
      <c r="V673" s="3" t="inlineStr">
        <is>
          <t>香港</t>
        </is>
      </c>
      <c r="W673" s="3" t="inlineStr">
        <is>
          <t>无纺布【规格三中号】/ 箱出</t>
        </is>
      </c>
      <c r="X673" s="3" t="inlineStr">
        <is>
          <t>ESS-SFTS-OTMS</t>
        </is>
      </c>
      <c r="Y673" s="3" t="n"/>
      <c r="Z673" s="3" t="inlineStr"/>
      <c r="AA673" s="3" t="inlineStr">
        <is>
          <t>寄付月結</t>
        </is>
      </c>
      <c r="AB673">
        <f>IFERROR(VLOOKUP(Q673&amp;"",對照表!$A:$B,1,FALSE),"")</f>
        <v/>
      </c>
      <c r="AC673">
        <f>IFERROR(VLOOKUP(Q673&amp;"",對照表!$A:$B,2,FALSE),"")</f>
        <v/>
      </c>
    </row>
    <row r="674">
      <c r="A674" s="3" t="inlineStr">
        <is>
          <t>SF5116616533563</t>
        </is>
      </c>
      <c r="B674" s="3" t="n">
        <v>58424825806871</v>
      </c>
      <c r="C674" s="3" t="inlineStr">
        <is>
          <t>已簽收</t>
        </is>
      </c>
      <c r="D674" s="3" t="inlineStr">
        <is>
          <t>2026-07-03 11:51:18</t>
        </is>
      </c>
      <c r="E674" s="3" t="inlineStr">
        <is>
          <t>2026-07-04 11:25</t>
        </is>
      </c>
      <c r="F674" s="3" t="n">
        <v>10.1</v>
      </c>
      <c r="G674" s="3" t="n">
        <v>1</v>
      </c>
      <c r="H674" s="3" t="n"/>
      <c r="I674" s="3" t="inlineStr"/>
      <c r="J674" s="3" t="inlineStr">
        <is>
          <t>Keeta</t>
        </is>
      </c>
      <c r="K674" s="3" t="inlineStr">
        <is>
          <t>****9568</t>
        </is>
      </c>
      <c r="L674" s="3" t="n"/>
      <c r="M674" s="3" t="inlineStr">
        <is>
          <t>***** 物流中心5樓</t>
        </is>
      </c>
      <c r="N674" s="3" t="inlineStr">
        <is>
          <t>北区</t>
        </is>
      </c>
      <c r="O674" s="3" t="inlineStr">
        <is>
          <t>香港</t>
        </is>
      </c>
      <c r="P674" s="3" t="inlineStr">
        <is>
          <t>香港特别行政区</t>
        </is>
      </c>
      <c r="Q674" s="3" t="n">
        <v>491148</v>
      </c>
      <c r="R674" s="3" t="inlineStr">
        <is>
          <t>鴻運餐廳小廚(上水粉嶺街坊必選餐廳)</t>
        </is>
      </c>
      <c r="S674" s="3" t="inlineStr">
        <is>
          <t>****26702622</t>
        </is>
      </c>
      <c r="T674" s="3" t="inlineStr">
        <is>
          <t>****26702622</t>
        </is>
      </c>
      <c r="U674" s="3" t="inlineStr">
        <is>
          <t>***** 6-19號舖</t>
        </is>
      </c>
      <c r="V674" s="3" t="inlineStr">
        <is>
          <t>香港</t>
        </is>
      </c>
      <c r="W674" s="3" t="inlineStr">
        <is>
          <t>无纺布【规格三中号】/ 箱出</t>
        </is>
      </c>
      <c r="X674" s="3" t="inlineStr">
        <is>
          <t>ESS-SFTS-OTMS</t>
        </is>
      </c>
      <c r="Y674" s="3" t="n"/>
      <c r="Z674" s="3" t="inlineStr"/>
      <c r="AA674" s="3" t="inlineStr">
        <is>
          <t>寄付月結</t>
        </is>
      </c>
      <c r="AB674">
        <f>IFERROR(VLOOKUP(Q674&amp;"",對照表!$A:$B,1,FALSE),"")</f>
        <v/>
      </c>
      <c r="AC674">
        <f>IFERROR(VLOOKUP(Q674&amp;"",對照表!$A:$B,2,FALSE),"")</f>
        <v/>
      </c>
    </row>
    <row r="675">
      <c r="A675" s="3" t="inlineStr">
        <is>
          <t>SF5116616691198</t>
        </is>
      </c>
      <c r="B675" s="3" t="n">
        <v>58424825806946</v>
      </c>
      <c r="C675" s="3" t="inlineStr">
        <is>
          <t>已簽收</t>
        </is>
      </c>
      <c r="D675" s="3" t="inlineStr">
        <is>
          <t>2026-07-03 13:59:40</t>
        </is>
      </c>
      <c r="E675" s="3" t="inlineStr">
        <is>
          <t>2026-07-04 11:40</t>
        </is>
      </c>
      <c r="F675" s="3" t="n">
        <v>23.2</v>
      </c>
      <c r="G675" s="3" t="n">
        <v>2</v>
      </c>
      <c r="H675" s="3" t="n"/>
      <c r="I675" s="3" t="inlineStr"/>
      <c r="J675" s="3" t="inlineStr">
        <is>
          <t>Keeta</t>
        </is>
      </c>
      <c r="K675" s="3" t="inlineStr">
        <is>
          <t>****9568</t>
        </is>
      </c>
      <c r="L675" s="3" t="n"/>
      <c r="M675" s="3" t="inlineStr">
        <is>
          <t>***** 物流中心5樓</t>
        </is>
      </c>
      <c r="N675" s="3" t="inlineStr">
        <is>
          <t>北区</t>
        </is>
      </c>
      <c r="O675" s="3" t="inlineStr">
        <is>
          <t>香港</t>
        </is>
      </c>
      <c r="P675" s="3" t="inlineStr">
        <is>
          <t>香港特别行政区</t>
        </is>
      </c>
      <c r="Q675" s="3" t="n">
        <v>721436393</v>
      </c>
      <c r="R675" s="3" t="inlineStr">
        <is>
          <t>大門炸雞真正韓廚主理香港連鎖品牌TKO分店</t>
        </is>
      </c>
      <c r="S675" s="3" t="inlineStr">
        <is>
          <t>****96199615</t>
        </is>
      </c>
      <c r="T675" s="3" t="inlineStr">
        <is>
          <t>****96199615</t>
        </is>
      </c>
      <c r="U675" s="3" t="inlineStr">
        <is>
          <t>***** 圈地下46號</t>
        </is>
      </c>
      <c r="V675" s="3" t="inlineStr">
        <is>
          <t>香港</t>
        </is>
      </c>
      <c r="W675" s="3" t="inlineStr">
        <is>
          <t>无纺布【规格四大号】/ 箱出</t>
        </is>
      </c>
      <c r="X675" s="3" t="inlineStr">
        <is>
          <t>ESS-SFTS-OTMS</t>
        </is>
      </c>
      <c r="Y675" s="3" t="n"/>
      <c r="Z675" s="3" t="inlineStr"/>
      <c r="AA675" s="3" t="inlineStr">
        <is>
          <t>寄付月結</t>
        </is>
      </c>
      <c r="AB675">
        <f>IFERROR(VLOOKUP(Q675&amp;"",對照表!$A:$B,1,FALSE),"")</f>
        <v/>
      </c>
      <c r="AC675">
        <f>IFERROR(VLOOKUP(Q675&amp;"",對照表!$A:$B,2,FALSE),"")</f>
        <v/>
      </c>
    </row>
    <row r="676">
      <c r="A676" s="3" t="inlineStr">
        <is>
          <t>SF5116616691161</t>
        </is>
      </c>
      <c r="B676" s="3" t="n">
        <v>58424825806941</v>
      </c>
      <c r="C676" s="3" t="inlineStr">
        <is>
          <t>已簽收</t>
        </is>
      </c>
      <c r="D676" s="3" t="inlineStr">
        <is>
          <t>2026-07-03 11:13:48</t>
        </is>
      </c>
      <c r="E676" s="3" t="inlineStr">
        <is>
          <t>2026-07-04 13:39</t>
        </is>
      </c>
      <c r="F676" s="3" t="n">
        <v>45</v>
      </c>
      <c r="G676" s="3" t="n">
        <v>3</v>
      </c>
      <c r="H676" s="3" t="n"/>
      <c r="I676" s="3" t="inlineStr"/>
      <c r="J676" s="3" t="inlineStr">
        <is>
          <t>Keeta</t>
        </is>
      </c>
      <c r="K676" s="3" t="inlineStr">
        <is>
          <t>****9568</t>
        </is>
      </c>
      <c r="L676" s="3" t="n"/>
      <c r="M676" s="3" t="inlineStr">
        <is>
          <t>***** 物流中心5樓</t>
        </is>
      </c>
      <c r="N676" s="3" t="inlineStr">
        <is>
          <t>北区</t>
        </is>
      </c>
      <c r="O676" s="3" t="inlineStr">
        <is>
          <t>香港</t>
        </is>
      </c>
      <c r="P676" s="3" t="inlineStr">
        <is>
          <t>香港特别行政区</t>
        </is>
      </c>
      <c r="Q676" s="3" t="n">
        <v>481602</v>
      </c>
      <c r="R676" s="3" t="inlineStr">
        <is>
          <t>十二味(屯門)</t>
        </is>
      </c>
      <c r="S676" s="3" t="inlineStr">
        <is>
          <t>****67900865</t>
        </is>
      </c>
      <c r="T676" s="3" t="inlineStr">
        <is>
          <t>****67900865</t>
        </is>
      </c>
      <c r="U676" s="3" t="inlineStr">
        <is>
          <t>***** 下G1B號舖</t>
        </is>
      </c>
      <c r="V676" s="3" t="inlineStr">
        <is>
          <t>香港</t>
        </is>
      </c>
      <c r="W676" s="3" t="inlineStr">
        <is>
          <t>纸袋【通版】/ 箱出</t>
        </is>
      </c>
      <c r="X676" s="3" t="inlineStr">
        <is>
          <t>ESS-SFTS-OTMS</t>
        </is>
      </c>
      <c r="Y676" s="3" t="n"/>
      <c r="Z676" s="3" t="inlineStr"/>
      <c r="AA676" s="3" t="inlineStr">
        <is>
          <t>寄付月結</t>
        </is>
      </c>
      <c r="AB676">
        <f>IFERROR(VLOOKUP(Q676&amp;"",對照表!$A:$B,1,FALSE),"")</f>
        <v/>
      </c>
      <c r="AC676">
        <f>IFERROR(VLOOKUP(Q676&amp;"",對照表!$A:$B,2,FALSE),"")</f>
        <v/>
      </c>
    </row>
    <row r="677">
      <c r="A677" s="3" t="inlineStr">
        <is>
          <t>SF5116616691134</t>
        </is>
      </c>
      <c r="B677" s="3" t="n">
        <v>58424825806934</v>
      </c>
      <c r="C677" s="3" t="inlineStr">
        <is>
          <t>已簽收</t>
        </is>
      </c>
      <c r="D677" s="3" t="inlineStr">
        <is>
          <t>2026-07-03 11:13:29</t>
        </is>
      </c>
      <c r="E677" s="3" t="inlineStr">
        <is>
          <t>2026-07-06 17:19</t>
        </is>
      </c>
      <c r="F677" s="3" t="n">
        <v>45</v>
      </c>
      <c r="G677" s="3" t="n">
        <v>3</v>
      </c>
      <c r="H677" s="3" t="n"/>
      <c r="I677" s="3" t="inlineStr"/>
      <c r="J677" s="3" t="inlineStr">
        <is>
          <t>Keeta</t>
        </is>
      </c>
      <c r="K677" s="3" t="inlineStr">
        <is>
          <t>****9568</t>
        </is>
      </c>
      <c r="L677" s="3" t="n"/>
      <c r="M677" s="3" t="inlineStr">
        <is>
          <t>***** 物流中心5樓</t>
        </is>
      </c>
      <c r="N677" s="3" t="inlineStr">
        <is>
          <t>北区</t>
        </is>
      </c>
      <c r="O677" s="3" t="inlineStr">
        <is>
          <t>香港</t>
        </is>
      </c>
      <c r="P677" s="3" t="inlineStr">
        <is>
          <t>香港特别行政区</t>
        </is>
      </c>
      <c r="Q677" s="3" t="n">
        <v>481601</v>
      </c>
      <c r="R677" s="3" t="inlineStr">
        <is>
          <t>十二味(元朗)</t>
        </is>
      </c>
      <c r="S677" s="3" t="inlineStr">
        <is>
          <t>****2728</t>
        </is>
      </c>
      <c r="T677" s="3" t="inlineStr">
        <is>
          <t>****2728</t>
        </is>
      </c>
      <c r="U677" s="3" t="inlineStr">
        <is>
          <t>***** 及地库G/F</t>
        </is>
      </c>
      <c r="V677" s="3" t="inlineStr">
        <is>
          <t>香港</t>
        </is>
      </c>
      <c r="W677" s="3" t="inlineStr">
        <is>
          <t>纸袋【通版】/ 箱出</t>
        </is>
      </c>
      <c r="X677" s="3" t="inlineStr">
        <is>
          <t>ESS-SFTS-OTMS</t>
        </is>
      </c>
      <c r="Y677" s="3" t="n"/>
      <c r="Z677" s="3" t="inlineStr"/>
      <c r="AA677" s="3" t="inlineStr">
        <is>
          <t>寄付月結</t>
        </is>
      </c>
      <c r="AB677">
        <f>IFERROR(VLOOKUP(Q677&amp;"",對照表!$A:$B,1,FALSE),"")</f>
        <v/>
      </c>
      <c r="AC677">
        <f>IFERROR(VLOOKUP(Q677&amp;"",對照表!$A:$B,2,FALSE),"")</f>
        <v/>
      </c>
    </row>
    <row r="678">
      <c r="A678" s="3" t="inlineStr">
        <is>
          <t>SF5116616690979</t>
        </is>
      </c>
      <c r="B678" s="3" t="n">
        <v>58424825806899</v>
      </c>
      <c r="C678" s="3" t="inlineStr">
        <is>
          <t>已簽收</t>
        </is>
      </c>
      <c r="D678" s="3" t="inlineStr">
        <is>
          <t>2026-07-03 14:33:05</t>
        </is>
      </c>
      <c r="E678" s="3" t="inlineStr">
        <is>
          <t>2026-07-04 09:19</t>
        </is>
      </c>
      <c r="F678" s="3" t="n">
        <v>15</v>
      </c>
      <c r="G678" s="3" t="n">
        <v>2</v>
      </c>
      <c r="H678" s="3" t="n"/>
      <c r="I678" s="3" t="inlineStr"/>
      <c r="J678" s="3" t="inlineStr">
        <is>
          <t>Keeta</t>
        </is>
      </c>
      <c r="K678" s="3" t="inlineStr">
        <is>
          <t>****9568</t>
        </is>
      </c>
      <c r="L678" s="3" t="n"/>
      <c r="M678" s="3" t="inlineStr">
        <is>
          <t>***** 物流中心5樓</t>
        </is>
      </c>
      <c r="N678" s="3" t="inlineStr">
        <is>
          <t>北区</t>
        </is>
      </c>
      <c r="O678" s="3" t="inlineStr">
        <is>
          <t>香港</t>
        </is>
      </c>
      <c r="P678" s="3" t="inlineStr">
        <is>
          <t>香港特别行政区</t>
        </is>
      </c>
      <c r="Q678" s="3" t="n">
        <v>614374</v>
      </c>
      <c r="R678" s="3" t="inlineStr">
        <is>
          <t>翠華餐廳（尖沙咀店）</t>
        </is>
      </c>
      <c r="S678" s="3" t="inlineStr">
        <is>
          <t>****23668250</t>
        </is>
      </c>
      <c r="T678" s="3" t="inlineStr">
        <is>
          <t>****23668250</t>
        </is>
      </c>
      <c r="U678" s="3" t="inlineStr">
        <is>
          <t>***** 金城商業中心</t>
        </is>
      </c>
      <c r="V678" s="3" t="inlineStr">
        <is>
          <t>香港</t>
        </is>
      </c>
      <c r="W678" s="3" t="inlineStr">
        <is>
          <t>无纺布【规格二双杯】/ 箱出</t>
        </is>
      </c>
      <c r="X678" s="3" t="inlineStr">
        <is>
          <t>ESS-SFTS-OTMS</t>
        </is>
      </c>
      <c r="Y678" s="3" t="n"/>
      <c r="Z678" s="3" t="inlineStr"/>
      <c r="AA678" s="3" t="inlineStr">
        <is>
          <t>寄付月結</t>
        </is>
      </c>
      <c r="AB678">
        <f>IFERROR(VLOOKUP(Q678&amp;"",對照表!$A:$B,1,FALSE),"")</f>
        <v/>
      </c>
      <c r="AC678">
        <f>IFERROR(VLOOKUP(Q678&amp;"",對照表!$A:$B,2,FALSE),"")</f>
        <v/>
      </c>
    </row>
    <row r="679">
      <c r="A679" s="3" t="inlineStr">
        <is>
          <t>SF5116616691125</t>
        </is>
      </c>
      <c r="B679" s="3" t="n">
        <v>58424825806931</v>
      </c>
      <c r="C679" s="3" t="inlineStr">
        <is>
          <t>已簽收</t>
        </is>
      </c>
      <c r="D679" s="3" t="inlineStr">
        <is>
          <t>2026-07-03 15:09:34</t>
        </is>
      </c>
      <c r="E679" s="3" t="inlineStr">
        <is>
          <t>2026-07-04 10:43</t>
        </is>
      </c>
      <c r="F679" s="3" t="n">
        <v>1.05</v>
      </c>
      <c r="G679" s="3" t="n">
        <v>2</v>
      </c>
      <c r="H679" s="3" t="n"/>
      <c r="I679" s="3" t="inlineStr"/>
      <c r="J679" s="3" t="inlineStr">
        <is>
          <t>Keeta</t>
        </is>
      </c>
      <c r="K679" s="3" t="inlineStr">
        <is>
          <t>****9568</t>
        </is>
      </c>
      <c r="L679" s="3" t="n"/>
      <c r="M679" s="3" t="inlineStr">
        <is>
          <t>***** 物流中心5樓</t>
        </is>
      </c>
      <c r="N679" s="3" t="inlineStr">
        <is>
          <t>北区</t>
        </is>
      </c>
      <c r="O679" s="3" t="inlineStr">
        <is>
          <t>香港</t>
        </is>
      </c>
      <c r="P679" s="3" t="inlineStr">
        <is>
          <t>香港特别行政区</t>
        </is>
      </c>
      <c r="Q679" s="3" t="n">
        <v>484997</v>
      </c>
      <c r="R679" s="3" t="inlineStr">
        <is>
          <t>BluePho越南手作街坊至愛越式大份夾抵食</t>
        </is>
      </c>
      <c r="S679" s="3" t="inlineStr">
        <is>
          <t>****97949422</t>
        </is>
      </c>
      <c r="T679" s="3" t="inlineStr">
        <is>
          <t>****97949422</t>
        </is>
      </c>
      <c r="U679" s="3" t="inlineStr">
        <is>
          <t>***** 年華6B號舖</t>
        </is>
      </c>
      <c r="V679" s="3" t="inlineStr">
        <is>
          <t>香港</t>
        </is>
      </c>
      <c r="W679" s="3" t="inlineStr">
        <is>
          <t>塑料袋【大】/ 扎出, 塑料袋【小】/ 扎出</t>
        </is>
      </c>
      <c r="X679" s="3" t="inlineStr">
        <is>
          <t>ESS-SFTS-OTMS</t>
        </is>
      </c>
      <c r="Y679" s="3" t="n"/>
      <c r="Z679" s="3" t="inlineStr"/>
      <c r="AA679" s="3" t="inlineStr">
        <is>
          <t>寄付月結</t>
        </is>
      </c>
      <c r="AB679">
        <f>IFERROR(VLOOKUP(Q679&amp;"",對照表!$A:$B,1,FALSE),"")</f>
        <v/>
      </c>
      <c r="AC679">
        <f>IFERROR(VLOOKUP(Q679&amp;"",對照表!$A:$B,2,FALSE),"")</f>
        <v/>
      </c>
    </row>
    <row r="680">
      <c r="A680" s="3" t="inlineStr">
        <is>
          <t>SF5116616533590</t>
        </is>
      </c>
      <c r="B680" s="3" t="n">
        <v>58424825806879</v>
      </c>
      <c r="C680" s="3" t="inlineStr">
        <is>
          <t>已簽收</t>
        </is>
      </c>
      <c r="D680" s="3" t="inlineStr">
        <is>
          <t>2026-07-03 14:33:24</t>
        </is>
      </c>
      <c r="E680" s="3" t="inlineStr">
        <is>
          <t>2026-07-04 10:55</t>
        </is>
      </c>
      <c r="F680" s="3" t="n">
        <v>15</v>
      </c>
      <c r="G680" s="3" t="n">
        <v>2</v>
      </c>
      <c r="H680" s="3" t="n"/>
      <c r="I680" s="3" t="inlineStr"/>
      <c r="J680" s="3" t="inlineStr">
        <is>
          <t>Keeta</t>
        </is>
      </c>
      <c r="K680" s="3" t="inlineStr">
        <is>
          <t>****9568</t>
        </is>
      </c>
      <c r="L680" s="3" t="n"/>
      <c r="M680" s="3" t="inlineStr">
        <is>
          <t>***** 物流中心5樓</t>
        </is>
      </c>
      <c r="N680" s="3" t="inlineStr">
        <is>
          <t>北区</t>
        </is>
      </c>
      <c r="O680" s="3" t="inlineStr">
        <is>
          <t>香港</t>
        </is>
      </c>
      <c r="P680" s="3" t="inlineStr">
        <is>
          <t>香港特别行政区</t>
        </is>
      </c>
      <c r="Q680" s="3" t="n">
        <v>607817</v>
      </c>
      <c r="R680" s="3" t="inlineStr">
        <is>
          <t>翠華餐廳（中環店）</t>
        </is>
      </c>
      <c r="S680" s="3" t="inlineStr">
        <is>
          <t>****25256338</t>
        </is>
      </c>
      <c r="T680" s="3" t="inlineStr">
        <is>
          <t>****25256338</t>
        </is>
      </c>
      <c r="U680" s="3" t="inlineStr">
        <is>
          <t>***** 頓街荊威廣場</t>
        </is>
      </c>
      <c r="V680" s="3" t="inlineStr">
        <is>
          <t>香港</t>
        </is>
      </c>
      <c r="W680" s="3" t="inlineStr">
        <is>
          <t>无纺布【规格二双杯】/ 箱出</t>
        </is>
      </c>
      <c r="X680" s="3" t="inlineStr">
        <is>
          <t>ESS-SFTS-OTMS</t>
        </is>
      </c>
      <c r="Y680" s="3" t="n"/>
      <c r="Z680" s="3" t="inlineStr"/>
      <c r="AA680" s="3" t="inlineStr">
        <is>
          <t>寄付月結</t>
        </is>
      </c>
      <c r="AB680">
        <f>IFERROR(VLOOKUP(Q680&amp;"",對照表!$A:$B,1,FALSE),"")</f>
        <v/>
      </c>
      <c r="AC680">
        <f>IFERROR(VLOOKUP(Q680&amp;"",對照表!$A:$B,2,FALSE),"")</f>
        <v/>
      </c>
    </row>
    <row r="681">
      <c r="A681" s="3" t="inlineStr">
        <is>
          <t>SF5116616691091</t>
        </is>
      </c>
      <c r="B681" s="3" t="n">
        <v>58424825806924</v>
      </c>
      <c r="C681" s="3" t="inlineStr">
        <is>
          <t>已簽收</t>
        </is>
      </c>
      <c r="D681" s="3" t="inlineStr">
        <is>
          <t>2026-07-03 14:33:01</t>
        </is>
      </c>
      <c r="E681" s="3" t="inlineStr">
        <is>
          <t>2026-07-04 13:35</t>
        </is>
      </c>
      <c r="F681" s="3" t="n">
        <v>7.5</v>
      </c>
      <c r="G681" s="3" t="n">
        <v>1</v>
      </c>
      <c r="H681" s="3" t="n"/>
      <c r="I681" s="3" t="inlineStr"/>
      <c r="J681" s="3" t="inlineStr">
        <is>
          <t>Keeta</t>
        </is>
      </c>
      <c r="K681" s="3" t="inlineStr">
        <is>
          <t>****9568</t>
        </is>
      </c>
      <c r="L681" s="3" t="n"/>
      <c r="M681" s="3" t="inlineStr">
        <is>
          <t>***** 物流中心5樓</t>
        </is>
      </c>
      <c r="N681" s="3" t="inlineStr">
        <is>
          <t>北区</t>
        </is>
      </c>
      <c r="O681" s="3" t="inlineStr">
        <is>
          <t>香港</t>
        </is>
      </c>
      <c r="P681" s="3" t="inlineStr">
        <is>
          <t>香港特别行政区</t>
        </is>
      </c>
      <c r="Q681" s="3" t="n">
        <v>560123</v>
      </c>
      <c r="R681" s="3" t="inlineStr">
        <is>
          <t>呷哺呷哺(荃灣廣場)正宗台式手搖茶</t>
        </is>
      </c>
      <c r="S681" s="3" t="inlineStr">
        <is>
          <t>****26260766</t>
        </is>
      </c>
      <c r="T681" s="3" t="inlineStr">
        <is>
          <t>****26260766</t>
        </is>
      </c>
      <c r="U681" s="3" t="inlineStr">
        <is>
          <t>***** 樓315號舖</t>
        </is>
      </c>
      <c r="V681" s="3" t="inlineStr">
        <is>
          <t>香港</t>
        </is>
      </c>
      <c r="W681" s="3" t="inlineStr">
        <is>
          <t>无纺布【规格二双杯】/ 箱出</t>
        </is>
      </c>
      <c r="X681" s="3" t="inlineStr">
        <is>
          <t>ESS-SFTS-OTMS</t>
        </is>
      </c>
      <c r="Y681" s="3" t="n"/>
      <c r="Z681" s="3" t="inlineStr"/>
      <c r="AA681" s="3" t="inlineStr">
        <is>
          <t>寄付月結</t>
        </is>
      </c>
      <c r="AB681">
        <f>IFERROR(VLOOKUP(Q681&amp;"",對照表!$A:$B,1,FALSE),"")</f>
        <v/>
      </c>
      <c r="AC681">
        <f>IFERROR(VLOOKUP(Q681&amp;"",對照表!$A:$B,2,FALSE),"")</f>
        <v/>
      </c>
    </row>
    <row r="682">
      <c r="A682" s="3" t="inlineStr">
        <is>
          <t>SF5116616691213</t>
        </is>
      </c>
      <c r="B682" s="3" t="n">
        <v>58424825806952</v>
      </c>
      <c r="C682" s="3" t="inlineStr">
        <is>
          <t>已簽收</t>
        </is>
      </c>
      <c r="D682" s="3" t="inlineStr">
        <is>
          <t>2026-07-03 11:44:52</t>
        </is>
      </c>
      <c r="E682" s="3" t="inlineStr">
        <is>
          <t>2026-07-04 11:29</t>
        </is>
      </c>
      <c r="F682" s="3" t="n">
        <v>23.64</v>
      </c>
      <c r="G682" s="3" t="n">
        <v>2</v>
      </c>
      <c r="H682" s="3" t="n"/>
      <c r="I682" s="3" t="inlineStr"/>
      <c r="J682" s="3" t="inlineStr">
        <is>
          <t>Keeta</t>
        </is>
      </c>
      <c r="K682" s="3" t="inlineStr">
        <is>
          <t>****9568</t>
        </is>
      </c>
      <c r="L682" s="3" t="n"/>
      <c r="M682" s="3" t="inlineStr">
        <is>
          <t>***** 物流中心5樓</t>
        </is>
      </c>
      <c r="N682" s="3" t="inlineStr">
        <is>
          <t>北区</t>
        </is>
      </c>
      <c r="O682" s="3" t="inlineStr">
        <is>
          <t>香港</t>
        </is>
      </c>
      <c r="P682" s="3" t="inlineStr">
        <is>
          <t>香港特别行政区</t>
        </is>
      </c>
      <c r="Q682" s="3" t="n">
        <v>459895</v>
      </c>
      <c r="R682" s="3" t="inlineStr">
        <is>
          <t>樹屋TREEHOUSE(尖沙咀)</t>
        </is>
      </c>
      <c r="S682" s="3" t="inlineStr">
        <is>
          <t>****98523325</t>
        </is>
      </c>
      <c r="T682" s="3" t="inlineStr">
        <is>
          <t>****98523325</t>
        </is>
      </c>
      <c r="U682" s="3" t="inlineStr">
        <is>
          <t>***** 庫S28號舖</t>
        </is>
      </c>
      <c r="V682" s="3" t="inlineStr">
        <is>
          <t>香港</t>
        </is>
      </c>
      <c r="W682" s="3" t="inlineStr">
        <is>
          <t>无纺布【Preminum黑】/ 箱出</t>
        </is>
      </c>
      <c r="X682" s="3" t="inlineStr">
        <is>
          <t>ESS-SFTS-OTMS</t>
        </is>
      </c>
      <c r="Y682" s="3" t="n"/>
      <c r="Z682" s="3" t="inlineStr"/>
      <c r="AA682" s="3" t="inlineStr">
        <is>
          <t>寄付月結</t>
        </is>
      </c>
      <c r="AB682">
        <f>IFERROR(VLOOKUP(Q682&amp;"",對照表!$A:$B,1,FALSE),"")</f>
        <v/>
      </c>
      <c r="AC682">
        <f>IFERROR(VLOOKUP(Q682&amp;"",對照表!$A:$B,2,FALSE),"")</f>
        <v/>
      </c>
    </row>
    <row r="683">
      <c r="A683" s="3" t="inlineStr">
        <is>
          <t>SF5116616691268</t>
        </is>
      </c>
      <c r="B683" s="3" t="n">
        <v>58424825806964</v>
      </c>
      <c r="C683" s="3" t="inlineStr">
        <is>
          <t>已簽收</t>
        </is>
      </c>
      <c r="D683" s="3" t="inlineStr">
        <is>
          <t>2026-07-03 15:45:16</t>
        </is>
      </c>
      <c r="E683" s="3" t="inlineStr">
        <is>
          <t>2026-07-04 14:31</t>
        </is>
      </c>
      <c r="F683" s="3" t="n">
        <v>46.4</v>
      </c>
      <c r="G683" s="3" t="n">
        <v>4</v>
      </c>
      <c r="H683" s="3" t="n"/>
      <c r="I683" s="3" t="inlineStr"/>
      <c r="J683" s="3" t="inlineStr">
        <is>
          <t>Keeta</t>
        </is>
      </c>
      <c r="K683" s="3" t="inlineStr">
        <is>
          <t>****9568</t>
        </is>
      </c>
      <c r="L683" s="3" t="n"/>
      <c r="M683" s="3" t="inlineStr">
        <is>
          <t>***** 物流中心5樓</t>
        </is>
      </c>
      <c r="N683" s="3" t="inlineStr">
        <is>
          <t>北区</t>
        </is>
      </c>
      <c r="O683" s="3" t="inlineStr">
        <is>
          <t>香港</t>
        </is>
      </c>
      <c r="P683" s="3" t="inlineStr">
        <is>
          <t>香港特别行政区</t>
        </is>
      </c>
      <c r="Q683" s="3" t="n">
        <v>589678</v>
      </c>
      <c r="R683" s="3" t="inlineStr">
        <is>
          <t>四季賞SHIKISHO</t>
        </is>
      </c>
      <c r="S683" s="3" t="inlineStr">
        <is>
          <t>****12345678</t>
        </is>
      </c>
      <c r="T683" s="3" t="inlineStr">
        <is>
          <t>****12345678</t>
        </is>
      </c>
      <c r="U683" s="3" t="inlineStr">
        <is>
          <t>***** 港城B03號</t>
        </is>
      </c>
      <c r="V683" s="3" t="inlineStr">
        <is>
          <t>香港</t>
        </is>
      </c>
      <c r="W683" s="3" t="inlineStr">
        <is>
          <t>无纺布【规格四大号】/ 箱出</t>
        </is>
      </c>
      <c r="X683" s="3" t="inlineStr">
        <is>
          <t>ESS-SFTS-OTMS</t>
        </is>
      </c>
      <c r="Y683" s="3" t="n"/>
      <c r="Z683" s="3" t="inlineStr"/>
      <c r="AA683" s="3" t="inlineStr">
        <is>
          <t>寄付月結</t>
        </is>
      </c>
      <c r="AB683">
        <f>IFERROR(VLOOKUP(Q683&amp;"",對照表!$A:$B,1,FALSE),"")</f>
        <v/>
      </c>
      <c r="AC683">
        <f>IFERROR(VLOOKUP(Q683&amp;"",對照表!$A:$B,2,FALSE),"")</f>
        <v/>
      </c>
    </row>
    <row r="684">
      <c r="A684" s="3" t="inlineStr">
        <is>
          <t>SF5116616533227</t>
        </is>
      </c>
      <c r="B684" s="3" t="n">
        <v>58424825774418</v>
      </c>
      <c r="C684" s="3" t="inlineStr">
        <is>
          <t>已簽收</t>
        </is>
      </c>
      <c r="D684" s="3" t="inlineStr">
        <is>
          <t>2026-07-03 16:49:58</t>
        </is>
      </c>
      <c r="E684" s="3" t="inlineStr">
        <is>
          <t>2026-07-04 10:21</t>
        </is>
      </c>
      <c r="F684" s="3" t="n">
        <v>52.18</v>
      </c>
      <c r="G684" s="3" t="n">
        <v>4</v>
      </c>
      <c r="H684" s="3" t="n"/>
      <c r="I684" s="3" t="inlineStr"/>
      <c r="J684" s="3" t="inlineStr">
        <is>
          <t>Keeta</t>
        </is>
      </c>
      <c r="K684" s="3" t="inlineStr">
        <is>
          <t>****9568</t>
        </is>
      </c>
      <c r="L684" s="3" t="n"/>
      <c r="M684" s="3" t="inlineStr">
        <is>
          <t>***** 物流中心5樓</t>
        </is>
      </c>
      <c r="N684" s="3" t="inlineStr">
        <is>
          <t>北区</t>
        </is>
      </c>
      <c r="O684" s="3" t="inlineStr">
        <is>
          <t>香港</t>
        </is>
      </c>
      <c r="P684" s="3" t="inlineStr">
        <is>
          <t>香港特别行政区</t>
        </is>
      </c>
      <c r="Q684" s="3" t="n">
        <v>721499295</v>
      </c>
      <c r="R684" s="3" t="inlineStr">
        <is>
          <t>TacoGo屯門獨有創意Taco新推出全新餐牌日式拉麵</t>
        </is>
      </c>
      <c r="S684" s="3" t="inlineStr">
        <is>
          <t>****63783950</t>
        </is>
      </c>
      <c r="T684" s="3" t="inlineStr">
        <is>
          <t>****63783950</t>
        </is>
      </c>
      <c r="U684" s="3" t="inlineStr">
        <is>
          <t>***** 19樓2D室</t>
        </is>
      </c>
      <c r="V684" s="3" t="inlineStr">
        <is>
          <t>香港</t>
        </is>
      </c>
      <c r="W684" s="3" t="inlineStr">
        <is>
          <t>纸袋【通版】/ 箱出, 无纺布【规格四大号】/ 箱出</t>
        </is>
      </c>
      <c r="X684" s="3" t="inlineStr">
        <is>
          <t>ESS-SFTS-OTMS</t>
        </is>
      </c>
      <c r="Y684" s="3" t="n"/>
      <c r="Z684" s="3" t="inlineStr"/>
      <c r="AA684" s="3" t="inlineStr">
        <is>
          <t>寄付月結</t>
        </is>
      </c>
      <c r="AB684">
        <f>IFERROR(VLOOKUP(Q684&amp;"",對照表!$A:$B,1,FALSE),"")</f>
        <v/>
      </c>
      <c r="AC684">
        <f>IFERROR(VLOOKUP(Q684&amp;"",對照表!$A:$B,2,FALSE),"")</f>
        <v/>
      </c>
    </row>
    <row r="685">
      <c r="A685" s="3" t="inlineStr">
        <is>
          <t>SF5116616533633</t>
        </is>
      </c>
      <c r="B685" s="3" t="n">
        <v>58424825806889</v>
      </c>
      <c r="C685" s="3" t="inlineStr">
        <is>
          <t>已簽收</t>
        </is>
      </c>
      <c r="D685" s="3" t="inlineStr">
        <is>
          <t>2026-07-03 15:32:35</t>
        </is>
      </c>
      <c r="E685" s="3" t="inlineStr">
        <is>
          <t>2026-07-05 14:03</t>
        </is>
      </c>
      <c r="F685" s="3" t="n">
        <v>128.94</v>
      </c>
      <c r="G685" s="3" t="n">
        <v>12</v>
      </c>
      <c r="H685" s="3" t="n"/>
      <c r="I685" s="3" t="inlineStr"/>
      <c r="J685" s="3" t="inlineStr">
        <is>
          <t>Keeta</t>
        </is>
      </c>
      <c r="K685" s="3" t="inlineStr">
        <is>
          <t>****9568</t>
        </is>
      </c>
      <c r="L685" s="3" t="n"/>
      <c r="M685" s="3" t="inlineStr">
        <is>
          <t>***** 物流中心5樓</t>
        </is>
      </c>
      <c r="N685" s="3" t="inlineStr">
        <is>
          <t>北区</t>
        </is>
      </c>
      <c r="O685" s="3" t="inlineStr">
        <is>
          <t>香港</t>
        </is>
      </c>
      <c r="P685" s="3" t="inlineStr">
        <is>
          <t>香港特别行政区</t>
        </is>
      </c>
      <c r="Q685" s="3" t="n">
        <v>494480</v>
      </c>
      <c r="R685" s="3" t="inlineStr">
        <is>
          <t>雍明冰室高質冰室首選</t>
        </is>
      </c>
      <c r="S685" s="3" t="inlineStr">
        <is>
          <t>****23832811</t>
        </is>
      </c>
      <c r="T685" s="3" t="inlineStr">
        <is>
          <t>****23832811</t>
        </is>
      </c>
      <c r="U685" s="3" t="inlineStr">
        <is>
          <t>***** 澳至善街5號</t>
        </is>
      </c>
      <c r="V685" s="3" t="inlineStr">
        <is>
          <t>香港</t>
        </is>
      </c>
      <c r="W685" s="3" t="inlineStr">
        <is>
          <t>无纺布【规格三中号】/ 箱出, 无纺布【规格四大号】/ 箱出</t>
        </is>
      </c>
      <c r="X685" s="3" t="inlineStr">
        <is>
          <t>ESS-SFTS-OTMS</t>
        </is>
      </c>
      <c r="Y685" s="3" t="n"/>
      <c r="Z685" s="3" t="inlineStr"/>
      <c r="AA685" s="3" t="inlineStr">
        <is>
          <t>寄付月結</t>
        </is>
      </c>
      <c r="AB685">
        <f>IFERROR(VLOOKUP(Q685&amp;"",對照表!$A:$B,1,FALSE),"")</f>
        <v/>
      </c>
      <c r="AC685">
        <f>IFERROR(VLOOKUP(Q685&amp;"",對照表!$A:$B,2,FALSE),"")</f>
        <v/>
      </c>
    </row>
    <row r="686">
      <c r="A686" s="3" t="inlineStr">
        <is>
          <t>SF5116616691152</t>
        </is>
      </c>
      <c r="B686" s="3" t="n">
        <v>58424825806939</v>
      </c>
      <c r="C686" s="3" t="inlineStr">
        <is>
          <t>已簽收</t>
        </is>
      </c>
      <c r="D686" s="3" t="inlineStr">
        <is>
          <t>2026-07-03 15:09:37</t>
        </is>
      </c>
      <c r="E686" s="3" t="inlineStr">
        <is>
          <t>2026-07-04 09:51</t>
        </is>
      </c>
      <c r="F686" s="3" t="n">
        <v>1.05</v>
      </c>
      <c r="G686" s="3" t="n">
        <v>2</v>
      </c>
      <c r="H686" s="3" t="n"/>
      <c r="I686" s="3" t="inlineStr"/>
      <c r="J686" s="3" t="inlineStr">
        <is>
          <t>Keeta</t>
        </is>
      </c>
      <c r="K686" s="3" t="inlineStr">
        <is>
          <t>****9568</t>
        </is>
      </c>
      <c r="L686" s="3" t="n"/>
      <c r="M686" s="3" t="inlineStr">
        <is>
          <t>***** 物流中心5樓</t>
        </is>
      </c>
      <c r="N686" s="3" t="inlineStr">
        <is>
          <t>北区</t>
        </is>
      </c>
      <c r="O686" s="3" t="inlineStr">
        <is>
          <t>香港</t>
        </is>
      </c>
      <c r="P686" s="3" t="inlineStr">
        <is>
          <t>香港特别行政区</t>
        </is>
      </c>
      <c r="Q686" s="3" t="n">
        <v>721494289</v>
      </c>
      <c r="R686" s="3" t="inlineStr">
        <is>
          <t>呂錦記手撕雞（上環店）</t>
        </is>
      </c>
      <c r="S686" s="3" t="inlineStr">
        <is>
          <t>****97132723</t>
        </is>
      </c>
      <c r="T686" s="3" t="inlineStr">
        <is>
          <t>****97132723</t>
        </is>
      </c>
      <c r="U686" s="3" t="inlineStr">
        <is>
          <t>***** EET HK</t>
        </is>
      </c>
      <c r="V686" s="3" t="inlineStr">
        <is>
          <t>香港</t>
        </is>
      </c>
      <c r="W686" s="3" t="inlineStr">
        <is>
          <t>塑料袋【小】/ 扎出, 塑料袋【大】/ 扎出</t>
        </is>
      </c>
      <c r="X686" s="3" t="inlineStr">
        <is>
          <t>ESS-SFTS-OTMS</t>
        </is>
      </c>
      <c r="Y686" s="3" t="n"/>
      <c r="Z686" s="3" t="inlineStr"/>
      <c r="AA686" s="3" t="inlineStr">
        <is>
          <t>寄付月結</t>
        </is>
      </c>
      <c r="AB686">
        <f>IFERROR(VLOOKUP(Q686&amp;"",對照表!$A:$B,1,FALSE),"")</f>
        <v/>
      </c>
      <c r="AC686">
        <f>IFERROR(VLOOKUP(Q686&amp;"",對照表!$A:$B,2,FALSE),"")</f>
        <v/>
      </c>
    </row>
    <row r="687">
      <c r="A687" s="3" t="inlineStr">
        <is>
          <t>SF5116616691231</t>
        </is>
      </c>
      <c r="B687" s="3" t="n">
        <v>58424825806959</v>
      </c>
      <c r="C687" s="3" t="inlineStr">
        <is>
          <t>已簽收</t>
        </is>
      </c>
      <c r="D687" s="3" t="inlineStr">
        <is>
          <t>2026-07-03 10:27:32</t>
        </is>
      </c>
      <c r="E687" s="3" t="inlineStr">
        <is>
          <t>2026-07-04 12:07</t>
        </is>
      </c>
      <c r="F687" s="3" t="n">
        <v>1</v>
      </c>
      <c r="G687" s="3" t="n">
        <v>1</v>
      </c>
      <c r="H687" s="3" t="n"/>
      <c r="I687" s="3" t="inlineStr"/>
      <c r="J687" s="3" t="inlineStr">
        <is>
          <t>Keeta</t>
        </is>
      </c>
      <c r="K687" s="3" t="inlineStr">
        <is>
          <t>****9568</t>
        </is>
      </c>
      <c r="L687" s="3" t="n"/>
      <c r="M687" s="3" t="inlineStr">
        <is>
          <t>***** 物流中心5樓</t>
        </is>
      </c>
      <c r="N687" s="3" t="inlineStr">
        <is>
          <t>北区</t>
        </is>
      </c>
      <c r="O687" s="3" t="inlineStr">
        <is>
          <t>香港</t>
        </is>
      </c>
      <c r="P687" s="3" t="inlineStr">
        <is>
          <t>香港特别行政区</t>
        </is>
      </c>
      <c r="Q687" s="3" t="n">
        <v>579831</v>
      </c>
      <c r="R687" s="3" t="inlineStr">
        <is>
          <t>雞同鴨講（回味無窮一等無骨海南雞）</t>
        </is>
      </c>
      <c r="S687" s="3" t="inlineStr">
        <is>
          <t>****59186011</t>
        </is>
      </c>
      <c r="T687" s="3" t="inlineStr">
        <is>
          <t>****59186011</t>
        </is>
      </c>
      <c r="U687" s="3" t="inlineStr">
        <is>
          <t>***** 地下23號舖</t>
        </is>
      </c>
      <c r="V687" s="3" t="inlineStr">
        <is>
          <t>香港</t>
        </is>
      </c>
      <c r="W687" s="3" t="inlineStr">
        <is>
          <t>塑料袋【大】/ 扎出</t>
        </is>
      </c>
      <c r="X687" s="3" t="inlineStr">
        <is>
          <t>ESS-SFTS-OTMS</t>
        </is>
      </c>
      <c r="Y687" s="3" t="n"/>
      <c r="Z687" s="3" t="inlineStr"/>
      <c r="AA687" s="3" t="inlineStr">
        <is>
          <t>寄付月結</t>
        </is>
      </c>
      <c r="AB687">
        <f>IFERROR(VLOOKUP(Q687&amp;"",對照表!$A:$B,1,FALSE),"")</f>
        <v/>
      </c>
      <c r="AC687">
        <f>IFERROR(VLOOKUP(Q687&amp;"",對照表!$A:$B,2,FALSE),"")</f>
        <v/>
      </c>
    </row>
    <row r="688">
      <c r="A688" s="3" t="inlineStr">
        <is>
          <t>SF5117718571035</t>
        </is>
      </c>
      <c r="B688" s="3" t="n">
        <v>58426736410666</v>
      </c>
      <c r="C688" s="3" t="inlineStr">
        <is>
          <t>已簽收</t>
        </is>
      </c>
      <c r="D688" s="3" t="inlineStr">
        <is>
          <t>2026-07-03 17:24:16</t>
        </is>
      </c>
      <c r="E688" s="3" t="inlineStr">
        <is>
          <t>2026-07-04 10:54</t>
        </is>
      </c>
      <c r="F688" s="3" t="n">
        <v>11.82</v>
      </c>
      <c r="G688" s="3" t="n">
        <v>1</v>
      </c>
      <c r="H688" s="3" t="n"/>
      <c r="I688" s="3" t="inlineStr"/>
      <c r="J688" s="3" t="inlineStr">
        <is>
          <t>Keeta</t>
        </is>
      </c>
      <c r="K688" s="3" t="inlineStr">
        <is>
          <t>****9568</t>
        </is>
      </c>
      <c r="L688" s="3" t="n"/>
      <c r="M688" s="3" t="inlineStr">
        <is>
          <t>***** 物流中心5樓</t>
        </is>
      </c>
      <c r="N688" s="3" t="inlineStr">
        <is>
          <t>北区</t>
        </is>
      </c>
      <c r="O688" s="3" t="inlineStr">
        <is>
          <t>香港</t>
        </is>
      </c>
      <c r="P688" s="3" t="inlineStr">
        <is>
          <t>香港特别行政区</t>
        </is>
      </c>
      <c r="Q688" s="3" t="n">
        <v>744184</v>
      </c>
      <c r="R688" s="3" t="inlineStr">
        <is>
          <t>Akatsuki地道日式居酒屋呈獻特色便當新鮮刺身炭火串燒及和食</t>
        </is>
      </c>
      <c r="S688" s="3" t="inlineStr">
        <is>
          <t>****98556660</t>
        </is>
      </c>
      <c r="T688" s="3" t="inlineStr">
        <is>
          <t>****98556660</t>
        </is>
      </c>
      <c r="U688" s="3" t="inlineStr">
        <is>
          <t>*****  1 號地下</t>
        </is>
      </c>
      <c r="V688" s="3" t="inlineStr">
        <is>
          <t>香港</t>
        </is>
      </c>
      <c r="W688" s="3" t="inlineStr">
        <is>
          <t>无纺布【Preminum黑】/ 箱出</t>
        </is>
      </c>
      <c r="X688" s="3" t="inlineStr">
        <is>
          <t>ESS-SFTS-OTMS</t>
        </is>
      </c>
      <c r="Y688" s="3" t="n"/>
      <c r="Z688" s="3" t="inlineStr"/>
      <c r="AA688" s="3" t="inlineStr">
        <is>
          <t>寄付月結</t>
        </is>
      </c>
      <c r="AB688">
        <f>IFERROR(VLOOKUP(Q688&amp;"",對照表!$A:$B,1,FALSE),"")</f>
        <v/>
      </c>
      <c r="AC688">
        <f>IFERROR(VLOOKUP(Q688&amp;"",對照表!$A:$B,2,FALSE),"")</f>
        <v/>
      </c>
    </row>
    <row r="689">
      <c r="A689" s="3" t="inlineStr">
        <is>
          <t>SF5116616691189</t>
        </is>
      </c>
      <c r="B689" s="3" t="n">
        <v>58424825806944</v>
      </c>
      <c r="C689" s="3" t="inlineStr">
        <is>
          <t>派送中</t>
        </is>
      </c>
      <c r="D689" s="3" t="inlineStr">
        <is>
          <t>2026-07-03 14:14:03</t>
        </is>
      </c>
      <c r="E689" s="3" t="n"/>
      <c r="F689" s="3" t="n">
        <v>80.8</v>
      </c>
      <c r="G689" s="3" t="n">
        <v>8</v>
      </c>
      <c r="H689" s="3" t="n"/>
      <c r="I689" s="3" t="inlineStr"/>
      <c r="J689" s="3" t="inlineStr">
        <is>
          <t>Keeta</t>
        </is>
      </c>
      <c r="K689" s="3" t="inlineStr">
        <is>
          <t>****9568</t>
        </is>
      </c>
      <c r="L689" s="3" t="n"/>
      <c r="M689" s="3" t="inlineStr">
        <is>
          <t>***** 物流中心5樓</t>
        </is>
      </c>
      <c r="N689" s="3" t="inlineStr">
        <is>
          <t>北区</t>
        </is>
      </c>
      <c r="O689" s="3" t="inlineStr">
        <is>
          <t>香港</t>
        </is>
      </c>
      <c r="P689" s="3" t="inlineStr">
        <is>
          <t>香港特别行政区</t>
        </is>
      </c>
      <c r="Q689" s="3" t="n">
        <v>484615</v>
      </c>
      <c r="R689" s="3" t="inlineStr">
        <is>
          <t>大皇餐室Emperor(金牌焗飯全日早餐)九龍灣</t>
        </is>
      </c>
      <c r="S689" s="3" t="inlineStr">
        <is>
          <t>****31070308</t>
        </is>
      </c>
      <c r="T689" s="3" t="inlineStr">
        <is>
          <t>****31070308</t>
        </is>
      </c>
      <c r="U689" s="3" t="inlineStr">
        <is>
          <t>***** B及1C號舖</t>
        </is>
      </c>
      <c r="V689" s="3" t="inlineStr">
        <is>
          <t>香港</t>
        </is>
      </c>
      <c r="W689" s="3" t="inlineStr">
        <is>
          <t>无纺布【规格三中号】/ 箱出</t>
        </is>
      </c>
      <c r="X689" s="3" t="inlineStr">
        <is>
          <t>ESS-SFTS-OTMS</t>
        </is>
      </c>
      <c r="Y689" s="3" t="n"/>
      <c r="Z689" s="3" t="inlineStr"/>
      <c r="AA689" s="3" t="inlineStr">
        <is>
          <t>寄付月結</t>
        </is>
      </c>
      <c r="AB689">
        <f>IFERROR(VLOOKUP(Q689&amp;"",對照表!$A:$B,1,FALSE),"")</f>
        <v/>
      </c>
      <c r="AC689">
        <f>IFERROR(VLOOKUP(Q689&amp;"",對照表!$A:$B,2,FALSE),"")</f>
        <v/>
      </c>
    </row>
    <row r="690">
      <c r="A690" s="3" t="inlineStr">
        <is>
          <t>SF5117718571132</t>
        </is>
      </c>
      <c r="B690" s="3" t="n">
        <v>58426736410702</v>
      </c>
      <c r="C690" s="3" t="inlineStr">
        <is>
          <t>已簽收</t>
        </is>
      </c>
      <c r="D690" s="3" t="inlineStr">
        <is>
          <t>2026-07-03 17:24:11</t>
        </is>
      </c>
      <c r="E690" s="3" t="inlineStr">
        <is>
          <t>2026-07-04 12:53</t>
        </is>
      </c>
      <c r="F690" s="3" t="n">
        <v>11.82</v>
      </c>
      <c r="G690" s="3" t="n">
        <v>1</v>
      </c>
      <c r="H690" s="3" t="n"/>
      <c r="I690" s="3" t="inlineStr"/>
      <c r="J690" s="3" t="inlineStr">
        <is>
          <t>Keeta</t>
        </is>
      </c>
      <c r="K690" s="3" t="inlineStr">
        <is>
          <t>****9568</t>
        </is>
      </c>
      <c r="L690" s="3" t="n"/>
      <c r="M690" s="3" t="inlineStr">
        <is>
          <t>***** 物流中心5樓</t>
        </is>
      </c>
      <c r="N690" s="3" t="inlineStr">
        <is>
          <t>北区</t>
        </is>
      </c>
      <c r="O690" s="3" t="inlineStr">
        <is>
          <t>香港</t>
        </is>
      </c>
      <c r="P690" s="3" t="inlineStr">
        <is>
          <t>香港特别行政区</t>
        </is>
      </c>
      <c r="Q690" s="3" t="n">
        <v>694862</v>
      </c>
      <c r="R690" s="3" t="inlineStr">
        <is>
          <t>FishChick(堅尼地城)</t>
        </is>
      </c>
      <c r="S690" s="3" t="inlineStr">
        <is>
          <t>****29740088</t>
        </is>
      </c>
      <c r="T690" s="3" t="inlineStr">
        <is>
          <t>****29740088</t>
        </is>
      </c>
      <c r="U690" s="3" t="inlineStr">
        <is>
          <t>***** 號地下6號舖</t>
        </is>
      </c>
      <c r="V690" s="3" t="inlineStr">
        <is>
          <t>香港</t>
        </is>
      </c>
      <c r="W690" s="3" t="inlineStr">
        <is>
          <t>无纺布【Preminum黑】/ 箱出</t>
        </is>
      </c>
      <c r="X690" s="3" t="inlineStr">
        <is>
          <t>ESS-SFTS-OTMS</t>
        </is>
      </c>
      <c r="Y690" s="3" t="n"/>
      <c r="Z690" s="3" t="inlineStr"/>
      <c r="AA690" s="3" t="inlineStr">
        <is>
          <t>寄付月結</t>
        </is>
      </c>
      <c r="AB690">
        <f>IFERROR(VLOOKUP(Q690&amp;"",對照表!$A:$B,1,FALSE),"")</f>
        <v/>
      </c>
      <c r="AC690">
        <f>IFERROR(VLOOKUP(Q690&amp;"",對照表!$A:$B,2,FALSE),"")</f>
        <v/>
      </c>
    </row>
    <row r="691">
      <c r="A691" s="3" t="inlineStr">
        <is>
          <t>SF5116616691259</t>
        </is>
      </c>
      <c r="B691" s="3" t="n">
        <v>58424825806962</v>
      </c>
      <c r="C691" s="3" t="inlineStr">
        <is>
          <t>已簽收</t>
        </is>
      </c>
      <c r="D691" s="3" t="inlineStr">
        <is>
          <t>2026-07-03 13:52:18</t>
        </is>
      </c>
      <c r="E691" s="3" t="inlineStr">
        <is>
          <t>2026-07-04 15:14</t>
        </is>
      </c>
      <c r="F691" s="3" t="n">
        <v>15</v>
      </c>
      <c r="G691" s="3" t="n">
        <v>1</v>
      </c>
      <c r="H691" s="3" t="n"/>
      <c r="I691" s="3" t="inlineStr"/>
      <c r="J691" s="3" t="inlineStr">
        <is>
          <t>Keeta</t>
        </is>
      </c>
      <c r="K691" s="3" t="inlineStr">
        <is>
          <t>****9568</t>
        </is>
      </c>
      <c r="L691" s="3" t="n"/>
      <c r="M691" s="3" t="inlineStr">
        <is>
          <t>***** 物流中心5樓</t>
        </is>
      </c>
      <c r="N691" s="3" t="inlineStr">
        <is>
          <t>北区</t>
        </is>
      </c>
      <c r="O691" s="3" t="inlineStr">
        <is>
          <t>香港</t>
        </is>
      </c>
      <c r="P691" s="3" t="inlineStr">
        <is>
          <t>香港特别行政区</t>
        </is>
      </c>
      <c r="Q691" s="3" t="n">
        <v>465022</v>
      </c>
      <c r="R691" s="3" t="inlineStr">
        <is>
          <t>餃子皇超平價小食30食餐飽</t>
        </is>
      </c>
      <c r="S691" s="3" t="inlineStr">
        <is>
          <t>****98139541</t>
        </is>
      </c>
      <c r="T691" s="3" t="inlineStr">
        <is>
          <t>****98139541</t>
        </is>
      </c>
      <c r="U691" s="3" t="inlineStr">
        <is>
          <t>***** n Shan</t>
        </is>
      </c>
      <c r="V691" s="3" t="inlineStr">
        <is>
          <t>香港</t>
        </is>
      </c>
      <c r="W691" s="3" t="inlineStr">
        <is>
          <t>纸袋【通版】/ 箱出</t>
        </is>
      </c>
      <c r="X691" s="3" t="inlineStr">
        <is>
          <t>ESS-SFTS-OTMS</t>
        </is>
      </c>
      <c r="Y691" s="3" t="n"/>
      <c r="Z691" s="3" t="inlineStr"/>
      <c r="AA691" s="3" t="inlineStr">
        <is>
          <t>寄付月結</t>
        </is>
      </c>
      <c r="AB691">
        <f>IFERROR(VLOOKUP(Q691&amp;"",對照表!$A:$B,1,FALSE),"")</f>
        <v/>
      </c>
      <c r="AC691">
        <f>IFERROR(VLOOKUP(Q691&amp;"",對照表!$A:$B,2,FALSE),"")</f>
        <v/>
      </c>
    </row>
    <row r="692">
      <c r="A692" s="3" t="inlineStr">
        <is>
          <t>SF5116616533554</t>
        </is>
      </c>
      <c r="B692" s="3" t="n">
        <v>58424825806868</v>
      </c>
      <c r="C692" s="3" t="inlineStr">
        <is>
          <t>已簽收</t>
        </is>
      </c>
      <c r="D692" s="3" t="inlineStr">
        <is>
          <t>2026-07-03 15:45:17</t>
        </is>
      </c>
      <c r="E692" s="3" t="inlineStr">
        <is>
          <t>2026-07-04 16:07</t>
        </is>
      </c>
      <c r="F692" s="3" t="n">
        <v>46.4</v>
      </c>
      <c r="G692" s="3" t="n">
        <v>4</v>
      </c>
      <c r="H692" s="3" t="n"/>
      <c r="I692" s="3" t="inlineStr"/>
      <c r="J692" s="3" t="inlineStr">
        <is>
          <t>Keeta</t>
        </is>
      </c>
      <c r="K692" s="3" t="inlineStr">
        <is>
          <t>****9568</t>
        </is>
      </c>
      <c r="L692" s="3" t="n"/>
      <c r="M692" s="3" t="inlineStr">
        <is>
          <t>***** 物流中心5樓</t>
        </is>
      </c>
      <c r="N692" s="3" t="inlineStr">
        <is>
          <t>北区</t>
        </is>
      </c>
      <c r="O692" s="3" t="inlineStr">
        <is>
          <t>香港</t>
        </is>
      </c>
      <c r="P692" s="3" t="inlineStr">
        <is>
          <t>香港特别行政区</t>
        </is>
      </c>
      <c r="Q692" s="3" t="n">
        <v>721519289</v>
      </c>
      <c r="R692" s="3" t="inlineStr">
        <is>
          <t>藍地為食妹(滙景廣場)新登場潛艇堡港式手打漢堡主打性價比單骨雞翼藍地香香雞脆脆薯條</t>
        </is>
      </c>
      <c r="S692" s="3" t="inlineStr">
        <is>
          <t>****94262503</t>
        </is>
      </c>
      <c r="T692" s="3" t="inlineStr">
        <is>
          <t>****94262503</t>
        </is>
      </c>
      <c r="U692" s="3" t="inlineStr">
        <is>
          <t>***** 3樓40號舖</t>
        </is>
      </c>
      <c r="V692" s="3" t="inlineStr">
        <is>
          <t>香港</t>
        </is>
      </c>
      <c r="W692" s="3" t="inlineStr">
        <is>
          <t>无纺布【规格四大号】/ 箱出</t>
        </is>
      </c>
      <c r="X692" s="3" t="inlineStr">
        <is>
          <t>ESS-SFTS-OTMS</t>
        </is>
      </c>
      <c r="Y692" s="3" t="n"/>
      <c r="Z692" s="3" t="inlineStr"/>
      <c r="AA692" s="3" t="inlineStr">
        <is>
          <t>寄付月結</t>
        </is>
      </c>
      <c r="AB692">
        <f>IFERROR(VLOOKUP(Q692&amp;"",對照表!$A:$B,1,FALSE),"")</f>
        <v/>
      </c>
      <c r="AC692">
        <f>IFERROR(VLOOKUP(Q692&amp;"",對照表!$A:$B,2,FALSE),"")</f>
        <v/>
      </c>
    </row>
    <row r="693">
      <c r="A693" s="3" t="inlineStr">
        <is>
          <t>SF5116616690960</t>
        </is>
      </c>
      <c r="B693" s="3" t="n">
        <v>58424825806897</v>
      </c>
      <c r="C693" s="3" t="inlineStr">
        <is>
          <t>已簽收</t>
        </is>
      </c>
      <c r="D693" s="3" t="inlineStr">
        <is>
          <t>2026-07-03 14:33:04</t>
        </is>
      </c>
      <c r="E693" s="3" t="inlineStr">
        <is>
          <t>2026-07-04 13:40</t>
        </is>
      </c>
      <c r="F693" s="3" t="n">
        <v>15</v>
      </c>
      <c r="G693" s="3" t="n">
        <v>2</v>
      </c>
      <c r="H693" s="3" t="n"/>
      <c r="I693" s="3" t="inlineStr"/>
      <c r="J693" s="3" t="inlineStr">
        <is>
          <t>Keeta</t>
        </is>
      </c>
      <c r="K693" s="3" t="inlineStr">
        <is>
          <t>****9568</t>
        </is>
      </c>
      <c r="L693" s="3" t="n"/>
      <c r="M693" s="3" t="inlineStr">
        <is>
          <t>***** 物流中心5樓</t>
        </is>
      </c>
      <c r="N693" s="3" t="inlineStr">
        <is>
          <t>北区</t>
        </is>
      </c>
      <c r="O693" s="3" t="inlineStr">
        <is>
          <t>香港</t>
        </is>
      </c>
      <c r="P693" s="3" t="inlineStr">
        <is>
          <t>香港特别行政区</t>
        </is>
      </c>
      <c r="Q693" s="3" t="n">
        <v>586372</v>
      </c>
      <c r="R693" s="3" t="inlineStr">
        <is>
          <t>M2MammaMia意粉速遞（龍門居）</t>
        </is>
      </c>
      <c r="S693" s="3" t="inlineStr">
        <is>
          <t>****53479668</t>
        </is>
      </c>
      <c r="T693" s="3" t="inlineStr">
        <is>
          <t>****53479668</t>
        </is>
      </c>
      <c r="U693" s="3" t="inlineStr">
        <is>
          <t>***** 120號地舖</t>
        </is>
      </c>
      <c r="V693" s="3" t="inlineStr">
        <is>
          <t>香港</t>
        </is>
      </c>
      <c r="W693" s="3" t="inlineStr">
        <is>
          <t>无纺布【规格二双杯】/ 箱出</t>
        </is>
      </c>
      <c r="X693" s="3" t="inlineStr">
        <is>
          <t>ESS-SFTS-OTMS</t>
        </is>
      </c>
      <c r="Y693" s="3" t="n"/>
      <c r="Z693" s="3" t="inlineStr"/>
      <c r="AA693" s="3" t="inlineStr">
        <is>
          <t>寄付月結</t>
        </is>
      </c>
      <c r="AB693">
        <f>IFERROR(VLOOKUP(Q693&amp;"",對照表!$A:$B,1,FALSE),"")</f>
        <v/>
      </c>
      <c r="AC693">
        <f>IFERROR(VLOOKUP(Q693&amp;"",對照表!$A:$B,2,FALSE),"")</f>
        <v/>
      </c>
    </row>
    <row r="694">
      <c r="A694" s="3" t="inlineStr">
        <is>
          <t>SF5116616691204</t>
        </is>
      </c>
      <c r="B694" s="3" t="n">
        <v>58424825806950</v>
      </c>
      <c r="C694" s="3" t="inlineStr">
        <is>
          <t>已簽收</t>
        </is>
      </c>
      <c r="D694" s="3" t="inlineStr">
        <is>
          <t>2026-07-03 13:59:42</t>
        </is>
      </c>
      <c r="E694" s="3" t="inlineStr">
        <is>
          <t>2026-07-04 10:49</t>
        </is>
      </c>
      <c r="F694" s="3" t="n">
        <v>23.2</v>
      </c>
      <c r="G694" s="3" t="n">
        <v>2</v>
      </c>
      <c r="H694" s="3" t="n"/>
      <c r="I694" s="3" t="inlineStr"/>
      <c r="J694" s="3" t="inlineStr">
        <is>
          <t>Keeta</t>
        </is>
      </c>
      <c r="K694" s="3" t="inlineStr">
        <is>
          <t>****9568</t>
        </is>
      </c>
      <c r="L694" s="3" t="n"/>
      <c r="M694" s="3" t="inlineStr">
        <is>
          <t>***** 物流中心5樓</t>
        </is>
      </c>
      <c r="N694" s="3" t="inlineStr">
        <is>
          <t>北区</t>
        </is>
      </c>
      <c r="O694" s="3" t="inlineStr">
        <is>
          <t>香港</t>
        </is>
      </c>
      <c r="P694" s="3" t="inlineStr">
        <is>
          <t>香港特别行政区</t>
        </is>
      </c>
      <c r="Q694" s="3" t="n">
        <v>721528339</v>
      </c>
      <c r="R694" s="3" t="inlineStr">
        <is>
          <t>HHKitchen健康之選便當沙律新鮮生果</t>
        </is>
      </c>
      <c r="S694" s="3" t="inlineStr">
        <is>
          <t>****66857073</t>
        </is>
      </c>
      <c r="T694" s="3" t="inlineStr">
        <is>
          <t>****66857073</t>
        </is>
      </c>
      <c r="U694" s="3" t="inlineStr">
        <is>
          <t>***** 樓503室A</t>
        </is>
      </c>
      <c r="V694" s="3" t="inlineStr">
        <is>
          <t>香港</t>
        </is>
      </c>
      <c r="W694" s="3" t="inlineStr">
        <is>
          <t>无纺布【规格四大号】/ 箱出</t>
        </is>
      </c>
      <c r="X694" s="3" t="inlineStr">
        <is>
          <t>ESS-SFTS-OTMS</t>
        </is>
      </c>
      <c r="Y694" s="3" t="n"/>
      <c r="Z694" s="3" t="inlineStr"/>
      <c r="AA694" s="3" t="inlineStr">
        <is>
          <t>寄付月結</t>
        </is>
      </c>
      <c r="AB694">
        <f>IFERROR(VLOOKUP(Q694&amp;"",對照表!$A:$B,1,FALSE),"")</f>
        <v/>
      </c>
      <c r="AC694">
        <f>IFERROR(VLOOKUP(Q694&amp;"",對照表!$A:$B,2,FALSE),"")</f>
        <v/>
      </c>
    </row>
    <row r="695">
      <c r="A695" s="3" t="inlineStr">
        <is>
          <t>SF5116616691286</t>
        </is>
      </c>
      <c r="B695" s="3" t="n">
        <v>58424825806968</v>
      </c>
      <c r="C695" s="3" t="inlineStr">
        <is>
          <t>已簽收</t>
        </is>
      </c>
      <c r="D695" s="3" t="inlineStr">
        <is>
          <t>2026-07-03 11:51:46</t>
        </is>
      </c>
      <c r="E695" s="3" t="inlineStr">
        <is>
          <t>2026-07-04 11:29</t>
        </is>
      </c>
      <c r="F695" s="3" t="n">
        <v>10.1</v>
      </c>
      <c r="G695" s="3" t="n">
        <v>1</v>
      </c>
      <c r="H695" s="3" t="n"/>
      <c r="I695" s="3" t="inlineStr"/>
      <c r="J695" s="3" t="inlineStr">
        <is>
          <t>Keeta</t>
        </is>
      </c>
      <c r="K695" s="3" t="inlineStr">
        <is>
          <t>****9568</t>
        </is>
      </c>
      <c r="L695" s="3" t="n"/>
      <c r="M695" s="3" t="inlineStr">
        <is>
          <t>***** 物流中心5樓</t>
        </is>
      </c>
      <c r="N695" s="3" t="inlineStr">
        <is>
          <t>北区</t>
        </is>
      </c>
      <c r="O695" s="3" t="inlineStr">
        <is>
          <t>香港</t>
        </is>
      </c>
      <c r="P695" s="3" t="inlineStr">
        <is>
          <t>香港特别行政区</t>
        </is>
      </c>
      <c r="Q695" s="3" t="n">
        <v>462224</v>
      </c>
      <c r="R695" s="3" t="inlineStr">
        <is>
          <t>街坊茶餐廳(極平舊風味茶餐朝早有即整布拉腸嗌)</t>
        </is>
      </c>
      <c r="S695" s="3" t="inlineStr">
        <is>
          <t>****98052529</t>
        </is>
      </c>
      <c r="T695" s="3" t="inlineStr">
        <is>
          <t>****98052529</t>
        </is>
      </c>
      <c r="U695" s="3" t="inlineStr">
        <is>
          <t>***** 水新健街9號</t>
        </is>
      </c>
      <c r="V695" s="3" t="inlineStr">
        <is>
          <t>香港</t>
        </is>
      </c>
      <c r="W695" s="3" t="inlineStr">
        <is>
          <t>无纺布【规格三中号】/ 箱出</t>
        </is>
      </c>
      <c r="X695" s="3" t="inlineStr">
        <is>
          <t>ESS-SFTS-OTMS</t>
        </is>
      </c>
      <c r="Y695" s="3" t="n"/>
      <c r="Z695" s="3" t="inlineStr"/>
      <c r="AA695" s="3" t="inlineStr">
        <is>
          <t>寄付月結</t>
        </is>
      </c>
      <c r="AB695">
        <f>IFERROR(VLOOKUP(Q695&amp;"",對照表!$A:$B,1,FALSE),"")</f>
        <v/>
      </c>
      <c r="AC695">
        <f>IFERROR(VLOOKUP(Q695&amp;"",對照表!$A:$B,2,FALSE),"")</f>
        <v/>
      </c>
    </row>
    <row r="696">
      <c r="A696" s="3" t="inlineStr">
        <is>
          <t>SF5119018987914</t>
        </is>
      </c>
      <c r="B696" s="3" t="n">
        <v>58426948452480</v>
      </c>
      <c r="C696" s="3" t="inlineStr">
        <is>
          <t>已簽收</t>
        </is>
      </c>
      <c r="D696" s="3" t="inlineStr">
        <is>
          <t>2026-07-03 17:21:02</t>
        </is>
      </c>
      <c r="E696" s="3" t="inlineStr">
        <is>
          <t>2026-07-04 18:27</t>
        </is>
      </c>
      <c r="F696" s="3" t="n">
        <v>1</v>
      </c>
      <c r="G696" s="3" t="n">
        <v>1</v>
      </c>
      <c r="H696" s="3" t="n"/>
      <c r="I696" s="3" t="inlineStr"/>
      <c r="J696" s="3" t="inlineStr">
        <is>
          <t>Keeta</t>
        </is>
      </c>
      <c r="K696" s="3" t="inlineStr">
        <is>
          <t>****9568</t>
        </is>
      </c>
      <c r="L696" s="3" t="n"/>
      <c r="M696" s="3" t="inlineStr">
        <is>
          <t>***** 物流中心5樓</t>
        </is>
      </c>
      <c r="N696" s="3" t="inlineStr">
        <is>
          <t>北区</t>
        </is>
      </c>
      <c r="O696" s="3" t="inlineStr">
        <is>
          <t>香港</t>
        </is>
      </c>
      <c r="P696" s="3" t="inlineStr">
        <is>
          <t>香港特别行政区</t>
        </is>
      </c>
      <c r="Q696" s="3" t="n">
        <v>464062</v>
      </c>
      <c r="R696" s="3" t="inlineStr">
        <is>
          <t>太平洋酒吧(華堂大廈)宵夜啤酒BarPacific86</t>
        </is>
      </c>
      <c r="S696" s="3" t="inlineStr">
        <is>
          <t>****35654609</t>
        </is>
      </c>
      <c r="T696" s="3" t="inlineStr">
        <is>
          <t>****35654609</t>
        </is>
      </c>
      <c r="U696" s="3" t="inlineStr">
        <is>
          <t>***** 華堂大廈地下</t>
        </is>
      </c>
      <c r="V696" s="3" t="inlineStr">
        <is>
          <t>香港</t>
        </is>
      </c>
      <c r="W696" s="3" t="inlineStr">
        <is>
          <t>翻新POS机【真唯】/ 件出</t>
        </is>
      </c>
      <c r="X696" s="3" t="inlineStr">
        <is>
          <t>ESS-SFTS-OTMS</t>
        </is>
      </c>
      <c r="Y696" s="3" t="n"/>
      <c r="Z696" s="3" t="inlineStr"/>
      <c r="AA696" s="3" t="inlineStr">
        <is>
          <t>寄付月結</t>
        </is>
      </c>
      <c r="AB696">
        <f>IFERROR(VLOOKUP(Q696&amp;"",對照表!$A:$B,1,FALSE),"")</f>
        <v/>
      </c>
      <c r="AC696">
        <f>IFERROR(VLOOKUP(Q696&amp;"",對照表!$A:$B,2,FALSE),"")</f>
        <v/>
      </c>
    </row>
    <row r="697">
      <c r="A697" s="3" t="inlineStr">
        <is>
          <t>SF5116616691222</t>
        </is>
      </c>
      <c r="B697" s="3" t="n">
        <v>58424825806954</v>
      </c>
      <c r="C697" s="3" t="inlineStr">
        <is>
          <t>已簽收</t>
        </is>
      </c>
      <c r="D697" s="3" t="inlineStr">
        <is>
          <t>2026-07-03 13:59:41</t>
        </is>
      </c>
      <c r="E697" s="3" t="inlineStr">
        <is>
          <t>2026-07-04 16:45</t>
        </is>
      </c>
      <c r="F697" s="3" t="n">
        <v>23.2</v>
      </c>
      <c r="G697" s="3" t="n">
        <v>2</v>
      </c>
      <c r="H697" s="3" t="n"/>
      <c r="I697" s="3" t="inlineStr"/>
      <c r="J697" s="3" t="inlineStr">
        <is>
          <t>Keeta</t>
        </is>
      </c>
      <c r="K697" s="3" t="inlineStr">
        <is>
          <t>****9568</t>
        </is>
      </c>
      <c r="L697" s="3" t="n"/>
      <c r="M697" s="3" t="inlineStr">
        <is>
          <t>***** 物流中心5樓</t>
        </is>
      </c>
      <c r="N697" s="3" t="inlineStr">
        <is>
          <t>北区</t>
        </is>
      </c>
      <c r="O697" s="3" t="inlineStr">
        <is>
          <t>香港</t>
        </is>
      </c>
      <c r="P697" s="3" t="inlineStr">
        <is>
          <t>香港特别行政区</t>
        </is>
      </c>
      <c r="Q697" s="3" t="n">
        <v>721454319</v>
      </c>
      <c r="R697" s="3" t="inlineStr">
        <is>
          <t>大門炸雞真正韓廚主理香港連鎖品牌(太子)</t>
        </is>
      </c>
      <c r="S697" s="3" t="inlineStr">
        <is>
          <t>****62749888</t>
        </is>
      </c>
      <c r="T697" s="3" t="inlineStr">
        <is>
          <t>****62749888</t>
        </is>
      </c>
      <c r="U697" s="3" t="inlineStr">
        <is>
          <t>***** 15-19號</t>
        </is>
      </c>
      <c r="V697" s="3" t="inlineStr">
        <is>
          <t>香港</t>
        </is>
      </c>
      <c r="W697" s="3" t="inlineStr">
        <is>
          <t>无纺布【规格四大号】/ 箱出</t>
        </is>
      </c>
      <c r="X697" s="3" t="inlineStr">
        <is>
          <t>ESS-SFTS-OTMS</t>
        </is>
      </c>
      <c r="Y697" s="3" t="n"/>
      <c r="Z697" s="3" t="inlineStr"/>
      <c r="AA697" s="3" t="inlineStr">
        <is>
          <t>寄付月結</t>
        </is>
      </c>
      <c r="AB697">
        <f>IFERROR(VLOOKUP(Q697&amp;"",對照表!$A:$B,1,FALSE),"")</f>
        <v/>
      </c>
      <c r="AC697">
        <f>IFERROR(VLOOKUP(Q697&amp;"",對照表!$A:$B,2,FALSE),"")</f>
        <v/>
      </c>
    </row>
    <row r="698">
      <c r="A698" s="3" t="inlineStr">
        <is>
          <t>SF5117718571099</t>
        </is>
      </c>
      <c r="B698" s="3" t="n">
        <v>58426736410691</v>
      </c>
      <c r="C698" s="3" t="inlineStr">
        <is>
          <t>已簽收</t>
        </is>
      </c>
      <c r="D698" s="3" t="inlineStr">
        <is>
          <t>2026-07-03 17:24:53</t>
        </is>
      </c>
      <c r="E698" s="3" t="inlineStr">
        <is>
          <t>2026-07-04 12:46</t>
        </is>
      </c>
      <c r="F698" s="3" t="n">
        <v>23.68</v>
      </c>
      <c r="G698" s="3" t="n">
        <v>2</v>
      </c>
      <c r="H698" s="3" t="n"/>
      <c r="I698" s="3" t="inlineStr"/>
      <c r="J698" s="3" t="inlineStr">
        <is>
          <t>Keeta</t>
        </is>
      </c>
      <c r="K698" s="3" t="inlineStr">
        <is>
          <t>****9568</t>
        </is>
      </c>
      <c r="L698" s="3" t="n"/>
      <c r="M698" s="3" t="inlineStr">
        <is>
          <t>***** 物流中心5樓</t>
        </is>
      </c>
      <c r="N698" s="3" t="inlineStr">
        <is>
          <t>北区</t>
        </is>
      </c>
      <c r="O698" s="3" t="inlineStr">
        <is>
          <t>香港</t>
        </is>
      </c>
      <c r="P698" s="3" t="inlineStr">
        <is>
          <t>香港特别行政区</t>
        </is>
      </c>
      <c r="Q698" s="3" t="n">
        <v>721528307</v>
      </c>
      <c r="R698" s="3" t="inlineStr">
        <is>
          <t>PicanhasbyFlatIronSteak</t>
        </is>
      </c>
      <c r="S698" s="3" t="inlineStr">
        <is>
          <t>****98421883</t>
        </is>
      </c>
      <c r="T698" s="3" t="inlineStr">
        <is>
          <t>****98421883</t>
        </is>
      </c>
      <c r="U698" s="3" t="inlineStr">
        <is>
          <t>***** 9號地下A舖</t>
        </is>
      </c>
      <c r="V698" s="3" t="inlineStr">
        <is>
          <t>香港</t>
        </is>
      </c>
      <c r="W698" s="3" t="inlineStr">
        <is>
          <t>纸袋【Preminum黑】/ 箱出, 无纺布【Preminum黑】/ 箱出</t>
        </is>
      </c>
      <c r="X698" s="3" t="inlineStr">
        <is>
          <t>ESS-SFTS-OTMS</t>
        </is>
      </c>
      <c r="Y698" s="3" t="n"/>
      <c r="Z698" s="3" t="inlineStr"/>
      <c r="AA698" s="3" t="inlineStr">
        <is>
          <t>寄付月結</t>
        </is>
      </c>
      <c r="AB698">
        <f>IFERROR(VLOOKUP(Q698&amp;"",對照表!$A:$B,1,FALSE),"")</f>
        <v/>
      </c>
      <c r="AC698">
        <f>IFERROR(VLOOKUP(Q698&amp;"",對照表!$A:$B,2,FALSE),"")</f>
        <v/>
      </c>
    </row>
    <row r="699">
      <c r="A699" s="3" t="inlineStr">
        <is>
          <t>SF5117718571123</t>
        </is>
      </c>
      <c r="B699" s="3" t="n">
        <v>58426736410700</v>
      </c>
      <c r="C699" s="3" t="inlineStr">
        <is>
          <t>已簽收</t>
        </is>
      </c>
      <c r="D699" s="3" t="inlineStr">
        <is>
          <t>2026-07-03 17:24:22</t>
        </is>
      </c>
      <c r="E699" s="3" t="inlineStr">
        <is>
          <t>2026-07-04 11:16</t>
        </is>
      </c>
      <c r="F699" s="3" t="n">
        <v>17.9</v>
      </c>
      <c r="G699" s="3" t="n">
        <v>2</v>
      </c>
      <c r="H699" s="3" t="n"/>
      <c r="I699" s="3" t="inlineStr"/>
      <c r="J699" s="3" t="inlineStr">
        <is>
          <t>Keeta</t>
        </is>
      </c>
      <c r="K699" s="3" t="inlineStr">
        <is>
          <t>****9568</t>
        </is>
      </c>
      <c r="L699" s="3" t="n"/>
      <c r="M699" s="3" t="inlineStr">
        <is>
          <t>***** 物流中心5樓</t>
        </is>
      </c>
      <c r="N699" s="3" t="inlineStr">
        <is>
          <t>北区</t>
        </is>
      </c>
      <c r="O699" s="3" t="inlineStr">
        <is>
          <t>香港</t>
        </is>
      </c>
      <c r="P699" s="3" t="inlineStr">
        <is>
          <t>香港特别行政区</t>
        </is>
      </c>
      <c r="Q699" s="3" t="n">
        <v>415438</v>
      </c>
      <c r="R699" s="3" t="inlineStr">
        <is>
          <t>PokeToke(旺角)</t>
        </is>
      </c>
      <c r="S699" s="3" t="inlineStr">
        <is>
          <t>****64364429</t>
        </is>
      </c>
      <c r="T699" s="3" t="inlineStr">
        <is>
          <t>****64364429</t>
        </is>
      </c>
      <c r="U699" s="3" t="inlineStr">
        <is>
          <t>***** 場地下1號舖</t>
        </is>
      </c>
      <c r="V699" s="3" t="inlineStr">
        <is>
          <t>香港</t>
        </is>
      </c>
      <c r="W699" s="3" t="inlineStr">
        <is>
          <t>无纺布【规格三中号】/ 箱出, 无纺布【规格二双杯】/ 箱出</t>
        </is>
      </c>
      <c r="X699" s="3" t="inlineStr">
        <is>
          <t>ESS-SFTS-OTMS</t>
        </is>
      </c>
      <c r="Y699" s="3" t="n"/>
      <c r="Z699" s="3" t="inlineStr"/>
      <c r="AA699" s="3" t="inlineStr">
        <is>
          <t>寄付月結</t>
        </is>
      </c>
      <c r="AB699">
        <f>IFERROR(VLOOKUP(Q699&amp;"",對照表!$A:$B,1,FALSE),"")</f>
        <v/>
      </c>
      <c r="AC699">
        <f>IFERROR(VLOOKUP(Q699&amp;"",對照表!$A:$B,2,FALSE),"")</f>
        <v/>
      </c>
    </row>
    <row r="700">
      <c r="A700" s="3" t="inlineStr">
        <is>
          <t>SF5117718571071</t>
        </is>
      </c>
      <c r="B700" s="3" t="n">
        <v>58426736410681</v>
      </c>
      <c r="C700" s="3" t="inlineStr">
        <is>
          <t>已簽收</t>
        </is>
      </c>
      <c r="D700" s="3" t="inlineStr">
        <is>
          <t>2026-07-03 17:24:16</t>
        </is>
      </c>
      <c r="E700" s="3" t="inlineStr">
        <is>
          <t>2026-07-04 12:44</t>
        </is>
      </c>
      <c r="F700" s="3" t="n">
        <v>11.82</v>
      </c>
      <c r="G700" s="3" t="n">
        <v>1</v>
      </c>
      <c r="H700" s="3" t="n"/>
      <c r="I700" s="3" t="inlineStr"/>
      <c r="J700" s="3" t="inlineStr">
        <is>
          <t>Keeta</t>
        </is>
      </c>
      <c r="K700" s="3" t="inlineStr">
        <is>
          <t>****9568</t>
        </is>
      </c>
      <c r="L700" s="3" t="n"/>
      <c r="M700" s="3" t="inlineStr">
        <is>
          <t>***** 物流中心5樓</t>
        </is>
      </c>
      <c r="N700" s="3" t="inlineStr">
        <is>
          <t>北区</t>
        </is>
      </c>
      <c r="O700" s="3" t="inlineStr">
        <is>
          <t>香港</t>
        </is>
      </c>
      <c r="P700" s="3" t="inlineStr">
        <is>
          <t>香港特别行政区</t>
        </is>
      </c>
      <c r="Q700" s="3" t="n">
        <v>478668</v>
      </c>
      <c r="R700" s="3" t="inlineStr">
        <is>
          <t>FishChick(MONTEREYPlace)</t>
        </is>
      </c>
      <c r="S700" s="3" t="inlineStr">
        <is>
          <t>****29741818</t>
        </is>
      </c>
      <c r="T700" s="3" t="inlineStr">
        <is>
          <t>****29741818</t>
        </is>
      </c>
      <c r="U700" s="3" t="inlineStr">
        <is>
          <t>***** G23B號舖</t>
        </is>
      </c>
      <c r="V700" s="3" t="inlineStr">
        <is>
          <t>香港</t>
        </is>
      </c>
      <c r="W700" s="3" t="inlineStr">
        <is>
          <t>无纺布【Preminum黑】/ 箱出</t>
        </is>
      </c>
      <c r="X700" s="3" t="inlineStr">
        <is>
          <t>ESS-SFTS-OTMS</t>
        </is>
      </c>
      <c r="Y700" s="3" t="n"/>
      <c r="Z700" s="3" t="inlineStr"/>
      <c r="AA700" s="3" t="inlineStr">
        <is>
          <t>寄付月結</t>
        </is>
      </c>
      <c r="AB700">
        <f>IFERROR(VLOOKUP(Q700&amp;"",對照表!$A:$B,1,FALSE),"")</f>
        <v/>
      </c>
      <c r="AC700">
        <f>IFERROR(VLOOKUP(Q700&amp;"",對照表!$A:$B,2,FALSE),"")</f>
        <v/>
      </c>
    </row>
    <row r="701">
      <c r="A701" s="3" t="inlineStr">
        <is>
          <t>SF5116616533493</t>
        </is>
      </c>
      <c r="B701" s="3" t="n">
        <v>58424825806853</v>
      </c>
      <c r="C701" s="3" t="inlineStr">
        <is>
          <t>已簽收</t>
        </is>
      </c>
      <c r="D701" s="3" t="inlineStr">
        <is>
          <t>2026-07-03 15:32:55</t>
        </is>
      </c>
      <c r="E701" s="3" t="inlineStr">
        <is>
          <t>2026-07-04 10:56</t>
        </is>
      </c>
      <c r="F701" s="3" t="n">
        <v>43.4</v>
      </c>
      <c r="G701" s="3" t="n">
        <v>4</v>
      </c>
      <c r="H701" s="3" t="n"/>
      <c r="I701" s="3" t="inlineStr"/>
      <c r="J701" s="3" t="inlineStr">
        <is>
          <t>Keeta</t>
        </is>
      </c>
      <c r="K701" s="3" t="inlineStr">
        <is>
          <t>****9568</t>
        </is>
      </c>
      <c r="L701" s="3" t="n"/>
      <c r="M701" s="3" t="inlineStr">
        <is>
          <t>***** 物流中心5樓</t>
        </is>
      </c>
      <c r="N701" s="3" t="inlineStr">
        <is>
          <t>北区</t>
        </is>
      </c>
      <c r="O701" s="3" t="inlineStr">
        <is>
          <t>香港</t>
        </is>
      </c>
      <c r="P701" s="3" t="inlineStr">
        <is>
          <t>香港特别行政区</t>
        </is>
      </c>
      <c r="Q701" s="3" t="n">
        <v>466364</v>
      </c>
      <c r="R701" s="3" t="inlineStr">
        <is>
          <t>JOM(上環)必食喇沙海南雞</t>
        </is>
      </c>
      <c r="S701" s="3" t="inlineStr">
        <is>
          <t>****63857002</t>
        </is>
      </c>
      <c r="T701" s="3" t="inlineStr">
        <is>
          <t>****63857002</t>
        </is>
      </c>
      <c r="U701" s="3" t="inlineStr">
        <is>
          <t>***** 街81號地舖</t>
        </is>
      </c>
      <c r="V701" s="3" t="inlineStr">
        <is>
          <t>香港</t>
        </is>
      </c>
      <c r="W701" s="3" t="inlineStr">
        <is>
          <t>无纺布【规格三中号】/ 箱出, 无纺布【规格四大号】/ 箱出</t>
        </is>
      </c>
      <c r="X701" s="3" t="inlineStr">
        <is>
          <t>ESS-SFTS-OTMS</t>
        </is>
      </c>
      <c r="Y701" s="3" t="n"/>
      <c r="Z701" s="3" t="inlineStr"/>
      <c r="AA701" s="3" t="inlineStr">
        <is>
          <t>寄付月結</t>
        </is>
      </c>
      <c r="AB701">
        <f>IFERROR(VLOOKUP(Q701&amp;"",對照表!$A:$B,1,FALSE),"")</f>
        <v/>
      </c>
      <c r="AC701">
        <f>IFERROR(VLOOKUP(Q701&amp;"",對照表!$A:$B,2,FALSE),"")</f>
        <v/>
      </c>
    </row>
    <row r="702">
      <c r="A702" s="3" t="inlineStr">
        <is>
          <t>SF5119018988293</t>
        </is>
      </c>
      <c r="B702" s="3" t="n">
        <v>58426948452559</v>
      </c>
      <c r="C702" s="3" t="inlineStr">
        <is>
          <t>已簽收</t>
        </is>
      </c>
      <c r="D702" s="3" t="inlineStr">
        <is>
          <t>2026-07-03 17:21:03</t>
        </is>
      </c>
      <c r="E702" s="3" t="inlineStr">
        <is>
          <t>2026-07-04 15:44</t>
        </is>
      </c>
      <c r="F702" s="3" t="n">
        <v>1</v>
      </c>
      <c r="G702" s="3" t="n">
        <v>1</v>
      </c>
      <c r="H702" s="3" t="n"/>
      <c r="I702" s="3" t="inlineStr"/>
      <c r="J702" s="3" t="inlineStr">
        <is>
          <t>Keeta</t>
        </is>
      </c>
      <c r="K702" s="3" t="inlineStr">
        <is>
          <t>****9568</t>
        </is>
      </c>
      <c r="L702" s="3" t="n"/>
      <c r="M702" s="3" t="inlineStr">
        <is>
          <t>***** 物流中心5樓</t>
        </is>
      </c>
      <c r="N702" s="3" t="inlineStr">
        <is>
          <t>北区</t>
        </is>
      </c>
      <c r="O702" s="3" t="inlineStr">
        <is>
          <t>香港</t>
        </is>
      </c>
      <c r="P702" s="3" t="inlineStr">
        <is>
          <t>香港特别行政区</t>
        </is>
      </c>
      <c r="Q702" s="3" t="n">
        <v>455623</v>
      </c>
      <c r="R702" s="3" t="inlineStr">
        <is>
          <t>壹喜吹水小廚</t>
        </is>
      </c>
      <c r="S702" s="3" t="inlineStr">
        <is>
          <t>****59172674</t>
        </is>
      </c>
      <c r="T702" s="3" t="inlineStr">
        <is>
          <t>****59172674</t>
        </is>
      </c>
      <c r="U702" s="3" t="inlineStr">
        <is>
          <t>***** 街市32號舖</t>
        </is>
      </c>
      <c r="V702" s="3" t="inlineStr">
        <is>
          <t>香港</t>
        </is>
      </c>
      <c r="W702" s="3" t="inlineStr">
        <is>
          <t>翻新POS机【真唯】/ 件出</t>
        </is>
      </c>
      <c r="X702" s="3" t="inlineStr">
        <is>
          <t>ESS-SFTS-OTMS</t>
        </is>
      </c>
      <c r="Y702" s="3" t="n"/>
      <c r="Z702" s="3" t="inlineStr"/>
      <c r="AA702" s="3" t="inlineStr">
        <is>
          <t>寄付月結</t>
        </is>
      </c>
      <c r="AB702">
        <f>IFERROR(VLOOKUP(Q702&amp;"",對照表!$A:$B,1,FALSE),"")</f>
        <v/>
      </c>
      <c r="AC702">
        <f>IFERROR(VLOOKUP(Q702&amp;"",對照表!$A:$B,2,FALSE),"")</f>
        <v/>
      </c>
    </row>
    <row r="703">
      <c r="A703" s="3" t="inlineStr">
        <is>
          <t>SF5119018988053</t>
        </is>
      </c>
      <c r="B703" s="3" t="n">
        <v>58426948452505</v>
      </c>
      <c r="C703" s="3" t="inlineStr">
        <is>
          <t>已簽收</t>
        </is>
      </c>
      <c r="D703" s="3" t="inlineStr">
        <is>
          <t>2026-07-03 17:19:18</t>
        </is>
      </c>
      <c r="E703" s="3" t="inlineStr">
        <is>
          <t>2026-07-04 12:20</t>
        </is>
      </c>
      <c r="F703" s="3" t="n">
        <v>1</v>
      </c>
      <c r="G703" s="3" t="n">
        <v>1</v>
      </c>
      <c r="H703" s="3" t="n"/>
      <c r="I703" s="3" t="inlineStr"/>
      <c r="J703" s="3" t="inlineStr">
        <is>
          <t>Keeta</t>
        </is>
      </c>
      <c r="K703" s="3" t="inlineStr">
        <is>
          <t>****9568</t>
        </is>
      </c>
      <c r="L703" s="3" t="n"/>
      <c r="M703" s="3" t="inlineStr">
        <is>
          <t>***** 物流中心5樓</t>
        </is>
      </c>
      <c r="N703" s="3" t="inlineStr">
        <is>
          <t>北区</t>
        </is>
      </c>
      <c r="O703" s="3" t="inlineStr">
        <is>
          <t>香港</t>
        </is>
      </c>
      <c r="P703" s="3" t="inlineStr">
        <is>
          <t>香港特别行政区</t>
        </is>
      </c>
      <c r="Q703" s="3" t="n">
        <v>484626</v>
      </c>
      <c r="R703" s="3" t="inlineStr">
        <is>
          <t>皇庭薈(粉嶺)星級點心經典之選</t>
        </is>
      </c>
      <c r="S703" s="3" t="inlineStr">
        <is>
          <t>****21678886</t>
        </is>
      </c>
      <c r="T703" s="3" t="inlineStr">
        <is>
          <t>****21678886</t>
        </is>
      </c>
      <c r="U703" s="3" t="inlineStr">
        <is>
          <t>***** 樓208號舖</t>
        </is>
      </c>
      <c r="V703" s="3" t="inlineStr">
        <is>
          <t>香港</t>
        </is>
      </c>
      <c r="W703" s="3" t="inlineStr">
        <is>
          <t>翻新POS机【真唯】/ 件出</t>
        </is>
      </c>
      <c r="X703" s="3" t="inlineStr">
        <is>
          <t>ESS-SFTS-OTMS</t>
        </is>
      </c>
      <c r="Y703" s="3" t="n"/>
      <c r="Z703" s="3" t="inlineStr"/>
      <c r="AA703" s="3" t="inlineStr">
        <is>
          <t>寄付月結</t>
        </is>
      </c>
      <c r="AB703">
        <f>IFERROR(VLOOKUP(Q703&amp;"",對照表!$A:$B,1,FALSE),"")</f>
        <v/>
      </c>
      <c r="AC703">
        <f>IFERROR(VLOOKUP(Q703&amp;"",對照表!$A:$B,2,FALSE),"")</f>
        <v/>
      </c>
    </row>
    <row r="704">
      <c r="A704" s="3" t="inlineStr">
        <is>
          <t>SF5119018987508</t>
        </is>
      </c>
      <c r="B704" s="3" t="n">
        <v>58426948452394</v>
      </c>
      <c r="C704" s="3" t="inlineStr">
        <is>
          <t>已簽收</t>
        </is>
      </c>
      <c r="D704" s="3" t="inlineStr">
        <is>
          <t>2026-07-03 17:19:19</t>
        </is>
      </c>
      <c r="E704" s="3" t="inlineStr">
        <is>
          <t>2026-07-04 11:51</t>
        </is>
      </c>
      <c r="F704" s="3" t="n">
        <v>1</v>
      </c>
      <c r="G704" s="3" t="n">
        <v>1</v>
      </c>
      <c r="H704" s="3" t="n"/>
      <c r="I704" s="3" t="inlineStr"/>
      <c r="J704" s="3" t="inlineStr">
        <is>
          <t>Keeta</t>
        </is>
      </c>
      <c r="K704" s="3" t="inlineStr">
        <is>
          <t>****9568</t>
        </is>
      </c>
      <c r="L704" s="3" t="n"/>
      <c r="M704" s="3" t="inlineStr">
        <is>
          <t>***** 物流中心5樓</t>
        </is>
      </c>
      <c r="N704" s="3" t="inlineStr">
        <is>
          <t>北区</t>
        </is>
      </c>
      <c r="O704" s="3" t="inlineStr">
        <is>
          <t>香港</t>
        </is>
      </c>
      <c r="P704" s="3" t="inlineStr">
        <is>
          <t>香港特别行政区</t>
        </is>
      </c>
      <c r="Q704" s="3" t="n">
        <v>460854</v>
      </c>
      <c r="R704" s="3" t="inlineStr">
        <is>
          <t>MUSES</t>
        </is>
      </c>
      <c r="S704" s="3" t="inlineStr">
        <is>
          <t>****25378971</t>
        </is>
      </c>
      <c r="T704" s="3" t="inlineStr">
        <is>
          <t>****25378971</t>
        </is>
      </c>
      <c r="U704" s="3" t="inlineStr">
        <is>
          <t>***** 會堂低座大堂</t>
        </is>
      </c>
      <c r="V704" s="3" t="inlineStr">
        <is>
          <t>香港</t>
        </is>
      </c>
      <c r="W704" s="3" t="inlineStr">
        <is>
          <t>翻新POS机【真唯】/ 件出</t>
        </is>
      </c>
      <c r="X704" s="3" t="inlineStr">
        <is>
          <t>ESS-SFTS-OTMS</t>
        </is>
      </c>
      <c r="Y704" s="3" t="n"/>
      <c r="Z704" s="3" t="inlineStr"/>
      <c r="AA704" s="3" t="inlineStr">
        <is>
          <t>寄付月結</t>
        </is>
      </c>
      <c r="AB704">
        <f>IFERROR(VLOOKUP(Q704&amp;"",對照表!$A:$B,1,FALSE),"")</f>
        <v/>
      </c>
      <c r="AC704">
        <f>IFERROR(VLOOKUP(Q704&amp;"",對照表!$A:$B,2,FALSE),"")</f>
        <v/>
      </c>
    </row>
    <row r="705">
      <c r="A705" s="3" t="inlineStr">
        <is>
          <t>SF5117718571105</t>
        </is>
      </c>
      <c r="B705" s="3" t="n">
        <v>58426736410693</v>
      </c>
      <c r="C705" s="3" t="inlineStr">
        <is>
          <t>已簽收</t>
        </is>
      </c>
      <c r="D705" s="3" t="inlineStr">
        <is>
          <t>2026-07-03 17:25:03</t>
        </is>
      </c>
      <c r="E705" s="3" t="inlineStr">
        <is>
          <t>2026-07-04 12:56</t>
        </is>
      </c>
      <c r="F705" s="3" t="n">
        <v>11.86</v>
      </c>
      <c r="G705" s="3" t="n">
        <v>1</v>
      </c>
      <c r="H705" s="3" t="n"/>
      <c r="I705" s="3" t="inlineStr"/>
      <c r="J705" s="3" t="inlineStr">
        <is>
          <t>Keeta</t>
        </is>
      </c>
      <c r="K705" s="3" t="inlineStr">
        <is>
          <t>****9568</t>
        </is>
      </c>
      <c r="L705" s="3" t="n"/>
      <c r="M705" s="3" t="inlineStr">
        <is>
          <t>***** 物流中心5樓</t>
        </is>
      </c>
      <c r="N705" s="3" t="inlineStr">
        <is>
          <t>北区</t>
        </is>
      </c>
      <c r="O705" s="3" t="inlineStr">
        <is>
          <t>香港</t>
        </is>
      </c>
      <c r="P705" s="3" t="inlineStr">
        <is>
          <t>香港特别行政区</t>
        </is>
      </c>
      <c r="Q705" s="3" t="n">
        <v>487991</v>
      </c>
      <c r="R705" s="3" t="inlineStr">
        <is>
          <t>ZeroOneCoffeeRoastery（中環店）</t>
        </is>
      </c>
      <c r="S705" s="3" t="inlineStr">
        <is>
          <t>****21919332</t>
        </is>
      </c>
      <c r="T705" s="3" t="inlineStr">
        <is>
          <t>****21919332</t>
        </is>
      </c>
      <c r="U705" s="3" t="inlineStr">
        <is>
          <t>***** 83號UG層</t>
        </is>
      </c>
      <c r="V705" s="3" t="inlineStr">
        <is>
          <t>香港</t>
        </is>
      </c>
      <c r="W705" s="3" t="inlineStr">
        <is>
          <t>纸袋【Preminum黑】/ 箱出</t>
        </is>
      </c>
      <c r="X705" s="3" t="inlineStr">
        <is>
          <t>ESS-SFTS-OTMS</t>
        </is>
      </c>
      <c r="Y705" s="3" t="n"/>
      <c r="Z705" s="3" t="inlineStr"/>
      <c r="AA705" s="3" t="inlineStr">
        <is>
          <t>寄付月結</t>
        </is>
      </c>
      <c r="AB705">
        <f>IFERROR(VLOOKUP(Q705&amp;"",對照表!$A:$B,1,FALSE),"")</f>
        <v/>
      </c>
      <c r="AC705">
        <f>IFERROR(VLOOKUP(Q705&amp;"",對照表!$A:$B,2,FALSE),"")</f>
        <v/>
      </c>
    </row>
    <row r="706">
      <c r="A706" s="3" t="inlineStr">
        <is>
          <t>SF5117718571026</t>
        </is>
      </c>
      <c r="B706" s="3" t="n">
        <v>58426736410664</v>
      </c>
      <c r="C706" s="3" t="inlineStr">
        <is>
          <t>已簽收</t>
        </is>
      </c>
      <c r="D706" s="3" t="inlineStr">
        <is>
          <t>2026-07-03 17:24:50</t>
        </is>
      </c>
      <c r="E706" s="3" t="inlineStr">
        <is>
          <t>2026-07-04 11:04</t>
        </is>
      </c>
      <c r="F706" s="3" t="n">
        <v>11.86</v>
      </c>
      <c r="G706" s="3" t="n">
        <v>1</v>
      </c>
      <c r="H706" s="3" t="n"/>
      <c r="I706" s="3" t="inlineStr"/>
      <c r="J706" s="3" t="inlineStr">
        <is>
          <t>Keeta</t>
        </is>
      </c>
      <c r="K706" s="3" t="inlineStr">
        <is>
          <t>****9568</t>
        </is>
      </c>
      <c r="L706" s="3" t="n"/>
      <c r="M706" s="3" t="inlineStr">
        <is>
          <t>***** 物流中心5樓</t>
        </is>
      </c>
      <c r="N706" s="3" t="inlineStr">
        <is>
          <t>北区</t>
        </is>
      </c>
      <c r="O706" s="3" t="inlineStr">
        <is>
          <t>香港</t>
        </is>
      </c>
      <c r="P706" s="3" t="inlineStr">
        <is>
          <t>香港特别行政区</t>
        </is>
      </c>
      <c r="Q706" s="3" t="n">
        <v>721520339</v>
      </c>
      <c r="R706" s="3" t="inlineStr">
        <is>
          <t>18GRAMS(銅鑼灣）</t>
        </is>
      </c>
      <c r="S706" s="3" t="inlineStr">
        <is>
          <t>****94540353</t>
        </is>
      </c>
      <c r="T706" s="3" t="inlineStr">
        <is>
          <t>****94540353</t>
        </is>
      </c>
      <c r="U706" s="3" t="inlineStr">
        <is>
          <t>***** 號海都閣地下</t>
        </is>
      </c>
      <c r="V706" s="3" t="inlineStr">
        <is>
          <t>香港</t>
        </is>
      </c>
      <c r="W706" s="3" t="inlineStr">
        <is>
          <t>纸袋【Preminum黑】/ 箱出</t>
        </is>
      </c>
      <c r="X706" s="3" t="inlineStr">
        <is>
          <t>ESS-SFTS-OTMS</t>
        </is>
      </c>
      <c r="Y706" s="3" t="n"/>
      <c r="Z706" s="3" t="inlineStr"/>
      <c r="AA706" s="3" t="inlineStr">
        <is>
          <t>寄付月結</t>
        </is>
      </c>
      <c r="AB706">
        <f>IFERROR(VLOOKUP(Q706&amp;"",對照表!$A:$B,1,FALSE),"")</f>
        <v/>
      </c>
      <c r="AC706">
        <f>IFERROR(VLOOKUP(Q706&amp;"",對照表!$A:$B,2,FALSE),"")</f>
        <v/>
      </c>
    </row>
    <row r="707">
      <c r="A707" s="3" t="inlineStr">
        <is>
          <t>SF5117718571080</t>
        </is>
      </c>
      <c r="B707" s="3" t="n">
        <v>58426736410684</v>
      </c>
      <c r="C707" s="3" t="inlineStr">
        <is>
          <t>已簽收</t>
        </is>
      </c>
      <c r="D707" s="3" t="inlineStr">
        <is>
          <t>2026-07-03 17:24:51</t>
        </is>
      </c>
      <c r="E707" s="3" t="inlineStr">
        <is>
          <t>2026-07-04 11:41</t>
        </is>
      </c>
      <c r="F707" s="3" t="n">
        <v>11.82</v>
      </c>
      <c r="G707" s="3" t="n">
        <v>1</v>
      </c>
      <c r="H707" s="3" t="n"/>
      <c r="I707" s="3" t="inlineStr"/>
      <c r="J707" s="3" t="inlineStr">
        <is>
          <t>Keeta</t>
        </is>
      </c>
      <c r="K707" s="3" t="inlineStr">
        <is>
          <t>****9568</t>
        </is>
      </c>
      <c r="L707" s="3" t="n"/>
      <c r="M707" s="3" t="inlineStr">
        <is>
          <t>***** 物流中心5樓</t>
        </is>
      </c>
      <c r="N707" s="3" t="inlineStr">
        <is>
          <t>北区</t>
        </is>
      </c>
      <c r="O707" s="3" t="inlineStr">
        <is>
          <t>香港</t>
        </is>
      </c>
      <c r="P707" s="3" t="inlineStr">
        <is>
          <t>香港特别行政区</t>
        </is>
      </c>
      <c r="Q707" s="3" t="n">
        <v>568035</v>
      </c>
      <c r="R707" s="3" t="inlineStr">
        <is>
          <t>田浦食肉(中環)</t>
        </is>
      </c>
      <c r="S707" s="3" t="inlineStr">
        <is>
          <t>****95717031</t>
        </is>
      </c>
      <c r="T707" s="3" t="inlineStr">
        <is>
          <t>****95717031</t>
        </is>
      </c>
      <c r="U707" s="3" t="inlineStr">
        <is>
          <t>***** 威寧大廈地舖</t>
        </is>
      </c>
      <c r="V707" s="3" t="inlineStr">
        <is>
          <t>香港</t>
        </is>
      </c>
      <c r="W707" s="3" t="inlineStr">
        <is>
          <t>无纺布【Preminum黑】/ 箱出</t>
        </is>
      </c>
      <c r="X707" s="3" t="inlineStr">
        <is>
          <t>ESS-SFTS-OTMS</t>
        </is>
      </c>
      <c r="Y707" s="3" t="n"/>
      <c r="Z707" s="3" t="inlineStr"/>
      <c r="AA707" s="3" t="inlineStr">
        <is>
          <t>寄付月結</t>
        </is>
      </c>
      <c r="AB707">
        <f>IFERROR(VLOOKUP(Q707&amp;"",對照表!$A:$B,1,FALSE),"")</f>
        <v/>
      </c>
      <c r="AC707">
        <f>IFERROR(VLOOKUP(Q707&amp;"",對照表!$A:$B,2,FALSE),"")</f>
        <v/>
      </c>
    </row>
    <row r="708">
      <c r="A708" s="3" t="inlineStr">
        <is>
          <t>SF5117718571044</t>
        </is>
      </c>
      <c r="B708" s="3" t="n">
        <v>58426736410669</v>
      </c>
      <c r="C708" s="3" t="inlineStr">
        <is>
          <t>已簽收</t>
        </is>
      </c>
      <c r="D708" s="3" t="inlineStr">
        <is>
          <t>2026-07-03 17:24:14</t>
        </is>
      </c>
      <c r="E708" s="3" t="inlineStr">
        <is>
          <t>2026-07-04 10:58</t>
        </is>
      </c>
      <c r="F708" s="3" t="n">
        <v>11.82</v>
      </c>
      <c r="G708" s="3" t="n">
        <v>1</v>
      </c>
      <c r="H708" s="3" t="n"/>
      <c r="I708" s="3" t="inlineStr"/>
      <c r="J708" s="3" t="inlineStr">
        <is>
          <t>Keeta</t>
        </is>
      </c>
      <c r="K708" s="3" t="inlineStr">
        <is>
          <t>****9568</t>
        </is>
      </c>
      <c r="L708" s="3" t="n"/>
      <c r="M708" s="3" t="inlineStr">
        <is>
          <t>***** 物流中心5樓</t>
        </is>
      </c>
      <c r="N708" s="3" t="inlineStr">
        <is>
          <t>北区</t>
        </is>
      </c>
      <c r="O708" s="3" t="inlineStr">
        <is>
          <t>香港</t>
        </is>
      </c>
      <c r="P708" s="3" t="inlineStr">
        <is>
          <t>香港特别行政区</t>
        </is>
      </c>
      <c r="Q708" s="3" t="n">
        <v>609450</v>
      </c>
      <c r="R708" s="3" t="inlineStr">
        <is>
          <t>牧羊少年咖啡館(德福廣場1期)</t>
        </is>
      </c>
      <c r="S708" s="3" t="inlineStr">
        <is>
          <t>****34683233</t>
        </is>
      </c>
      <c r="T708" s="3" t="inlineStr">
        <is>
          <t>****34683233</t>
        </is>
      </c>
      <c r="U708" s="3" t="inlineStr">
        <is>
          <t>***** 台P26號舖</t>
        </is>
      </c>
      <c r="V708" s="3" t="inlineStr">
        <is>
          <t>香港</t>
        </is>
      </c>
      <c r="W708" s="3" t="inlineStr">
        <is>
          <t>无纺布【Preminum黑】/ 箱出</t>
        </is>
      </c>
      <c r="X708" s="3" t="inlineStr">
        <is>
          <t>ESS-SFTS-OTMS</t>
        </is>
      </c>
      <c r="Y708" s="3" t="n"/>
      <c r="Z708" s="3" t="inlineStr"/>
      <c r="AA708" s="3" t="inlineStr">
        <is>
          <t>寄付月結</t>
        </is>
      </c>
      <c r="AB708">
        <f>IFERROR(VLOOKUP(Q708&amp;"",對照表!$A:$B,1,FALSE),"")</f>
        <v/>
      </c>
      <c r="AC708">
        <f>IFERROR(VLOOKUP(Q708&amp;"",對照表!$A:$B,2,FALSE),"")</f>
        <v/>
      </c>
    </row>
    <row r="709">
      <c r="A709" s="3" t="inlineStr">
        <is>
          <t>SF5117718571114</t>
        </is>
      </c>
      <c r="B709" s="3" t="n">
        <v>58426736410696</v>
      </c>
      <c r="C709" s="3" t="inlineStr">
        <is>
          <t>已簽收</t>
        </is>
      </c>
      <c r="D709" s="3" t="inlineStr">
        <is>
          <t>2026-07-03 17:24:58</t>
        </is>
      </c>
      <c r="E709" s="3" t="inlineStr">
        <is>
          <t>2026-07-04 10:44</t>
        </is>
      </c>
      <c r="F709" s="3" t="n">
        <v>23.68</v>
      </c>
      <c r="G709" s="3" t="n">
        <v>2</v>
      </c>
      <c r="H709" s="3" t="n"/>
      <c r="I709" s="3" t="inlineStr"/>
      <c r="J709" s="3" t="inlineStr">
        <is>
          <t>Keeta</t>
        </is>
      </c>
      <c r="K709" s="3" t="inlineStr">
        <is>
          <t>****9568</t>
        </is>
      </c>
      <c r="L709" s="3" t="n"/>
      <c r="M709" s="3" t="inlineStr">
        <is>
          <t>***** 物流中心5樓</t>
        </is>
      </c>
      <c r="N709" s="3" t="inlineStr">
        <is>
          <t>北区</t>
        </is>
      </c>
      <c r="O709" s="3" t="inlineStr">
        <is>
          <t>香港</t>
        </is>
      </c>
      <c r="P709" s="3" t="inlineStr">
        <is>
          <t>香港特别行政区</t>
        </is>
      </c>
      <c r="Q709" s="3" t="n">
        <v>721515338</v>
      </c>
      <c r="R709" s="3" t="inlineStr">
        <is>
          <t>TheLasagnaFactory上環意式經典千層麵之家意大利最傳統的美味</t>
        </is>
      </c>
      <c r="S709" s="3" t="inlineStr">
        <is>
          <t>****98421883</t>
        </is>
      </c>
      <c r="T709" s="3" t="inlineStr">
        <is>
          <t>****98421883</t>
        </is>
      </c>
      <c r="U709" s="3" t="inlineStr">
        <is>
          <t>***** 208號地鋪</t>
        </is>
      </c>
      <c r="V709" s="3" t="inlineStr">
        <is>
          <t>香港</t>
        </is>
      </c>
      <c r="W709" s="3" t="inlineStr">
        <is>
          <t>纸袋【Preminum黑】/ 箱出, 无纺布【Preminum黑】/ 箱出</t>
        </is>
      </c>
      <c r="X709" s="3" t="inlineStr">
        <is>
          <t>ESS-SFTS-OTMS</t>
        </is>
      </c>
      <c r="Y709" s="3" t="n"/>
      <c r="Z709" s="3" t="inlineStr"/>
      <c r="AA709" s="3" t="inlineStr">
        <is>
          <t>寄付月結</t>
        </is>
      </c>
      <c r="AB709">
        <f>IFERROR(VLOOKUP(Q709&amp;"",對照表!$A:$B,1,FALSE),"")</f>
        <v/>
      </c>
      <c r="AC709">
        <f>IFERROR(VLOOKUP(Q709&amp;"",對照表!$A:$B,2,FALSE),"")</f>
        <v/>
      </c>
    </row>
    <row r="710">
      <c r="A710" s="3" t="inlineStr">
        <is>
          <t>SF5117718571062</t>
        </is>
      </c>
      <c r="B710" s="3" t="n">
        <v>58426736410674</v>
      </c>
      <c r="C710" s="3" t="inlineStr">
        <is>
          <t>派送中</t>
        </is>
      </c>
      <c r="D710" s="3" t="inlineStr">
        <is>
          <t>2026-07-03 17:24:55</t>
        </is>
      </c>
      <c r="E710" s="3" t="n"/>
      <c r="F710" s="3" t="n">
        <v>19.59</v>
      </c>
      <c r="G710" s="3" t="n">
        <v>2</v>
      </c>
      <c r="H710" s="3" t="n"/>
      <c r="I710" s="3" t="inlineStr"/>
      <c r="J710" s="3" t="inlineStr">
        <is>
          <t>Keeta</t>
        </is>
      </c>
      <c r="K710" s="3" t="inlineStr">
        <is>
          <t>****9568</t>
        </is>
      </c>
      <c r="L710" s="3" t="n"/>
      <c r="M710" s="3" t="inlineStr">
        <is>
          <t>***** 物流中心5樓</t>
        </is>
      </c>
      <c r="N710" s="3" t="inlineStr">
        <is>
          <t>北区</t>
        </is>
      </c>
      <c r="O710" s="3" t="inlineStr">
        <is>
          <t>香港</t>
        </is>
      </c>
      <c r="P710" s="3" t="inlineStr">
        <is>
          <t>香港特别行政区</t>
        </is>
      </c>
      <c r="Q710" s="3" t="n">
        <v>721449310</v>
      </c>
      <c r="R710" s="3" t="inlineStr">
        <is>
          <t>祥興記上海生煎包旺角店2026米芝蓮必比登推介</t>
        </is>
      </c>
      <c r="S710" s="3" t="inlineStr">
        <is>
          <t>****70408304</t>
        </is>
      </c>
      <c r="T710" s="3" t="inlineStr">
        <is>
          <t>****70408304</t>
        </is>
      </c>
      <c r="U710" s="3" t="inlineStr">
        <is>
          <t>***** 號地下B號鋪</t>
        </is>
      </c>
      <c r="V710" s="3" t="inlineStr">
        <is>
          <t>香港</t>
        </is>
      </c>
      <c r="W710" s="3" t="inlineStr">
        <is>
          <t>无纺布【规格二双杯】/ 箱出, 无纺布【规格四大号】/ 箱出</t>
        </is>
      </c>
      <c r="X710" s="3" t="inlineStr">
        <is>
          <t>ESS-SFTS-OTMS</t>
        </is>
      </c>
      <c r="Y710" s="3" t="n"/>
      <c r="Z710" s="3" t="inlineStr"/>
      <c r="AA710" s="3" t="inlineStr">
        <is>
          <t>寄付月結</t>
        </is>
      </c>
      <c r="AB710">
        <f>IFERROR(VLOOKUP(Q710&amp;"",對照表!$A:$B,1,FALSE),"")</f>
        <v/>
      </c>
      <c r="AC710">
        <f>IFERROR(VLOOKUP(Q710&amp;"",對照表!$A:$B,2,FALSE),"")</f>
        <v/>
      </c>
    </row>
    <row r="711">
      <c r="A711" s="3" t="inlineStr">
        <is>
          <t>SF5119018987783</t>
        </is>
      </c>
      <c r="B711" s="3" t="n">
        <v>58426948452452</v>
      </c>
      <c r="C711" s="3" t="inlineStr">
        <is>
          <t>已簽收</t>
        </is>
      </c>
      <c r="D711" s="3" t="inlineStr">
        <is>
          <t>2026-07-03 17:19:16</t>
        </is>
      </c>
      <c r="E711" s="3" t="inlineStr">
        <is>
          <t>2026-07-04 13:17</t>
        </is>
      </c>
      <c r="F711" s="3" t="n">
        <v>1</v>
      </c>
      <c r="G711" s="3" t="n">
        <v>1</v>
      </c>
      <c r="H711" s="3" t="n"/>
      <c r="I711" s="3" t="inlineStr"/>
      <c r="J711" s="3" t="inlineStr">
        <is>
          <t>Keeta</t>
        </is>
      </c>
      <c r="K711" s="3" t="inlineStr">
        <is>
          <t>****9568</t>
        </is>
      </c>
      <c r="L711" s="3" t="n"/>
      <c r="M711" s="3" t="inlineStr">
        <is>
          <t>***** 物流中心5樓</t>
        </is>
      </c>
      <c r="N711" s="3" t="inlineStr">
        <is>
          <t>北区</t>
        </is>
      </c>
      <c r="O711" s="3" t="inlineStr">
        <is>
          <t>香港</t>
        </is>
      </c>
      <c r="P711" s="3" t="inlineStr">
        <is>
          <t>香港特别行政区</t>
        </is>
      </c>
      <c r="Q711" s="3" t="n">
        <v>721444293</v>
      </c>
      <c r="R711" s="3" t="inlineStr">
        <is>
          <t>沙嗲研究所新店上架惹味串燒超濃喇沙</t>
        </is>
      </c>
      <c r="S711" s="3" t="inlineStr">
        <is>
          <t>****55992168</t>
        </is>
      </c>
      <c r="T711" s="3" t="inlineStr">
        <is>
          <t>****55992168</t>
        </is>
      </c>
      <c r="U711" s="3" t="inlineStr">
        <is>
          <t>***** G22C號舖</t>
        </is>
      </c>
      <c r="V711" s="3" t="inlineStr">
        <is>
          <t>香港</t>
        </is>
      </c>
      <c r="W711" s="3" t="inlineStr">
        <is>
          <t>翻新POS机【真唯】/ 件出</t>
        </is>
      </c>
      <c r="X711" s="3" t="inlineStr">
        <is>
          <t>ESS-SFTS-OTMS</t>
        </is>
      </c>
      <c r="Y711" s="3" t="n"/>
      <c r="Z711" s="3" t="inlineStr"/>
      <c r="AA711" s="3" t="inlineStr">
        <is>
          <t>寄付月結</t>
        </is>
      </c>
      <c r="AB711">
        <f>IFERROR(VLOOKUP(Q711&amp;"",對照表!$A:$B,1,FALSE),"")</f>
        <v/>
      </c>
      <c r="AC711">
        <f>IFERROR(VLOOKUP(Q711&amp;"",對照表!$A:$B,2,FALSE),"")</f>
        <v/>
      </c>
    </row>
    <row r="712">
      <c r="A712" s="3" t="inlineStr">
        <is>
          <t>SF5119018988141</t>
        </is>
      </c>
      <c r="B712" s="3" t="n">
        <v>58426948452523</v>
      </c>
      <c r="C712" s="3" t="inlineStr">
        <is>
          <t>已簽收</t>
        </is>
      </c>
      <c r="D712" s="3" t="inlineStr">
        <is>
          <t>2026-07-03 17:21:17</t>
        </is>
      </c>
      <c r="E712" s="3" t="inlineStr">
        <is>
          <t>2026-07-04 10:55</t>
        </is>
      </c>
      <c r="F712" s="3" t="n">
        <v>1</v>
      </c>
      <c r="G712" s="3" t="n">
        <v>1</v>
      </c>
      <c r="H712" s="3" t="n"/>
      <c r="I712" s="3" t="inlineStr"/>
      <c r="J712" s="3" t="inlineStr">
        <is>
          <t>Keeta</t>
        </is>
      </c>
      <c r="K712" s="3" t="inlineStr">
        <is>
          <t>****9568</t>
        </is>
      </c>
      <c r="L712" s="3" t="n"/>
      <c r="M712" s="3" t="inlineStr">
        <is>
          <t>***** 物流中心5樓</t>
        </is>
      </c>
      <c r="N712" s="3" t="inlineStr">
        <is>
          <t>北区</t>
        </is>
      </c>
      <c r="O712" s="3" t="inlineStr">
        <is>
          <t>香港</t>
        </is>
      </c>
      <c r="P712" s="3" t="inlineStr">
        <is>
          <t>香港特别行政区</t>
        </is>
      </c>
      <c r="Q712" s="3" t="n">
        <v>604078</v>
      </c>
      <c r="R712" s="3" t="inlineStr">
        <is>
          <t>古老小食x泰靚小廚觀塘45年老字號</t>
        </is>
      </c>
      <c r="S712" s="3" t="inlineStr">
        <is>
          <t>****52333868</t>
        </is>
      </c>
      <c r="T712" s="3" t="inlineStr">
        <is>
          <t>****52333868</t>
        </is>
      </c>
      <c r="U712" s="3" t="inlineStr">
        <is>
          <t>***** 地下6B號舖</t>
        </is>
      </c>
      <c r="V712" s="3" t="inlineStr">
        <is>
          <t>香港</t>
        </is>
      </c>
      <c r="W712" s="3" t="inlineStr">
        <is>
          <t>翻新POS机【真唯】/ 件出</t>
        </is>
      </c>
      <c r="X712" s="3" t="inlineStr">
        <is>
          <t>ESS-SFTS-OTMS</t>
        </is>
      </c>
      <c r="Y712" s="3" t="n"/>
      <c r="Z712" s="3" t="inlineStr"/>
      <c r="AA712" s="3" t="inlineStr">
        <is>
          <t>寄付月結</t>
        </is>
      </c>
      <c r="AB712">
        <f>IFERROR(VLOOKUP(Q712&amp;"",對照表!$A:$B,1,FALSE),"")</f>
        <v/>
      </c>
      <c r="AC712">
        <f>IFERROR(VLOOKUP(Q712&amp;"",對照表!$A:$B,2,FALSE),"")</f>
        <v/>
      </c>
    </row>
    <row r="713">
      <c r="A713" s="3" t="inlineStr">
        <is>
          <t>SF5119018988654</t>
        </is>
      </c>
      <c r="B713" s="3" t="n">
        <v>58426948452642</v>
      </c>
      <c r="C713" s="3" t="inlineStr">
        <is>
          <t>已簽收</t>
        </is>
      </c>
      <c r="D713" s="3" t="inlineStr">
        <is>
          <t>2026-07-03 17:21:01</t>
        </is>
      </c>
      <c r="E713" s="3" t="inlineStr">
        <is>
          <t>2026-07-04 12:37</t>
        </is>
      </c>
      <c r="F713" s="3" t="n">
        <v>1</v>
      </c>
      <c r="G713" s="3" t="n">
        <v>1</v>
      </c>
      <c r="H713" s="3" t="n"/>
      <c r="I713" s="3" t="inlineStr"/>
      <c r="J713" s="3" t="inlineStr">
        <is>
          <t>Keeta</t>
        </is>
      </c>
      <c r="K713" s="3" t="inlineStr">
        <is>
          <t>****9568</t>
        </is>
      </c>
      <c r="L713" s="3" t="n"/>
      <c r="M713" s="3" t="inlineStr">
        <is>
          <t>***** 物流中心5樓</t>
        </is>
      </c>
      <c r="N713" s="3" t="inlineStr">
        <is>
          <t>北区</t>
        </is>
      </c>
      <c r="O713" s="3" t="inlineStr">
        <is>
          <t>香港</t>
        </is>
      </c>
      <c r="P713" s="3" t="inlineStr">
        <is>
          <t>香港特别行政区</t>
        </is>
      </c>
      <c r="Q713" s="3" t="n">
        <v>465215</v>
      </c>
      <c r="R713" s="3" t="inlineStr">
        <is>
          <t>響茶(利都樓)</t>
        </is>
      </c>
      <c r="S713" s="3" t="inlineStr">
        <is>
          <t>****46117360</t>
        </is>
      </c>
      <c r="T713" s="3" t="inlineStr">
        <is>
          <t>****46117360</t>
        </is>
      </c>
      <c r="U713" s="3" t="inlineStr">
        <is>
          <t>***** 地下A1號舖</t>
        </is>
      </c>
      <c r="V713" s="3" t="inlineStr">
        <is>
          <t>香港</t>
        </is>
      </c>
      <c r="W713" s="3" t="inlineStr">
        <is>
          <t>翻新POS机【真唯】/ 件出</t>
        </is>
      </c>
      <c r="X713" s="3" t="inlineStr">
        <is>
          <t>ESS-SFTS-OTMS</t>
        </is>
      </c>
      <c r="Y713" s="3" t="n"/>
      <c r="Z713" s="3" t="inlineStr"/>
      <c r="AA713" s="3" t="inlineStr">
        <is>
          <t>寄付月結</t>
        </is>
      </c>
      <c r="AB713">
        <f>IFERROR(VLOOKUP(Q713&amp;"",對照表!$A:$B,1,FALSE),"")</f>
        <v/>
      </c>
      <c r="AC713">
        <f>IFERROR(VLOOKUP(Q713&amp;"",對照表!$A:$B,2,FALSE),"")</f>
        <v/>
      </c>
    </row>
    <row r="714">
      <c r="A714" s="3" t="inlineStr">
        <is>
          <t>SF5119018988178</t>
        </is>
      </c>
      <c r="B714" s="3" t="n">
        <v>58426948452528</v>
      </c>
      <c r="C714" s="3" t="inlineStr">
        <is>
          <t>已簽收</t>
        </is>
      </c>
      <c r="D714" s="3" t="inlineStr">
        <is>
          <t>2026-07-03 17:19:17</t>
        </is>
      </c>
      <c r="E714" s="3" t="inlineStr">
        <is>
          <t>2026-07-04 11:01</t>
        </is>
      </c>
      <c r="F714" s="3" t="n">
        <v>1</v>
      </c>
      <c r="G714" s="3" t="n">
        <v>1</v>
      </c>
      <c r="H714" s="3" t="n"/>
      <c r="I714" s="3" t="inlineStr"/>
      <c r="J714" s="3" t="inlineStr">
        <is>
          <t>Keeta</t>
        </is>
      </c>
      <c r="K714" s="3" t="inlineStr">
        <is>
          <t>****9568</t>
        </is>
      </c>
      <c r="L714" s="3" t="n"/>
      <c r="M714" s="3" t="inlineStr">
        <is>
          <t>***** 物流中心5樓</t>
        </is>
      </c>
      <c r="N714" s="3" t="inlineStr">
        <is>
          <t>北区</t>
        </is>
      </c>
      <c r="O714" s="3" t="inlineStr">
        <is>
          <t>香港</t>
        </is>
      </c>
      <c r="P714" s="3" t="inlineStr">
        <is>
          <t>香港特别行政区</t>
        </is>
      </c>
      <c r="Q714" s="3" t="n">
        <v>495101</v>
      </c>
      <c r="R714" s="3" t="inlineStr">
        <is>
          <t>熊貓小雲吞(葵涌店)香港品牌手工川菜</t>
        </is>
      </c>
      <c r="S714" s="3" t="inlineStr">
        <is>
          <t>****90877677</t>
        </is>
      </c>
      <c r="T714" s="3" t="inlineStr">
        <is>
          <t>****90877677</t>
        </is>
      </c>
      <c r="U714" s="3" t="inlineStr">
        <is>
          <t>***** 一樓107A</t>
        </is>
      </c>
      <c r="V714" s="3" t="inlineStr">
        <is>
          <t>香港</t>
        </is>
      </c>
      <c r="W714" s="3" t="inlineStr">
        <is>
          <t>翻新POS机【真唯】/ 件出</t>
        </is>
      </c>
      <c r="X714" s="3" t="inlineStr">
        <is>
          <t>ESS-SFTS-OTMS</t>
        </is>
      </c>
      <c r="Y714" s="3" t="n"/>
      <c r="Z714" s="3" t="inlineStr"/>
      <c r="AA714" s="3" t="inlineStr">
        <is>
          <t>寄付月結</t>
        </is>
      </c>
      <c r="AB714">
        <f>IFERROR(VLOOKUP(Q714&amp;"",對照表!$A:$B,1,FALSE),"")</f>
        <v/>
      </c>
      <c r="AC714">
        <f>IFERROR(VLOOKUP(Q714&amp;"",對照表!$A:$B,2,FALSE),"")</f>
        <v/>
      </c>
    </row>
    <row r="715">
      <c r="A715" s="3" t="inlineStr">
        <is>
          <t>SF5119018988778</t>
        </is>
      </c>
      <c r="B715" s="3" t="n">
        <v>58426948452666</v>
      </c>
      <c r="C715" s="3" t="inlineStr">
        <is>
          <t>已簽收</t>
        </is>
      </c>
      <c r="D715" s="3" t="inlineStr">
        <is>
          <t>2026-07-03 17:22:44</t>
        </is>
      </c>
      <c r="E715" s="3" t="inlineStr">
        <is>
          <t>2026-07-04 10:34</t>
        </is>
      </c>
      <c r="F715" s="3" t="n">
        <v>1</v>
      </c>
      <c r="G715" s="3" t="n">
        <v>1</v>
      </c>
      <c r="H715" s="3" t="n"/>
      <c r="I715" s="3" t="inlineStr"/>
      <c r="J715" s="3" t="inlineStr">
        <is>
          <t>Keeta</t>
        </is>
      </c>
      <c r="K715" s="3" t="inlineStr">
        <is>
          <t>****9568</t>
        </is>
      </c>
      <c r="L715" s="3" t="n"/>
      <c r="M715" s="3" t="inlineStr">
        <is>
          <t>***** 物流中心5樓</t>
        </is>
      </c>
      <c r="N715" s="3" t="inlineStr">
        <is>
          <t>北区</t>
        </is>
      </c>
      <c r="O715" s="3" t="inlineStr">
        <is>
          <t>香港</t>
        </is>
      </c>
      <c r="P715" s="3" t="inlineStr">
        <is>
          <t>香港特别行政区</t>
        </is>
      </c>
      <c r="Q715" s="3" t="n">
        <v>484673</v>
      </c>
      <c r="R715" s="3" t="inlineStr">
        <is>
          <t>牛奶冰室(啟鑽苑商場)</t>
        </is>
      </c>
      <c r="S715" s="3" t="inlineStr">
        <is>
          <t>****26949464</t>
        </is>
      </c>
      <c r="T715" s="3" t="inlineStr">
        <is>
          <t>****26949464</t>
        </is>
      </c>
      <c r="U715" s="3" t="inlineStr">
        <is>
          <t>***** 場地下8號舖</t>
        </is>
      </c>
      <c r="V715" s="3" t="inlineStr">
        <is>
          <t>香港</t>
        </is>
      </c>
      <c r="W715" s="3" t="inlineStr">
        <is>
          <t>翻新POS机【真唯】/ 件出</t>
        </is>
      </c>
      <c r="X715" s="3" t="inlineStr">
        <is>
          <t>ESS-SFTS-OTMS</t>
        </is>
      </c>
      <c r="Y715" s="3" t="n"/>
      <c r="Z715" s="3" t="inlineStr"/>
      <c r="AA715" s="3" t="inlineStr">
        <is>
          <t>寄付月結</t>
        </is>
      </c>
      <c r="AB715">
        <f>IFERROR(VLOOKUP(Q715&amp;"",對照表!$A:$B,1,FALSE),"")</f>
        <v/>
      </c>
      <c r="AC715">
        <f>IFERROR(VLOOKUP(Q715&amp;"",對照表!$A:$B,2,FALSE),"")</f>
        <v/>
      </c>
    </row>
    <row r="716">
      <c r="A716" s="3" t="inlineStr">
        <is>
          <t>SF5117718571053</t>
        </is>
      </c>
      <c r="B716" s="3" t="n">
        <v>58426736410670</v>
      </c>
      <c r="C716" s="3" t="inlineStr">
        <is>
          <t>已簽收</t>
        </is>
      </c>
      <c r="D716" s="3" t="inlineStr">
        <is>
          <t>2026-07-03 17:24:52</t>
        </is>
      </c>
      <c r="E716" s="3" t="inlineStr">
        <is>
          <t>2026-07-04 14:13</t>
        </is>
      </c>
      <c r="F716" s="3" t="n">
        <v>11.82</v>
      </c>
      <c r="G716" s="3" t="n">
        <v>1</v>
      </c>
      <c r="H716" s="3" t="n"/>
      <c r="I716" s="3" t="inlineStr"/>
      <c r="J716" s="3" t="inlineStr">
        <is>
          <t>Keeta</t>
        </is>
      </c>
      <c r="K716" s="3" t="inlineStr">
        <is>
          <t>****9568</t>
        </is>
      </c>
      <c r="L716" s="3" t="n"/>
      <c r="M716" s="3" t="inlineStr">
        <is>
          <t>***** 物流中心5樓</t>
        </is>
      </c>
      <c r="N716" s="3" t="inlineStr">
        <is>
          <t>北区</t>
        </is>
      </c>
      <c r="O716" s="3" t="inlineStr">
        <is>
          <t>香港</t>
        </is>
      </c>
      <c r="P716" s="3" t="inlineStr">
        <is>
          <t>香港特别行政区</t>
        </is>
      </c>
      <c r="Q716" s="3" t="n">
        <v>721422317</v>
      </c>
      <c r="R716" s="3" t="inlineStr">
        <is>
          <t>Cruce中環自選西班牙2餸飯</t>
        </is>
      </c>
      <c r="S716" s="3" t="inlineStr">
        <is>
          <t>****84908020</t>
        </is>
      </c>
      <c r="T716" s="3" t="inlineStr">
        <is>
          <t>****84908020</t>
        </is>
      </c>
      <c r="U716" s="3" t="inlineStr">
        <is>
          <t>***** 街78號地舖</t>
        </is>
      </c>
      <c r="V716" s="3" t="inlineStr">
        <is>
          <t>香港</t>
        </is>
      </c>
      <c r="W716" s="3" t="inlineStr">
        <is>
          <t>无纺布【Preminum黑】/ 箱出</t>
        </is>
      </c>
      <c r="X716" s="3" t="inlineStr">
        <is>
          <t>ESS-SFTS-OTMS</t>
        </is>
      </c>
      <c r="Y716" s="3" t="n"/>
      <c r="Z716" s="3" t="inlineStr"/>
      <c r="AA716" s="3" t="inlineStr">
        <is>
          <t>寄付月結</t>
        </is>
      </c>
      <c r="AB716">
        <f>IFERROR(VLOOKUP(Q716&amp;"",對照表!$A:$B,1,FALSE),"")</f>
        <v/>
      </c>
      <c r="AC716">
        <f>IFERROR(VLOOKUP(Q716&amp;"",對照表!$A:$B,2,FALSE),"")</f>
        <v/>
      </c>
    </row>
    <row r="717">
      <c r="A717" s="3" t="inlineStr">
        <is>
          <t>SF5117718571141</t>
        </is>
      </c>
      <c r="B717" s="3" t="n">
        <v>58426736410710</v>
      </c>
      <c r="C717" s="3" t="inlineStr">
        <is>
          <t>已簽收</t>
        </is>
      </c>
      <c r="D717" s="3" t="inlineStr">
        <is>
          <t>2026-07-03 17:25:04</t>
        </is>
      </c>
      <c r="E717" s="3" t="inlineStr">
        <is>
          <t>2026-07-04 14:06</t>
        </is>
      </c>
      <c r="F717" s="3" t="n">
        <v>23.68</v>
      </c>
      <c r="G717" s="3" t="n">
        <v>2</v>
      </c>
      <c r="H717" s="3" t="n"/>
      <c r="I717" s="3" t="inlineStr"/>
      <c r="J717" s="3" t="inlineStr">
        <is>
          <t>Keeta</t>
        </is>
      </c>
      <c r="K717" s="3" t="inlineStr">
        <is>
          <t>****9568</t>
        </is>
      </c>
      <c r="L717" s="3" t="n"/>
      <c r="M717" s="3" t="inlineStr">
        <is>
          <t>***** 物流中心5樓</t>
        </is>
      </c>
      <c r="N717" s="3" t="inlineStr">
        <is>
          <t>北区</t>
        </is>
      </c>
      <c r="O717" s="3" t="inlineStr">
        <is>
          <t>香港</t>
        </is>
      </c>
      <c r="P717" s="3" t="inlineStr">
        <is>
          <t>香港特别行政区</t>
        </is>
      </c>
      <c r="Q717" s="3" t="n">
        <v>721538379</v>
      </c>
      <c r="R717" s="3" t="inlineStr">
        <is>
          <t>PunjabWarriorsbyFlatIronSteak</t>
        </is>
      </c>
      <c r="S717" s="3" t="inlineStr">
        <is>
          <t>****98421883</t>
        </is>
      </c>
      <c r="T717" s="3" t="inlineStr">
        <is>
          <t>****98421883</t>
        </is>
      </c>
      <c r="U717" s="3" t="inlineStr">
        <is>
          <t>***** 廈地下1號鋪</t>
        </is>
      </c>
      <c r="V717" s="3" t="inlineStr">
        <is>
          <t>香港</t>
        </is>
      </c>
      <c r="W717" s="3" t="inlineStr">
        <is>
          <t>无纺布【Preminum黑】/ 箱出, 纸袋【Preminum黑】/ 箱出</t>
        </is>
      </c>
      <c r="X717" s="3" t="inlineStr">
        <is>
          <t>ESS-SFTS-OTMS</t>
        </is>
      </c>
      <c r="Y717" s="3" t="n"/>
      <c r="Z717" s="3" t="inlineStr"/>
      <c r="AA717" s="3" t="inlineStr">
        <is>
          <t>寄付月結</t>
        </is>
      </c>
      <c r="AB717">
        <f>IFERROR(VLOOKUP(Q717&amp;"",對照表!$A:$B,1,FALSE),"")</f>
        <v/>
      </c>
      <c r="AC717">
        <f>IFERROR(VLOOKUP(Q717&amp;"",對照表!$A:$B,2,FALSE),"")</f>
        <v/>
      </c>
    </row>
    <row r="718">
      <c r="A718" s="3" t="inlineStr">
        <is>
          <t>SF5116616533306</t>
        </is>
      </c>
      <c r="B718" s="3" t="n">
        <v>58424825774434</v>
      </c>
      <c r="C718" s="3" t="inlineStr">
        <is>
          <t>已簽收</t>
        </is>
      </c>
      <c r="D718" s="3" t="inlineStr">
        <is>
          <t>2026-07-03 15:09:41</t>
        </is>
      </c>
      <c r="E718" s="3" t="inlineStr">
        <is>
          <t>2026-07-04 09:00</t>
        </is>
      </c>
      <c r="F718" s="3" t="n">
        <v>1.05</v>
      </c>
      <c r="G718" s="3" t="n">
        <v>2</v>
      </c>
      <c r="H718" s="3" t="n"/>
      <c r="I718" s="3" t="inlineStr"/>
      <c r="J718" s="3" t="inlineStr">
        <is>
          <t>Keeta</t>
        </is>
      </c>
      <c r="K718" s="3" t="inlineStr">
        <is>
          <t>****9568</t>
        </is>
      </c>
      <c r="L718" s="3" t="n"/>
      <c r="M718" s="3" t="inlineStr">
        <is>
          <t>***** 物流中心5樓</t>
        </is>
      </c>
      <c r="N718" s="3" t="inlineStr">
        <is>
          <t>北区</t>
        </is>
      </c>
      <c r="O718" s="3" t="inlineStr">
        <is>
          <t>香港</t>
        </is>
      </c>
      <c r="P718" s="3" t="inlineStr">
        <is>
          <t>香港特别行政区</t>
        </is>
      </c>
      <c r="Q718" s="3" t="n">
        <v>721518335</v>
      </c>
      <c r="R718" s="3" t="inlineStr">
        <is>
          <t>呂錦記手撕雞（堅尼地城店）</t>
        </is>
      </c>
      <c r="S718" s="3" t="inlineStr">
        <is>
          <t>****95455979</t>
        </is>
      </c>
      <c r="T718" s="3" t="inlineStr">
        <is>
          <t>****95455979</t>
        </is>
      </c>
      <c r="U718" s="3" t="inlineStr">
        <is>
          <t>***** 下 7 號舖</t>
        </is>
      </c>
      <c r="V718" s="3" t="inlineStr">
        <is>
          <t>香港</t>
        </is>
      </c>
      <c r="W718" s="3" t="inlineStr">
        <is>
          <t>塑料袋【小】/ 扎出, 塑料袋【大】/ 扎出</t>
        </is>
      </c>
      <c r="X718" s="3" t="inlineStr">
        <is>
          <t>ESS-SFTS-OTMS</t>
        </is>
      </c>
      <c r="Y718" s="3" t="n"/>
      <c r="Z718" s="3" t="inlineStr"/>
      <c r="AA718" s="3" t="inlineStr">
        <is>
          <t>寄付月結</t>
        </is>
      </c>
      <c r="AB718">
        <f>IFERROR(VLOOKUP(Q718&amp;"",對照表!$A:$B,1,FALSE),"")</f>
        <v/>
      </c>
      <c r="AC718">
        <f>IFERROR(VLOOKUP(Q718&amp;"",對照表!$A:$B,2,FALSE),"")</f>
        <v/>
      </c>
    </row>
    <row r="719">
      <c r="A719" s="3" t="inlineStr">
        <is>
          <t>SF5116616533342</t>
        </is>
      </c>
      <c r="B719" s="3" t="n">
        <v>58424825774443</v>
      </c>
      <c r="C719" s="3" t="inlineStr">
        <is>
          <t>已簽收</t>
        </is>
      </c>
      <c r="D719" s="3" t="inlineStr">
        <is>
          <t>2026-07-03 14:19:13</t>
        </is>
      </c>
      <c r="E719" s="3" t="inlineStr">
        <is>
          <t>2026-07-04 11:33</t>
        </is>
      </c>
      <c r="F719" s="3" t="n">
        <v>101</v>
      </c>
      <c r="G719" s="3" t="n">
        <v>10</v>
      </c>
      <c r="H719" s="3" t="n"/>
      <c r="I719" s="3" t="inlineStr"/>
      <c r="J719" s="3" t="inlineStr">
        <is>
          <t>Keeta</t>
        </is>
      </c>
      <c r="K719" s="3" t="inlineStr">
        <is>
          <t>****9568</t>
        </is>
      </c>
      <c r="L719" s="3" t="n"/>
      <c r="M719" s="3" t="inlineStr">
        <is>
          <t>***** 物流中心5樓</t>
        </is>
      </c>
      <c r="N719" s="3" t="inlineStr">
        <is>
          <t>北区</t>
        </is>
      </c>
      <c r="O719" s="3" t="inlineStr">
        <is>
          <t>香港</t>
        </is>
      </c>
      <c r="P719" s="3" t="inlineStr">
        <is>
          <t>香港特别行政区</t>
        </is>
      </c>
      <c r="Q719" s="3" t="n">
        <v>560185</v>
      </c>
      <c r="R719" s="3" t="inlineStr">
        <is>
          <t>CAFE15</t>
        </is>
      </c>
      <c r="S719" s="3" t="inlineStr">
        <is>
          <t>****56166521</t>
        </is>
      </c>
      <c r="T719" s="3" t="inlineStr">
        <is>
          <t>****56166521</t>
        </is>
      </c>
      <c r="U719" s="3" t="inlineStr">
        <is>
          <t>*****  九龍灣香港</t>
        </is>
      </c>
      <c r="V719" s="3" t="inlineStr">
        <is>
          <t>香港</t>
        </is>
      </c>
      <c r="W719" s="3" t="inlineStr">
        <is>
          <t>无纺布【规格三中号】/ 箱出</t>
        </is>
      </c>
      <c r="X719" s="3" t="inlineStr">
        <is>
          <t>ESS-SFTS-OTMS</t>
        </is>
      </c>
      <c r="Y719" s="3" t="n"/>
      <c r="Z719" s="3" t="inlineStr"/>
      <c r="AA719" s="3" t="inlineStr">
        <is>
          <t>寄付月結</t>
        </is>
      </c>
      <c r="AB719">
        <f>IFERROR(VLOOKUP(Q719&amp;"",對照表!$A:$B,1,FALSE),"")</f>
        <v/>
      </c>
      <c r="AC719">
        <f>IFERROR(VLOOKUP(Q719&amp;"",對照表!$A:$B,2,FALSE),"")</f>
        <v/>
      </c>
    </row>
    <row r="720">
      <c r="A720" s="3" t="inlineStr">
        <is>
          <t>SF5116616691310</t>
        </is>
      </c>
      <c r="B720" s="3" t="n">
        <v>58424825806976</v>
      </c>
      <c r="C720" s="3" t="inlineStr">
        <is>
          <t>已簽收</t>
        </is>
      </c>
      <c r="D720" s="3" t="inlineStr">
        <is>
          <t>2026-07-03 15:33:30</t>
        </is>
      </c>
      <c r="E720" s="3" t="inlineStr">
        <is>
          <t>2026-07-04 09:59</t>
        </is>
      </c>
      <c r="F720" s="3" t="n">
        <v>63.6</v>
      </c>
      <c r="G720" s="3" t="n">
        <v>6</v>
      </c>
      <c r="H720" s="3" t="n"/>
      <c r="I720" s="3" t="inlineStr"/>
      <c r="J720" s="3" t="inlineStr">
        <is>
          <t>Keeta</t>
        </is>
      </c>
      <c r="K720" s="3" t="inlineStr">
        <is>
          <t>****9568</t>
        </is>
      </c>
      <c r="L720" s="3" t="n"/>
      <c r="M720" s="3" t="inlineStr">
        <is>
          <t>***** 物流中心5樓</t>
        </is>
      </c>
      <c r="N720" s="3" t="inlineStr">
        <is>
          <t>北区</t>
        </is>
      </c>
      <c r="O720" s="3" t="inlineStr">
        <is>
          <t>香港</t>
        </is>
      </c>
      <c r="P720" s="3" t="inlineStr">
        <is>
          <t>香港特别行政区</t>
        </is>
      </c>
      <c r="Q720" s="3" t="n">
        <v>721529331</v>
      </c>
      <c r="R720" s="3" t="inlineStr">
        <is>
          <t>紅日蛋包飯全港人氣蛋包飯之最（觀塘）</t>
        </is>
      </c>
      <c r="S720" s="3" t="inlineStr">
        <is>
          <t>****98218902</t>
        </is>
      </c>
      <c r="T720" s="3" t="inlineStr">
        <is>
          <t>****98218902</t>
        </is>
      </c>
      <c r="U720" s="3" t="inlineStr">
        <is>
          <t>***** C座2樓C室</t>
        </is>
      </c>
      <c r="V720" s="3" t="inlineStr">
        <is>
          <t>香港</t>
        </is>
      </c>
      <c r="W720" s="3" t="inlineStr">
        <is>
          <t>无纺布【规格四大号】/ 箱出, 无纺布【规格三中号】/ 箱出</t>
        </is>
      </c>
      <c r="X720" s="3" t="inlineStr">
        <is>
          <t>ESS-SFTS-OTMS</t>
        </is>
      </c>
      <c r="Y720" s="3" t="n"/>
      <c r="Z720" s="3" t="inlineStr"/>
      <c r="AA720" s="3" t="inlineStr">
        <is>
          <t>寄付月結</t>
        </is>
      </c>
      <c r="AB720">
        <f>IFERROR(VLOOKUP(Q720&amp;"",對照表!$A:$B,1,FALSE),"")</f>
        <v/>
      </c>
      <c r="AC720">
        <f>IFERROR(VLOOKUP(Q720&amp;"",對照表!$A:$B,2,FALSE),"")</f>
        <v/>
      </c>
    </row>
    <row r="721">
      <c r="A721" s="3" t="inlineStr">
        <is>
          <t>SF5116616532595</t>
        </is>
      </c>
      <c r="B721" s="3" t="n">
        <v>58424825774283</v>
      </c>
      <c r="C721" s="3" t="inlineStr">
        <is>
          <t>已簽收</t>
        </is>
      </c>
      <c r="D721" s="3" t="inlineStr">
        <is>
          <t>2026-07-03 16:50:19</t>
        </is>
      </c>
      <c r="E721" s="3" t="inlineStr">
        <is>
          <t>2026-07-04 11:48</t>
        </is>
      </c>
      <c r="F721" s="3" t="n">
        <v>58</v>
      </c>
      <c r="G721" s="3" t="n">
        <v>4</v>
      </c>
      <c r="H721" s="3" t="n"/>
      <c r="I721" s="3" t="inlineStr"/>
      <c r="J721" s="3" t="inlineStr">
        <is>
          <t>Keeta</t>
        </is>
      </c>
      <c r="K721" s="3" t="inlineStr">
        <is>
          <t>****9568</t>
        </is>
      </c>
      <c r="L721" s="3" t="n"/>
      <c r="M721" s="3" t="inlineStr">
        <is>
          <t>***** 物流中心5樓</t>
        </is>
      </c>
      <c r="N721" s="3" t="inlineStr">
        <is>
          <t>北区</t>
        </is>
      </c>
      <c r="O721" s="3" t="inlineStr">
        <is>
          <t>香港</t>
        </is>
      </c>
      <c r="P721" s="3" t="inlineStr">
        <is>
          <t>香港特别行政区</t>
        </is>
      </c>
      <c r="Q721" s="3" t="n">
        <v>721534380</v>
      </c>
      <c r="R721" s="3" t="inlineStr">
        <is>
          <t>尚尚湯私房菜</t>
        </is>
      </c>
      <c r="S721" s="3" t="inlineStr">
        <is>
          <t>****90823484</t>
        </is>
      </c>
      <c r="T721" s="3" t="inlineStr">
        <is>
          <t>****90823484</t>
        </is>
      </c>
      <c r="U721" s="3" t="inlineStr">
        <is>
          <t>*****  Place</t>
        </is>
      </c>
      <c r="V721" s="3" t="inlineStr">
        <is>
          <t>香港</t>
        </is>
      </c>
      <c r="W721" s="3" t="inlineStr">
        <is>
          <t>纸袋【通版】/ 箱出</t>
        </is>
      </c>
      <c r="X721" s="3" t="inlineStr">
        <is>
          <t>ESS-SFTS-OTMS</t>
        </is>
      </c>
      <c r="Y721" s="3" t="n"/>
      <c r="Z721" s="3" t="inlineStr"/>
      <c r="AA721" s="3" t="inlineStr">
        <is>
          <t>寄付月結</t>
        </is>
      </c>
      <c r="AB721">
        <f>IFERROR(VLOOKUP(Q721&amp;"",對照表!$A:$B,1,FALSE),"")</f>
        <v/>
      </c>
      <c r="AC721">
        <f>IFERROR(VLOOKUP(Q721&amp;"",對照表!$A:$B,2,FALSE),"")</f>
        <v/>
      </c>
    </row>
    <row r="722">
      <c r="A722" s="3" t="inlineStr">
        <is>
          <t>SF5116616691329</t>
        </is>
      </c>
      <c r="B722" s="3" t="n">
        <v>58424825806979</v>
      </c>
      <c r="C722" s="3" t="inlineStr">
        <is>
          <t>已簽收</t>
        </is>
      </c>
      <c r="D722" s="3" t="inlineStr">
        <is>
          <t>2026-07-03 11:10:09</t>
        </is>
      </c>
      <c r="E722" s="3" t="inlineStr">
        <is>
          <t>2026-07-04 11:38</t>
        </is>
      </c>
      <c r="F722" s="3" t="n">
        <v>30</v>
      </c>
      <c r="G722" s="3" t="n">
        <v>2</v>
      </c>
      <c r="H722" s="3" t="n"/>
      <c r="I722" s="3" t="inlineStr"/>
      <c r="J722" s="3" t="inlineStr">
        <is>
          <t>Keeta</t>
        </is>
      </c>
      <c r="K722" s="3" t="inlineStr">
        <is>
          <t>****9568</t>
        </is>
      </c>
      <c r="L722" s="3" t="n"/>
      <c r="M722" s="3" t="inlineStr">
        <is>
          <t>***** 物流中心5樓</t>
        </is>
      </c>
      <c r="N722" s="3" t="inlineStr">
        <is>
          <t>北区</t>
        </is>
      </c>
      <c r="O722" s="3" t="inlineStr">
        <is>
          <t>香港</t>
        </is>
      </c>
      <c r="P722" s="3" t="inlineStr">
        <is>
          <t>香港特别行政区</t>
        </is>
      </c>
      <c r="Q722" s="3" t="n">
        <v>609421</v>
      </c>
      <c r="R722" s="3" t="inlineStr">
        <is>
          <t>薔紅宅急便xSeek金牌脆皮燒雞（白石角店）</t>
        </is>
      </c>
      <c r="S722" s="3" t="inlineStr">
        <is>
          <t>****60342904</t>
        </is>
      </c>
      <c r="T722" s="3" t="inlineStr">
        <is>
          <t>****60342904</t>
        </is>
      </c>
      <c r="U722" s="3" t="inlineStr">
        <is>
          <t>***** , N.T.</t>
        </is>
      </c>
      <c r="V722" s="3" t="inlineStr">
        <is>
          <t>香港</t>
        </is>
      </c>
      <c r="W722" s="3" t="inlineStr">
        <is>
          <t>纸袋【通版】/ 箱出</t>
        </is>
      </c>
      <c r="X722" s="3" t="inlineStr">
        <is>
          <t>ESS-SFTS-OTMS</t>
        </is>
      </c>
      <c r="Y722" s="3" t="n"/>
      <c r="Z722" s="3" t="inlineStr"/>
      <c r="AA722" s="3" t="inlineStr">
        <is>
          <t>寄付月結</t>
        </is>
      </c>
      <c r="AB722">
        <f>IFERROR(VLOOKUP(Q722&amp;"",對照表!$A:$B,1,FALSE),"")</f>
        <v/>
      </c>
      <c r="AC722">
        <f>IFERROR(VLOOKUP(Q722&amp;"",對照表!$A:$B,2,FALSE),"")</f>
        <v/>
      </c>
    </row>
    <row r="723">
      <c r="A723" s="3" t="inlineStr">
        <is>
          <t>SF5116616691240</t>
        </is>
      </c>
      <c r="B723" s="3" t="n">
        <v>58424825806960</v>
      </c>
      <c r="C723" s="3" t="inlineStr">
        <is>
          <t>已簽收</t>
        </is>
      </c>
      <c r="D723" s="3" t="inlineStr">
        <is>
          <t>2026-07-03 10:31:06</t>
        </is>
      </c>
      <c r="E723" s="3" t="inlineStr">
        <is>
          <t>2026-07-04 09:54</t>
        </is>
      </c>
      <c r="F723" s="3" t="n">
        <v>11.6</v>
      </c>
      <c r="G723" s="3" t="n">
        <v>1</v>
      </c>
      <c r="H723" s="3" t="n"/>
      <c r="I723" s="3" t="inlineStr"/>
      <c r="J723" s="3" t="inlineStr">
        <is>
          <t>Keeta</t>
        </is>
      </c>
      <c r="K723" s="3" t="inlineStr">
        <is>
          <t>****9568</t>
        </is>
      </c>
      <c r="L723" s="3" t="n"/>
      <c r="M723" s="3" t="inlineStr">
        <is>
          <t>***** 物流中心5樓</t>
        </is>
      </c>
      <c r="N723" s="3" t="inlineStr">
        <is>
          <t>北区</t>
        </is>
      </c>
      <c r="O723" s="3" t="inlineStr">
        <is>
          <t>香港</t>
        </is>
      </c>
      <c r="P723" s="3" t="inlineStr">
        <is>
          <t>香港特别行政区</t>
        </is>
      </c>
      <c r="Q723" s="3" t="n">
        <v>492742</v>
      </c>
      <c r="R723" s="3" t="inlineStr">
        <is>
          <t>好佰佰GoodPapa</t>
        </is>
      </c>
      <c r="S723" s="3" t="inlineStr">
        <is>
          <t>****56838901</t>
        </is>
      </c>
      <c r="T723" s="3" t="inlineStr">
        <is>
          <t>****56838901</t>
        </is>
      </c>
      <c r="U723" s="3" t="inlineStr">
        <is>
          <t>***** 樓102號舖</t>
        </is>
      </c>
      <c r="V723" s="3" t="inlineStr">
        <is>
          <t>香港</t>
        </is>
      </c>
      <c r="W723" s="3" t="inlineStr">
        <is>
          <t>无纺布【规格四大号】/ 箱出</t>
        </is>
      </c>
      <c r="X723" s="3" t="inlineStr">
        <is>
          <t>ESS-SFTS-OTMS</t>
        </is>
      </c>
      <c r="Y723" s="3" t="n"/>
      <c r="Z723" s="3" t="inlineStr"/>
      <c r="AA723" s="3" t="inlineStr">
        <is>
          <t>寄付月結</t>
        </is>
      </c>
      <c r="AB723">
        <f>IFERROR(VLOOKUP(Q723&amp;"",對照表!$A:$B,1,FALSE),"")</f>
        <v/>
      </c>
      <c r="AC723">
        <f>IFERROR(VLOOKUP(Q723&amp;"",對照表!$A:$B,2,FALSE),"")</f>
        <v/>
      </c>
    </row>
    <row r="724">
      <c r="A724" s="3" t="inlineStr">
        <is>
          <t>SF5116616691295</t>
        </is>
      </c>
      <c r="B724" s="3" t="n">
        <v>58424825806970</v>
      </c>
      <c r="C724" s="3" t="inlineStr">
        <is>
          <t>已簽收</t>
        </is>
      </c>
      <c r="D724" s="3" t="inlineStr">
        <is>
          <t>2026-07-03 10:31:13</t>
        </is>
      </c>
      <c r="E724" s="3" t="inlineStr">
        <is>
          <t>2026-07-04 11:31</t>
        </is>
      </c>
      <c r="F724" s="3" t="n">
        <v>11.6</v>
      </c>
      <c r="G724" s="3" t="n">
        <v>1</v>
      </c>
      <c r="H724" s="3" t="n"/>
      <c r="I724" s="3" t="inlineStr"/>
      <c r="J724" s="3" t="inlineStr">
        <is>
          <t>Keeta</t>
        </is>
      </c>
      <c r="K724" s="3" t="inlineStr">
        <is>
          <t>****9568</t>
        </is>
      </c>
      <c r="L724" s="3" t="n"/>
      <c r="M724" s="3" t="inlineStr">
        <is>
          <t>***** 物流中心5樓</t>
        </is>
      </c>
      <c r="N724" s="3" t="inlineStr">
        <is>
          <t>北区</t>
        </is>
      </c>
      <c r="O724" s="3" t="inlineStr">
        <is>
          <t>香港</t>
        </is>
      </c>
      <c r="P724" s="3" t="inlineStr">
        <is>
          <t>香港特别行政区</t>
        </is>
      </c>
      <c r="Q724" s="3" t="n">
        <v>599514</v>
      </c>
      <c r="R724" s="3" t="inlineStr">
        <is>
          <t>西西里餐廳Sicilia（屯門店）</t>
        </is>
      </c>
      <c r="S724" s="3" t="inlineStr">
        <is>
          <t>****34619600</t>
        </is>
      </c>
      <c r="T724" s="3" t="inlineStr">
        <is>
          <t>****34619600</t>
        </is>
      </c>
      <c r="U724" s="3" t="inlineStr">
        <is>
          <t>***** -122號舖</t>
        </is>
      </c>
      <c r="V724" s="3" t="inlineStr">
        <is>
          <t>香港</t>
        </is>
      </c>
      <c r="W724" s="3" t="inlineStr">
        <is>
          <t>无纺布【规格四大号】/ 箱出</t>
        </is>
      </c>
      <c r="X724" s="3" t="inlineStr">
        <is>
          <t>ESS-SFTS-OTMS</t>
        </is>
      </c>
      <c r="Y724" s="3" t="n"/>
      <c r="Z724" s="3" t="inlineStr"/>
      <c r="AA724" s="3" t="inlineStr">
        <is>
          <t>寄付月結</t>
        </is>
      </c>
      <c r="AB724">
        <f>IFERROR(VLOOKUP(Q724&amp;"",對照表!$A:$B,1,FALSE),"")</f>
        <v/>
      </c>
      <c r="AC724">
        <f>IFERROR(VLOOKUP(Q724&amp;"",對照表!$A:$B,2,FALSE),"")</f>
        <v/>
      </c>
    </row>
    <row r="725">
      <c r="A725" s="3" t="inlineStr">
        <is>
          <t>SF5116616691277</t>
        </is>
      </c>
      <c r="B725" s="3" t="n">
        <v>58424825806967</v>
      </c>
      <c r="C725" s="3" t="inlineStr">
        <is>
          <t>已簽收</t>
        </is>
      </c>
      <c r="D725" s="3" t="inlineStr">
        <is>
          <t>2026-07-03 16:33:56</t>
        </is>
      </c>
      <c r="E725" s="3" t="inlineStr">
        <is>
          <t>2026-07-04 12:28</t>
        </is>
      </c>
      <c r="F725" s="3" t="n">
        <v>47.44</v>
      </c>
      <c r="G725" s="3" t="n">
        <v>4</v>
      </c>
      <c r="H725" s="3" t="n"/>
      <c r="I725" s="3" t="inlineStr"/>
      <c r="J725" s="3" t="inlineStr">
        <is>
          <t>Keeta</t>
        </is>
      </c>
      <c r="K725" s="3" t="inlineStr">
        <is>
          <t>****9568</t>
        </is>
      </c>
      <c r="L725" s="3" t="n"/>
      <c r="M725" s="3" t="inlineStr">
        <is>
          <t>***** 物流中心5樓</t>
        </is>
      </c>
      <c r="N725" s="3" t="inlineStr">
        <is>
          <t>北区</t>
        </is>
      </c>
      <c r="O725" s="3" t="inlineStr">
        <is>
          <t>香港</t>
        </is>
      </c>
      <c r="P725" s="3" t="inlineStr">
        <is>
          <t>香港特别行政区</t>
        </is>
      </c>
      <c r="Q725" s="3" t="n">
        <v>721516329</v>
      </c>
      <c r="R725" s="3" t="inlineStr">
        <is>
          <t>韓媽廚房(新蒲崗)(只此一家)(真韓國人主理)</t>
        </is>
      </c>
      <c r="S725" s="3" t="inlineStr">
        <is>
          <t>****61952850</t>
        </is>
      </c>
      <c r="T725" s="3" t="inlineStr">
        <is>
          <t>****61952850</t>
        </is>
      </c>
      <c r="U725" s="3" t="inlineStr">
        <is>
          <t>***** 祿居地下F舖</t>
        </is>
      </c>
      <c r="V725" s="3" t="inlineStr">
        <is>
          <t>香港</t>
        </is>
      </c>
      <c r="W725" s="3" t="inlineStr">
        <is>
          <t>纸袋【Preminum黑】/ 箱出</t>
        </is>
      </c>
      <c r="X725" s="3" t="inlineStr">
        <is>
          <t>ESS-SFTS-OTMS</t>
        </is>
      </c>
      <c r="Y725" s="3" t="n"/>
      <c r="Z725" s="3" t="inlineStr"/>
      <c r="AA725" s="3" t="inlineStr">
        <is>
          <t>寄付月結</t>
        </is>
      </c>
      <c r="AB725">
        <f>IFERROR(VLOOKUP(Q725&amp;"",對照表!$A:$B,1,FALSE),"")</f>
        <v/>
      </c>
      <c r="AC725">
        <f>IFERROR(VLOOKUP(Q725&amp;"",對照表!$A:$B,2,FALSE),"")</f>
        <v/>
      </c>
    </row>
    <row r="726">
      <c r="A726" s="3" t="inlineStr">
        <is>
          <t>SF5116616691301</t>
        </is>
      </c>
      <c r="B726" s="3" t="n">
        <v>58424825806975</v>
      </c>
      <c r="C726" s="3" t="inlineStr">
        <is>
          <t>已簽收</t>
        </is>
      </c>
      <c r="D726" s="3" t="inlineStr">
        <is>
          <t>2026-07-03 16:44:23</t>
        </is>
      </c>
      <c r="E726" s="3" t="inlineStr">
        <is>
          <t>2026-07-05 15:05</t>
        </is>
      </c>
      <c r="F726" s="3" t="n">
        <v>236.4</v>
      </c>
      <c r="G726" s="3" t="n">
        <v>20</v>
      </c>
      <c r="H726" s="3" t="n"/>
      <c r="I726" s="3" t="inlineStr"/>
      <c r="J726" s="3" t="inlineStr">
        <is>
          <t>Keeta</t>
        </is>
      </c>
      <c r="K726" s="3" t="inlineStr">
        <is>
          <t>****9568</t>
        </is>
      </c>
      <c r="L726" s="3" t="n"/>
      <c r="M726" s="3" t="inlineStr">
        <is>
          <t>***** 物流中心5樓</t>
        </is>
      </c>
      <c r="N726" s="3" t="inlineStr">
        <is>
          <t>北区</t>
        </is>
      </c>
      <c r="O726" s="3" t="inlineStr">
        <is>
          <t>香港</t>
        </is>
      </c>
      <c r="P726" s="3" t="inlineStr">
        <is>
          <t>香港特别行政区</t>
        </is>
      </c>
      <c r="Q726" s="3" t="n">
        <v>485032</v>
      </c>
      <c r="R726" s="3" t="inlineStr">
        <is>
          <t>小野人燒烤KOKA（惹味羊肉串No1）將軍澳</t>
        </is>
      </c>
      <c r="S726" s="3" t="inlineStr">
        <is>
          <t>****28612862</t>
        </is>
      </c>
      <c r="T726" s="3" t="inlineStr">
        <is>
          <t>****28612862</t>
        </is>
      </c>
      <c r="U726" s="3" t="inlineStr">
        <is>
          <t>***** G25A號舖</t>
        </is>
      </c>
      <c r="V726" s="3" t="inlineStr">
        <is>
          <t>香港</t>
        </is>
      </c>
      <c r="W726" s="3" t="inlineStr">
        <is>
          <t>无纺布【Preminum黑】/ 箱出</t>
        </is>
      </c>
      <c r="X726" s="3" t="inlineStr">
        <is>
          <t>ESS-SFTS-OTMS</t>
        </is>
      </c>
      <c r="Y726" s="3" t="n"/>
      <c r="Z726" s="3" t="inlineStr"/>
      <c r="AA726" s="3" t="inlineStr">
        <is>
          <t>寄付月結</t>
        </is>
      </c>
      <c r="AB726">
        <f>IFERROR(VLOOKUP(Q726&amp;"",對照表!$A:$B,1,FALSE),"")</f>
        <v/>
      </c>
      <c r="AC726">
        <f>IFERROR(VLOOKUP(Q726&amp;"",對照表!$A:$B,2,FALSE),"")</f>
        <v/>
      </c>
    </row>
    <row r="727">
      <c r="A727" s="3" t="inlineStr">
        <is>
          <t>SF5116616691000</t>
        </is>
      </c>
      <c r="B727" s="3" t="n">
        <v>58424825806905</v>
      </c>
      <c r="C727" s="3" t="inlineStr">
        <is>
          <t>已簽收</t>
        </is>
      </c>
      <c r="D727" s="3" t="inlineStr">
        <is>
          <t>2026-07-03 14:56:28</t>
        </is>
      </c>
      <c r="E727" s="3" t="inlineStr">
        <is>
          <t>2026-07-04 10:10</t>
        </is>
      </c>
      <c r="F727" s="3" t="n">
        <v>95.86</v>
      </c>
      <c r="G727" s="3" t="n">
        <v>9</v>
      </c>
      <c r="H727" s="3" t="n"/>
      <c r="I727" s="3" t="inlineStr"/>
      <c r="J727" s="3" t="inlineStr">
        <is>
          <t>Keeta</t>
        </is>
      </c>
      <c r="K727" s="3" t="inlineStr">
        <is>
          <t>****9568</t>
        </is>
      </c>
      <c r="L727" s="3" t="n"/>
      <c r="M727" s="3" t="inlineStr">
        <is>
          <t>***** 物流中心5樓</t>
        </is>
      </c>
      <c r="N727" s="3" t="inlineStr">
        <is>
          <t>北区</t>
        </is>
      </c>
      <c r="O727" s="3" t="inlineStr">
        <is>
          <t>香港</t>
        </is>
      </c>
      <c r="P727" s="3" t="inlineStr">
        <is>
          <t>香港特别行政区</t>
        </is>
      </c>
      <c r="Q727" s="3" t="n">
        <v>483723</v>
      </c>
      <c r="R727" s="3" t="inlineStr">
        <is>
          <t>紅日蛋包飯全港人氣蛋包飯之最（火炭）</t>
        </is>
      </c>
      <c r="S727" s="3" t="inlineStr">
        <is>
          <t>****93114881</t>
        </is>
      </c>
      <c r="T727" s="3" t="inlineStr">
        <is>
          <t>****93114881</t>
        </is>
      </c>
      <c r="U727" s="3" t="inlineStr">
        <is>
          <t>***** B室B1部份</t>
        </is>
      </c>
      <c r="V727" s="3" t="inlineStr">
        <is>
          <t>香港</t>
        </is>
      </c>
      <c r="W727" s="3" t="inlineStr">
        <is>
          <t>无纺布【规格三中号】/ 箱出, 无纺布【规格四大号】/ 箱出</t>
        </is>
      </c>
      <c r="X727" s="3" t="inlineStr">
        <is>
          <t>ESS-SFTS-OTMS</t>
        </is>
      </c>
      <c r="Y727" s="3" t="n"/>
      <c r="Z727" s="3" t="inlineStr"/>
      <c r="AA727" s="3" t="inlineStr">
        <is>
          <t>寄付月結</t>
        </is>
      </c>
      <c r="AB727">
        <f>IFERROR(VLOOKUP(Q727&amp;"",對照表!$A:$B,1,FALSE),"")</f>
        <v/>
      </c>
      <c r="AC727">
        <f>IFERROR(VLOOKUP(Q727&amp;"",對照表!$A:$B,2,FALSE),"")</f>
        <v/>
      </c>
    </row>
    <row r="728">
      <c r="A728" s="3" t="inlineStr">
        <is>
          <t>SF5119018987862</t>
        </is>
      </c>
      <c r="B728" s="3" t="n">
        <v>58426948452472</v>
      </c>
      <c r="C728" s="3" t="inlineStr">
        <is>
          <t>已簽收</t>
        </is>
      </c>
      <c r="D728" s="3" t="inlineStr">
        <is>
          <t>2026-07-03 17:31:12</t>
        </is>
      </c>
      <c r="E728" s="3" t="inlineStr">
        <is>
          <t>2026-07-04 09:21</t>
        </is>
      </c>
      <c r="F728" s="3" t="n">
        <v>4.45</v>
      </c>
      <c r="G728" s="3" t="n">
        <v>1</v>
      </c>
      <c r="H728" s="3" t="n"/>
      <c r="I728" s="3" t="inlineStr"/>
      <c r="J728" s="3" t="inlineStr">
        <is>
          <t>Keeta</t>
        </is>
      </c>
      <c r="K728" s="3" t="inlineStr">
        <is>
          <t>****9568</t>
        </is>
      </c>
      <c r="L728" s="3" t="n"/>
      <c r="M728" s="3" t="inlineStr">
        <is>
          <t>***** 物流中心5樓</t>
        </is>
      </c>
      <c r="N728" s="3" t="inlineStr">
        <is>
          <t>北区</t>
        </is>
      </c>
      <c r="O728" s="3" t="inlineStr">
        <is>
          <t>香港</t>
        </is>
      </c>
      <c r="P728" s="3" t="inlineStr">
        <is>
          <t>香港特别行政区</t>
        </is>
      </c>
      <c r="Q728" s="3" t="n">
        <v>494661</v>
      </c>
      <c r="R728" s="3" t="inlineStr">
        <is>
          <t>金成茶餐廳期間限定惹味椒鹽豬扒飯</t>
        </is>
      </c>
      <c r="S728" s="3" t="inlineStr">
        <is>
          <t>****31571623</t>
        </is>
      </c>
      <c r="T728" s="3" t="inlineStr">
        <is>
          <t>****31571623</t>
        </is>
      </c>
      <c r="U728" s="3" t="inlineStr">
        <is>
          <t>***** 樓地下9號舖</t>
        </is>
      </c>
      <c r="V728" s="3" t="inlineStr">
        <is>
          <t>香港</t>
        </is>
      </c>
      <c r="W728" s="3" t="inlineStr">
        <is>
          <t>机纸/小票纸 / 包出</t>
        </is>
      </c>
      <c r="X728" s="3" t="inlineStr">
        <is>
          <t>ESS-SFTS-OTMS</t>
        </is>
      </c>
      <c r="Y728" s="3" t="n"/>
      <c r="Z728" s="3" t="inlineStr"/>
      <c r="AA728" s="3" t="inlineStr">
        <is>
          <t>寄付月結</t>
        </is>
      </c>
      <c r="AB728">
        <f>IFERROR(VLOOKUP(Q728&amp;"",對照表!$A:$B,1,FALSE),"")</f>
        <v/>
      </c>
      <c r="AC728">
        <f>IFERROR(VLOOKUP(Q728&amp;"",對照表!$A:$B,2,FALSE),"")</f>
        <v/>
      </c>
    </row>
    <row r="729">
      <c r="A729" s="3" t="inlineStr">
        <is>
          <t>SF5119018987599</t>
        </is>
      </c>
      <c r="B729" s="3" t="n">
        <v>58426948452413</v>
      </c>
      <c r="C729" s="3" t="inlineStr">
        <is>
          <t>已簽收</t>
        </is>
      </c>
      <c r="D729" s="3" t="inlineStr">
        <is>
          <t>2026-07-03 18:18:11</t>
        </is>
      </c>
      <c r="E729" s="3" t="inlineStr">
        <is>
          <t>2026-07-04 10:14</t>
        </is>
      </c>
      <c r="F729" s="3" t="n">
        <v>4.5</v>
      </c>
      <c r="G729" s="3" t="n">
        <v>1</v>
      </c>
      <c r="H729" s="3" t="n"/>
      <c r="I729" s="3" t="inlineStr"/>
      <c r="J729" s="3" t="inlineStr">
        <is>
          <t>Keeta</t>
        </is>
      </c>
      <c r="K729" s="3" t="inlineStr">
        <is>
          <t>****9568</t>
        </is>
      </c>
      <c r="L729" s="3" t="n"/>
      <c r="M729" s="3" t="inlineStr">
        <is>
          <t>***** 物流中心5樓</t>
        </is>
      </c>
      <c r="N729" s="3" t="inlineStr">
        <is>
          <t>北区</t>
        </is>
      </c>
      <c r="O729" s="3" t="inlineStr">
        <is>
          <t>香港</t>
        </is>
      </c>
      <c r="P729" s="3" t="inlineStr">
        <is>
          <t>香港特别行政区</t>
        </is>
      </c>
      <c r="Q729" s="3" t="n">
        <v>463458</v>
      </c>
      <c r="R729" s="3" t="inlineStr">
        <is>
          <t>SeoulNoodles</t>
        </is>
      </c>
      <c r="S729" s="3" t="inlineStr">
        <is>
          <t>****93601546</t>
        </is>
      </c>
      <c r="T729" s="3" t="inlineStr">
        <is>
          <t>****93601546</t>
        </is>
      </c>
      <c r="U729" s="3" t="inlineStr">
        <is>
          <t>***** sui,HK</t>
        </is>
      </c>
      <c r="V729" s="3" t="inlineStr">
        <is>
          <t>香港</t>
        </is>
      </c>
      <c r="W729" s="3" t="inlineStr">
        <is>
          <t>塑料袋【小】/ 扎出, 塑料袋【大】/ 扎出</t>
        </is>
      </c>
      <c r="X729" s="3" t="inlineStr">
        <is>
          <t>ESS-SFTS-OTMS</t>
        </is>
      </c>
      <c r="Y729" s="3" t="n"/>
      <c r="Z729" s="3" t="inlineStr"/>
      <c r="AA729" s="3" t="inlineStr">
        <is>
          <t>寄付月結</t>
        </is>
      </c>
      <c r="AB729">
        <f>IFERROR(VLOOKUP(Q729&amp;"",對照表!$A:$B,1,FALSE),"")</f>
        <v/>
      </c>
      <c r="AC729">
        <f>IFERROR(VLOOKUP(Q729&amp;"",對照表!$A:$B,2,FALSE),"")</f>
        <v/>
      </c>
    </row>
    <row r="730">
      <c r="A730" s="3" t="inlineStr">
        <is>
          <t>SF5119018987756</t>
        </is>
      </c>
      <c r="B730" s="3" t="n">
        <v>58426948452451</v>
      </c>
      <c r="C730" s="3" t="inlineStr">
        <is>
          <t>已簽收</t>
        </is>
      </c>
      <c r="D730" s="3" t="inlineStr">
        <is>
          <t>2026-07-03 17:49:51</t>
        </is>
      </c>
      <c r="E730" s="3" t="inlineStr">
        <is>
          <t>2026-07-04 12:15</t>
        </is>
      </c>
      <c r="F730" s="3" t="n">
        <v>14.5</v>
      </c>
      <c r="G730" s="3" t="n">
        <v>1</v>
      </c>
      <c r="H730" s="3" t="n"/>
      <c r="I730" s="3" t="inlineStr"/>
      <c r="J730" s="3" t="inlineStr">
        <is>
          <t>Keeta</t>
        </is>
      </c>
      <c r="K730" s="3" t="inlineStr">
        <is>
          <t>****9568</t>
        </is>
      </c>
      <c r="L730" s="3" t="n"/>
      <c r="M730" s="3" t="inlineStr">
        <is>
          <t>***** 物流中心5樓</t>
        </is>
      </c>
      <c r="N730" s="3" t="inlineStr">
        <is>
          <t>北区</t>
        </is>
      </c>
      <c r="O730" s="3" t="inlineStr">
        <is>
          <t>香港</t>
        </is>
      </c>
      <c r="P730" s="3" t="inlineStr">
        <is>
          <t>香港特别行政区</t>
        </is>
      </c>
      <c r="Q730" s="3" t="n">
        <v>576504</v>
      </c>
      <c r="R730" s="3" t="inlineStr">
        <is>
          <t>PretAManger(FestivalWalk又一城)</t>
        </is>
      </c>
      <c r="S730" s="3" t="inlineStr">
        <is>
          <t>****39745795</t>
        </is>
      </c>
      <c r="T730" s="3" t="inlineStr">
        <is>
          <t>****39745795</t>
        </is>
      </c>
      <c r="U730" s="3" t="inlineStr">
        <is>
          <t>***** -S1及S2</t>
        </is>
      </c>
      <c r="V730" s="3" t="inlineStr">
        <is>
          <t>香港</t>
        </is>
      </c>
      <c r="W730" s="3" t="inlineStr">
        <is>
          <t>纸袋【通版】/ 箱出</t>
        </is>
      </c>
      <c r="X730" s="3" t="inlineStr">
        <is>
          <t>ESS-SFTS-OTMS</t>
        </is>
      </c>
      <c r="Y730" s="3" t="n"/>
      <c r="Z730" s="3" t="inlineStr"/>
      <c r="AA730" s="3" t="inlineStr">
        <is>
          <t>寄付月結</t>
        </is>
      </c>
      <c r="AB730">
        <f>IFERROR(VLOOKUP(Q730&amp;"",對照表!$A:$B,1,FALSE),"")</f>
        <v/>
      </c>
      <c r="AC730">
        <f>IFERROR(VLOOKUP(Q730&amp;"",對照表!$A:$B,2,FALSE),"")</f>
        <v/>
      </c>
    </row>
    <row r="731">
      <c r="A731" s="3" t="inlineStr">
        <is>
          <t>SF5119018987641</t>
        </is>
      </c>
      <c r="B731" s="3" t="n">
        <v>58426948452424</v>
      </c>
      <c r="C731" s="3" t="inlineStr">
        <is>
          <t>已簽收</t>
        </is>
      </c>
      <c r="D731" s="3" t="inlineStr">
        <is>
          <t>2026-07-03 17:49:48</t>
        </is>
      </c>
      <c r="E731" s="3" t="inlineStr">
        <is>
          <t>2026-07-06 10:23</t>
        </is>
      </c>
      <c r="F731" s="3" t="n">
        <v>14.5</v>
      </c>
      <c r="G731" s="3" t="n">
        <v>1</v>
      </c>
      <c r="H731" s="3" t="n"/>
      <c r="I731" s="3" t="inlineStr"/>
      <c r="J731" s="3" t="inlineStr">
        <is>
          <t>Keeta</t>
        </is>
      </c>
      <c r="K731" s="3" t="inlineStr">
        <is>
          <t>****9568</t>
        </is>
      </c>
      <c r="L731" s="3" t="n"/>
      <c r="M731" s="3" t="inlineStr">
        <is>
          <t>***** 物流中心5樓</t>
        </is>
      </c>
      <c r="N731" s="3" t="inlineStr">
        <is>
          <t>北区</t>
        </is>
      </c>
      <c r="O731" s="3" t="inlineStr">
        <is>
          <t>香港</t>
        </is>
      </c>
      <c r="P731" s="3" t="inlineStr">
        <is>
          <t>香港特别行政区</t>
        </is>
      </c>
      <c r="Q731" s="3" t="n">
        <v>721522415</v>
      </c>
      <c r="R731" s="3" t="inlineStr">
        <is>
          <t>十里豬扒酸辣米線（葵興店）</t>
        </is>
      </c>
      <c r="S731" s="3" t="inlineStr">
        <is>
          <t>****4170</t>
        </is>
      </c>
      <c r="T731" s="3" t="inlineStr">
        <is>
          <t>****4170</t>
        </is>
      </c>
      <c r="U731" s="3" t="inlineStr">
        <is>
          <t>***** 地下28號鋪</t>
        </is>
      </c>
      <c r="V731" s="3" t="inlineStr">
        <is>
          <t>香港</t>
        </is>
      </c>
      <c r="W731" s="3" t="inlineStr">
        <is>
          <t>纸袋【通版】/ 箱出</t>
        </is>
      </c>
      <c r="X731" s="3" t="inlineStr">
        <is>
          <t>ESS-SFTS-OTMS</t>
        </is>
      </c>
      <c r="Y731" s="3" t="n"/>
      <c r="Z731" s="3" t="inlineStr"/>
      <c r="AA731" s="3" t="inlineStr">
        <is>
          <t>寄付月結</t>
        </is>
      </c>
      <c r="AB731">
        <f>IFERROR(VLOOKUP(Q731&amp;"",對照表!$A:$B,1,FALSE),"")</f>
        <v/>
      </c>
      <c r="AC731">
        <f>IFERROR(VLOOKUP(Q731&amp;"",對照表!$A:$B,2,FALSE),"")</f>
        <v/>
      </c>
    </row>
    <row r="732">
      <c r="A732" s="3" t="inlineStr">
        <is>
          <t>SF5119018987774</t>
        </is>
      </c>
      <c r="B732" s="3" t="n">
        <v>58426948452455</v>
      </c>
      <c r="C732" s="3" t="inlineStr">
        <is>
          <t>已簽收</t>
        </is>
      </c>
      <c r="D732" s="3" t="inlineStr">
        <is>
          <t>2026-07-03 17:59:55</t>
        </is>
      </c>
      <c r="E732" s="3" t="inlineStr">
        <is>
          <t>2026-07-04 14:01</t>
        </is>
      </c>
      <c r="F732" s="3" t="n">
        <v>5.66</v>
      </c>
      <c r="G732" s="3" t="n">
        <v>1</v>
      </c>
      <c r="H732" s="3" t="n"/>
      <c r="I732" s="3" t="inlineStr"/>
      <c r="J732" s="3" t="inlineStr">
        <is>
          <t>Keeta</t>
        </is>
      </c>
      <c r="K732" s="3" t="inlineStr">
        <is>
          <t>****9568</t>
        </is>
      </c>
      <c r="L732" s="3" t="n"/>
      <c r="M732" s="3" t="inlineStr">
        <is>
          <t>***** 物流中心5樓</t>
        </is>
      </c>
      <c r="N732" s="3" t="inlineStr">
        <is>
          <t>北区</t>
        </is>
      </c>
      <c r="O732" s="3" t="inlineStr">
        <is>
          <t>香港</t>
        </is>
      </c>
      <c r="P732" s="3" t="inlineStr">
        <is>
          <t>香港特别行政区</t>
        </is>
      </c>
      <c r="Q732" s="3" t="n">
        <v>721431310</v>
      </c>
      <c r="R732" s="3" t="inlineStr">
        <is>
          <t>咕嚕貓優質兩餸飯（大圍）</t>
        </is>
      </c>
      <c r="S732" s="3" t="inlineStr">
        <is>
          <t>****51827936</t>
        </is>
      </c>
      <c r="T732" s="3" t="inlineStr">
        <is>
          <t>****51827936</t>
        </is>
      </c>
      <c r="U732" s="3" t="inlineStr">
        <is>
          <t>***** 村71號地下</t>
        </is>
      </c>
      <c r="V732" s="3" t="inlineStr">
        <is>
          <t>香港</t>
        </is>
      </c>
      <c r="W732" s="3" t="inlineStr">
        <is>
          <t>封签【通版】/ 扎出, 机纸/小票纸 / 包出</t>
        </is>
      </c>
      <c r="X732" s="3" t="inlineStr">
        <is>
          <t>ESS-SFTS-OTMS</t>
        </is>
      </c>
      <c r="Y732" s="3" t="n"/>
      <c r="Z732" s="3" t="inlineStr"/>
      <c r="AA732" s="3" t="inlineStr">
        <is>
          <t>寄付月結</t>
        </is>
      </c>
      <c r="AB732">
        <f>IFERROR(VLOOKUP(Q732&amp;"",對照表!$A:$B,1,FALSE),"")</f>
        <v/>
      </c>
      <c r="AC732">
        <f>IFERROR(VLOOKUP(Q732&amp;"",對照表!$A:$B,2,FALSE),"")</f>
        <v/>
      </c>
    </row>
    <row r="733">
      <c r="A733" s="3" t="inlineStr">
        <is>
          <t>SF5119018987387</t>
        </is>
      </c>
      <c r="B733" s="3" t="n">
        <v>58426948452369</v>
      </c>
      <c r="C733" s="3" t="inlineStr">
        <is>
          <t>已簽收</t>
        </is>
      </c>
      <c r="D733" s="3" t="inlineStr">
        <is>
          <t>2026-07-03 17:29:51</t>
        </is>
      </c>
      <c r="E733" s="3" t="inlineStr">
        <is>
          <t>2026-07-04 12:08</t>
        </is>
      </c>
      <c r="F733" s="3" t="n">
        <v>4.45</v>
      </c>
      <c r="G733" s="3" t="n">
        <v>1</v>
      </c>
      <c r="H733" s="3" t="n"/>
      <c r="I733" s="3" t="inlineStr"/>
      <c r="J733" s="3" t="inlineStr">
        <is>
          <t>Keeta</t>
        </is>
      </c>
      <c r="K733" s="3" t="inlineStr">
        <is>
          <t>****9568</t>
        </is>
      </c>
      <c r="L733" s="3" t="n"/>
      <c r="M733" s="3" t="inlineStr">
        <is>
          <t>***** 物流中心5樓</t>
        </is>
      </c>
      <c r="N733" s="3" t="inlineStr">
        <is>
          <t>北区</t>
        </is>
      </c>
      <c r="O733" s="3" t="inlineStr">
        <is>
          <t>香港</t>
        </is>
      </c>
      <c r="P733" s="3" t="inlineStr">
        <is>
          <t>香港特别行政区</t>
        </is>
      </c>
      <c r="Q733" s="3" t="n">
        <v>485110</v>
      </c>
      <c r="R733" s="3" t="inlineStr">
        <is>
          <t>雲米家米線(葵涌分店)</t>
        </is>
      </c>
      <c r="S733" s="3" t="inlineStr">
        <is>
          <t>****68918332</t>
        </is>
      </c>
      <c r="T733" s="3" t="inlineStr">
        <is>
          <t>****68918332</t>
        </is>
      </c>
      <c r="U733" s="3" t="inlineStr">
        <is>
          <t>***** 樓地下H號舖</t>
        </is>
      </c>
      <c r="V733" s="3" t="inlineStr">
        <is>
          <t>香港</t>
        </is>
      </c>
      <c r="W733" s="3" t="inlineStr">
        <is>
          <t>机纸/小票纸 / 包出</t>
        </is>
      </c>
      <c r="X733" s="3" t="inlineStr">
        <is>
          <t>ESS-SFTS-OTMS</t>
        </is>
      </c>
      <c r="Y733" s="3" t="n"/>
      <c r="Z733" s="3" t="inlineStr"/>
      <c r="AA733" s="3" t="inlineStr">
        <is>
          <t>寄付月結</t>
        </is>
      </c>
      <c r="AB733">
        <f>IFERROR(VLOOKUP(Q733&amp;"",對照表!$A:$B,1,FALSE),"")</f>
        <v/>
      </c>
      <c r="AC733">
        <f>IFERROR(VLOOKUP(Q733&amp;"",對照表!$A:$B,2,FALSE),"")</f>
        <v/>
      </c>
    </row>
    <row r="734">
      <c r="A734" s="3" t="inlineStr">
        <is>
          <t>SF5119018987729</t>
        </is>
      </c>
      <c r="B734" s="3" t="n">
        <v>58426948452442</v>
      </c>
      <c r="C734" s="3" t="inlineStr">
        <is>
          <t>已簽收</t>
        </is>
      </c>
      <c r="D734" s="3" t="inlineStr">
        <is>
          <t>2026-07-03 17:49:50</t>
        </is>
      </c>
      <c r="E734" s="3" t="inlineStr">
        <is>
          <t>2026-07-04 11:36</t>
        </is>
      </c>
      <c r="F734" s="3" t="n">
        <v>14.5</v>
      </c>
      <c r="G734" s="3" t="n">
        <v>1</v>
      </c>
      <c r="H734" s="3" t="n"/>
      <c r="I734" s="3" t="inlineStr"/>
      <c r="J734" s="3" t="inlineStr">
        <is>
          <t>Keeta</t>
        </is>
      </c>
      <c r="K734" s="3" t="inlineStr">
        <is>
          <t>****9568</t>
        </is>
      </c>
      <c r="L734" s="3" t="n"/>
      <c r="M734" s="3" t="inlineStr">
        <is>
          <t>***** 物流中心5樓</t>
        </is>
      </c>
      <c r="N734" s="3" t="inlineStr">
        <is>
          <t>北区</t>
        </is>
      </c>
      <c r="O734" s="3" t="inlineStr">
        <is>
          <t>香港</t>
        </is>
      </c>
      <c r="P734" s="3" t="inlineStr">
        <is>
          <t>香港特别行政区</t>
        </is>
      </c>
      <c r="Q734" s="3" t="n">
        <v>485142</v>
      </c>
      <c r="R734" s="3" t="inlineStr">
        <is>
          <t>Suage北海道湯咖哩</t>
        </is>
      </c>
      <c r="S734" s="3" t="inlineStr">
        <is>
          <t>****26222388</t>
        </is>
      </c>
      <c r="T734" s="3" t="inlineStr">
        <is>
          <t>****26222388</t>
        </is>
      </c>
      <c r="U734" s="3" t="inlineStr">
        <is>
          <t>***** 4A樓1號舖</t>
        </is>
      </c>
      <c r="V734" s="3" t="inlineStr">
        <is>
          <t>香港</t>
        </is>
      </c>
      <c r="W734" s="3" t="inlineStr">
        <is>
          <t>纸袋【通版】/ 箱出</t>
        </is>
      </c>
      <c r="X734" s="3" t="inlineStr">
        <is>
          <t>ESS-SFTS-OTMS</t>
        </is>
      </c>
      <c r="Y734" s="3" t="n"/>
      <c r="Z734" s="3" t="inlineStr"/>
      <c r="AA734" s="3" t="inlineStr">
        <is>
          <t>寄付月結</t>
        </is>
      </c>
      <c r="AB734">
        <f>IFERROR(VLOOKUP(Q734&amp;"",對照表!$A:$B,1,FALSE),"")</f>
        <v/>
      </c>
      <c r="AC734">
        <f>IFERROR(VLOOKUP(Q734&amp;"",對照表!$A:$B,2,FALSE),"")</f>
        <v/>
      </c>
    </row>
    <row r="735">
      <c r="A735" s="3" t="inlineStr">
        <is>
          <t>SF5119018987605</t>
        </is>
      </c>
      <c r="B735" s="3" t="n">
        <v>58426948452417</v>
      </c>
      <c r="C735" s="3" t="inlineStr">
        <is>
          <t>已簽收</t>
        </is>
      </c>
      <c r="D735" s="3" t="inlineStr">
        <is>
          <t>2026-07-03 18:19:32</t>
        </is>
      </c>
      <c r="E735" s="3" t="inlineStr">
        <is>
          <t>2026-07-04 10:36</t>
        </is>
      </c>
      <c r="F735" s="3" t="n">
        <v>16.86</v>
      </c>
      <c r="G735" s="3" t="n">
        <v>2</v>
      </c>
      <c r="H735" s="3" t="n"/>
      <c r="I735" s="3" t="inlineStr"/>
      <c r="J735" s="3" t="inlineStr">
        <is>
          <t>Keeta</t>
        </is>
      </c>
      <c r="K735" s="3" t="inlineStr">
        <is>
          <t>****9568</t>
        </is>
      </c>
      <c r="L735" s="3" t="n"/>
      <c r="M735" s="3" t="inlineStr">
        <is>
          <t>***** 物流中心5樓</t>
        </is>
      </c>
      <c r="N735" s="3" t="inlineStr">
        <is>
          <t>北区</t>
        </is>
      </c>
      <c r="O735" s="3" t="inlineStr">
        <is>
          <t>香港</t>
        </is>
      </c>
      <c r="P735" s="3" t="inlineStr">
        <is>
          <t>香港特别行政区</t>
        </is>
      </c>
      <c r="Q735" s="3" t="n">
        <v>408884</v>
      </c>
      <c r="R735" s="3" t="inlineStr">
        <is>
          <t>麥當勞(新望大廈)McDonalds</t>
        </is>
      </c>
      <c r="S735" s="3" t="inlineStr">
        <is>
          <t>****23917608</t>
        </is>
      </c>
      <c r="T735" s="3" t="inlineStr">
        <is>
          <t>****23917608</t>
        </is>
      </c>
      <c r="U735" s="3" t="inlineStr">
        <is>
          <t>***** 庫及地下入口</t>
        </is>
      </c>
      <c r="V735" s="3" t="inlineStr">
        <is>
          <t>香港</t>
        </is>
      </c>
      <c r="W735" s="3" t="inlineStr">
        <is>
          <t>纸袋【通版】/ 箱出, 机纸/小票纸 / 包出</t>
        </is>
      </c>
      <c r="X735" s="3" t="inlineStr">
        <is>
          <t>ESS-SFTS-OTMS</t>
        </is>
      </c>
      <c r="Y735" s="3" t="n"/>
      <c r="Z735" s="3" t="inlineStr"/>
      <c r="AA735" s="3" t="inlineStr">
        <is>
          <t>寄付月結</t>
        </is>
      </c>
      <c r="AB735">
        <f>IFERROR(VLOOKUP(Q735&amp;"",對照表!$A:$B,1,FALSE),"")</f>
        <v/>
      </c>
      <c r="AC735">
        <f>IFERROR(VLOOKUP(Q735&amp;"",對照表!$A:$B,2,FALSE),"")</f>
        <v/>
      </c>
    </row>
    <row r="736">
      <c r="A736" s="3" t="inlineStr">
        <is>
          <t>SF5119018987438</t>
        </is>
      </c>
      <c r="B736" s="3" t="n">
        <v>58426948452378</v>
      </c>
      <c r="C736" s="3" t="inlineStr">
        <is>
          <t>已簽收</t>
        </is>
      </c>
      <c r="D736" s="3" t="inlineStr">
        <is>
          <t>2026-07-03 18:02:37</t>
        </is>
      </c>
      <c r="E736" s="3" t="inlineStr">
        <is>
          <t>2026-07-04 12:33</t>
        </is>
      </c>
      <c r="F736" s="3" t="n">
        <v>30</v>
      </c>
      <c r="G736" s="3" t="n">
        <v>2</v>
      </c>
      <c r="H736" s="3" t="n"/>
      <c r="I736" s="3" t="inlineStr"/>
      <c r="J736" s="3" t="inlineStr">
        <is>
          <t>Keeta</t>
        </is>
      </c>
      <c r="K736" s="3" t="inlineStr">
        <is>
          <t>****9568</t>
        </is>
      </c>
      <c r="L736" s="3" t="n"/>
      <c r="M736" s="3" t="inlineStr">
        <is>
          <t>***** 物流中心5樓</t>
        </is>
      </c>
      <c r="N736" s="3" t="inlineStr">
        <is>
          <t>北区</t>
        </is>
      </c>
      <c r="O736" s="3" t="inlineStr">
        <is>
          <t>香港</t>
        </is>
      </c>
      <c r="P736" s="3" t="inlineStr">
        <is>
          <t>香港特别行政区</t>
        </is>
      </c>
      <c r="Q736" s="3" t="n">
        <v>462066</v>
      </c>
      <c r="R736" s="3" t="inlineStr">
        <is>
          <t>麥當勞(太和)McDonalds</t>
        </is>
      </c>
      <c r="S736" s="3" t="inlineStr">
        <is>
          <t>****26509136</t>
        </is>
      </c>
      <c r="T736" s="3" t="inlineStr">
        <is>
          <t>****26509136</t>
        </is>
      </c>
      <c r="U736" s="3" t="inlineStr">
        <is>
          <t>***** 場102號舖</t>
        </is>
      </c>
      <c r="V736" s="3" t="inlineStr">
        <is>
          <t>香港</t>
        </is>
      </c>
      <c r="W736" s="3" t="inlineStr">
        <is>
          <t>纸袋【通版】/ 箱出</t>
        </is>
      </c>
      <c r="X736" s="3" t="inlineStr">
        <is>
          <t>ESS-SFTS-OTMS</t>
        </is>
      </c>
      <c r="Y736" s="3" t="n"/>
      <c r="Z736" s="3" t="inlineStr"/>
      <c r="AA736" s="3" t="inlineStr">
        <is>
          <t>寄付月結</t>
        </is>
      </c>
      <c r="AB736">
        <f>IFERROR(VLOOKUP(Q736&amp;"",對照表!$A:$B,1,FALSE),"")</f>
        <v/>
      </c>
      <c r="AC736">
        <f>IFERROR(VLOOKUP(Q736&amp;"",對照表!$A:$B,2,FALSE),"")</f>
        <v/>
      </c>
    </row>
    <row r="737">
      <c r="A737" s="3" t="inlineStr">
        <is>
          <t>SF5119018987571</t>
        </is>
      </c>
      <c r="B737" s="3" t="n">
        <v>58426948452408</v>
      </c>
      <c r="C737" s="3" t="inlineStr">
        <is>
          <t>已簽收</t>
        </is>
      </c>
      <c r="D737" s="3" t="inlineStr">
        <is>
          <t>2026-07-03 17:49:47</t>
        </is>
      </c>
      <c r="E737" s="3" t="inlineStr">
        <is>
          <t>2026-07-04 10:46</t>
        </is>
      </c>
      <c r="F737" s="3" t="n">
        <v>14.5</v>
      </c>
      <c r="G737" s="3" t="n">
        <v>1</v>
      </c>
      <c r="H737" s="3" t="n"/>
      <c r="I737" s="3" t="inlineStr"/>
      <c r="J737" s="3" t="inlineStr">
        <is>
          <t>Keeta</t>
        </is>
      </c>
      <c r="K737" s="3" t="inlineStr">
        <is>
          <t>****9568</t>
        </is>
      </c>
      <c r="L737" s="3" t="n"/>
      <c r="M737" s="3" t="inlineStr">
        <is>
          <t>***** 物流中心5樓</t>
        </is>
      </c>
      <c r="N737" s="3" t="inlineStr">
        <is>
          <t>北区</t>
        </is>
      </c>
      <c r="O737" s="3" t="inlineStr">
        <is>
          <t>香港</t>
        </is>
      </c>
      <c r="P737" s="3" t="inlineStr">
        <is>
          <t>香港特别行政区</t>
        </is>
      </c>
      <c r="Q737" s="3" t="n">
        <v>455517</v>
      </c>
      <c r="R737" s="3" t="inlineStr">
        <is>
          <t>NoodFood(K11MUSEA)</t>
        </is>
      </c>
      <c r="S737" s="3" t="inlineStr">
        <is>
          <t>****22985456</t>
        </is>
      </c>
      <c r="T737" s="3" t="inlineStr">
        <is>
          <t>****22985456</t>
        </is>
      </c>
      <c r="U737" s="3" t="inlineStr">
        <is>
          <t>*****  6樓611</t>
        </is>
      </c>
      <c r="V737" s="3" t="inlineStr">
        <is>
          <t>香港</t>
        </is>
      </c>
      <c r="W737" s="3" t="inlineStr">
        <is>
          <t>纸袋【通版】/ 箱出</t>
        </is>
      </c>
      <c r="X737" s="3" t="inlineStr">
        <is>
          <t>ESS-SFTS-OTMS</t>
        </is>
      </c>
      <c r="Y737" s="3" t="n"/>
      <c r="Z737" s="3" t="inlineStr"/>
      <c r="AA737" s="3" t="inlineStr">
        <is>
          <t>寄付月結</t>
        </is>
      </c>
      <c r="AB737">
        <f>IFERROR(VLOOKUP(Q737&amp;"",對照表!$A:$B,1,FALSE),"")</f>
        <v/>
      </c>
      <c r="AC737">
        <f>IFERROR(VLOOKUP(Q737&amp;"",對照表!$A:$B,2,FALSE),"")</f>
        <v/>
      </c>
    </row>
    <row r="738">
      <c r="A738" s="3" t="inlineStr">
        <is>
          <t>SF5119018987535</t>
        </is>
      </c>
      <c r="B738" s="3" t="n">
        <v>58426948452401</v>
      </c>
      <c r="C738" s="3" t="inlineStr">
        <is>
          <t>已簽收</t>
        </is>
      </c>
      <c r="D738" s="3" t="inlineStr">
        <is>
          <t>2026-07-03 18:01:59</t>
        </is>
      </c>
      <c r="E738" s="3" t="inlineStr">
        <is>
          <t>2026-07-04 11:50</t>
        </is>
      </c>
      <c r="F738" s="3" t="n">
        <v>30</v>
      </c>
      <c r="G738" s="3" t="n">
        <v>2</v>
      </c>
      <c r="H738" s="3" t="n"/>
      <c r="I738" s="3" t="inlineStr"/>
      <c r="J738" s="3" t="inlineStr">
        <is>
          <t>Keeta</t>
        </is>
      </c>
      <c r="K738" s="3" t="inlineStr">
        <is>
          <t>****9568</t>
        </is>
      </c>
      <c r="L738" s="3" t="n"/>
      <c r="M738" s="3" t="inlineStr">
        <is>
          <t>***** 物流中心5樓</t>
        </is>
      </c>
      <c r="N738" s="3" t="inlineStr">
        <is>
          <t>北区</t>
        </is>
      </c>
      <c r="O738" s="3" t="inlineStr">
        <is>
          <t>香港</t>
        </is>
      </c>
      <c r="P738" s="3" t="inlineStr">
        <is>
          <t>香港特别行政区</t>
        </is>
      </c>
      <c r="Q738" s="3" t="n">
        <v>576494</v>
      </c>
      <c r="R738" s="3" t="inlineStr">
        <is>
          <t>MonsieurCHATT(上環)全新推出性價比極高一人健康餐</t>
        </is>
      </c>
      <c r="S738" s="3" t="inlineStr">
        <is>
          <t>****31058077</t>
        </is>
      </c>
      <c r="T738" s="3" t="inlineStr">
        <is>
          <t>****31058077</t>
        </is>
      </c>
      <c r="U738" s="3" t="inlineStr">
        <is>
          <t>***** 街91號地舖</t>
        </is>
      </c>
      <c r="V738" s="3" t="inlineStr">
        <is>
          <t>香港</t>
        </is>
      </c>
      <c r="W738" s="3" t="inlineStr">
        <is>
          <t>纸袋【通版】/ 箱出</t>
        </is>
      </c>
      <c r="X738" s="3" t="inlineStr">
        <is>
          <t>ESS-SFTS-OTMS</t>
        </is>
      </c>
      <c r="Y738" s="3" t="n"/>
      <c r="Z738" s="3" t="inlineStr"/>
      <c r="AA738" s="3" t="inlineStr">
        <is>
          <t>寄付月結</t>
        </is>
      </c>
      <c r="AB738">
        <f>IFERROR(VLOOKUP(Q738&amp;"",對照表!$A:$B,1,FALSE),"")</f>
        <v/>
      </c>
      <c r="AC738">
        <f>IFERROR(VLOOKUP(Q738&amp;"",對照表!$A:$B,2,FALSE),"")</f>
        <v/>
      </c>
    </row>
    <row r="739">
      <c r="A739" s="3" t="inlineStr">
        <is>
          <t>SF5119018987517</t>
        </is>
      </c>
      <c r="B739" s="3" t="n">
        <v>58426948452396</v>
      </c>
      <c r="C739" s="3" t="inlineStr">
        <is>
          <t>已簽收</t>
        </is>
      </c>
      <c r="D739" s="3" t="inlineStr">
        <is>
          <t>2026-07-03 17:29:48</t>
        </is>
      </c>
      <c r="E739" s="3" t="inlineStr">
        <is>
          <t>2026-07-04 11:05</t>
        </is>
      </c>
      <c r="F739" s="3" t="n">
        <v>4.45</v>
      </c>
      <c r="G739" s="3" t="n">
        <v>1</v>
      </c>
      <c r="H739" s="3" t="n"/>
      <c r="I739" s="3" t="inlineStr"/>
      <c r="J739" s="3" t="inlineStr">
        <is>
          <t>Keeta</t>
        </is>
      </c>
      <c r="K739" s="3" t="inlineStr">
        <is>
          <t>****9568</t>
        </is>
      </c>
      <c r="L739" s="3" t="n"/>
      <c r="M739" s="3" t="inlineStr">
        <is>
          <t>***** 物流中心5樓</t>
        </is>
      </c>
      <c r="N739" s="3" t="inlineStr">
        <is>
          <t>北区</t>
        </is>
      </c>
      <c r="O739" s="3" t="inlineStr">
        <is>
          <t>香港</t>
        </is>
      </c>
      <c r="P739" s="3" t="inlineStr">
        <is>
          <t>香港特别行政区</t>
        </is>
      </c>
      <c r="Q739" s="3" t="n">
        <v>408912</v>
      </c>
      <c r="R739" s="3" t="inlineStr">
        <is>
          <t>翠豐冰廳牛頭角</t>
        </is>
      </c>
      <c r="S739" s="3" t="inlineStr">
        <is>
          <t>****21173523</t>
        </is>
      </c>
      <c r="T739" s="3" t="inlineStr">
        <is>
          <t>****21173523</t>
        </is>
      </c>
      <c r="U739" s="3" t="inlineStr">
        <is>
          <t>***** 號地舖後部分</t>
        </is>
      </c>
      <c r="V739" s="3" t="inlineStr">
        <is>
          <t>香港</t>
        </is>
      </c>
      <c r="W739" s="3" t="inlineStr">
        <is>
          <t>机纸/小票纸 / 包出</t>
        </is>
      </c>
      <c r="X739" s="3" t="inlineStr">
        <is>
          <t>ESS-SFTS-OTMS</t>
        </is>
      </c>
      <c r="Y739" s="3" t="n"/>
      <c r="Z739" s="3" t="inlineStr"/>
      <c r="AA739" s="3" t="inlineStr">
        <is>
          <t>寄付月結</t>
        </is>
      </c>
      <c r="AB739">
        <f>IFERROR(VLOOKUP(Q739&amp;"",對照表!$A:$B,1,FALSE),"")</f>
        <v/>
      </c>
      <c r="AC739">
        <f>IFERROR(VLOOKUP(Q739&amp;"",對照表!$A:$B,2,FALSE),"")</f>
        <v/>
      </c>
    </row>
    <row r="740">
      <c r="A740" s="3" t="inlineStr">
        <is>
          <t>SF5119018987817</t>
        </is>
      </c>
      <c r="B740" s="3" t="n">
        <v>58426948452461</v>
      </c>
      <c r="C740" s="3" t="inlineStr">
        <is>
          <t>已簽收</t>
        </is>
      </c>
      <c r="D740" s="3" t="inlineStr">
        <is>
          <t>2026-07-03 17:57:55</t>
        </is>
      </c>
      <c r="E740" s="3" t="inlineStr">
        <is>
          <t>2026-07-04 12:37</t>
        </is>
      </c>
      <c r="F740" s="3" t="n">
        <v>4.04</v>
      </c>
      <c r="G740" s="3" t="n">
        <v>1</v>
      </c>
      <c r="H740" s="3" t="n"/>
      <c r="I740" s="3" t="inlineStr"/>
      <c r="J740" s="3" t="inlineStr">
        <is>
          <t>Keeta</t>
        </is>
      </c>
      <c r="K740" s="3" t="inlineStr">
        <is>
          <t>****9568</t>
        </is>
      </c>
      <c r="L740" s="3" t="n"/>
      <c r="M740" s="3" t="inlineStr">
        <is>
          <t>***** 物流中心5樓</t>
        </is>
      </c>
      <c r="N740" s="3" t="inlineStr">
        <is>
          <t>北区</t>
        </is>
      </c>
      <c r="O740" s="3" t="inlineStr">
        <is>
          <t>香港</t>
        </is>
      </c>
      <c r="P740" s="3" t="inlineStr">
        <is>
          <t>香港特别行政区</t>
        </is>
      </c>
      <c r="Q740" s="3" t="n">
        <v>721540384</v>
      </c>
      <c r="R740" s="3" t="inlineStr">
        <is>
          <t>樂不思蜀（紅磡地道川味小吃， 招牌牛肉麵</t>
        </is>
      </c>
      <c r="S740" s="3" t="inlineStr">
        <is>
          <t>****98992061</t>
        </is>
      </c>
      <c r="T740" s="3" t="inlineStr">
        <is>
          <t>****98992061</t>
        </is>
      </c>
      <c r="U740" s="3" t="inlineStr">
        <is>
          <t>***** 8號及9號舖</t>
        </is>
      </c>
      <c r="V740" s="3" t="inlineStr">
        <is>
          <t>香港</t>
        </is>
      </c>
      <c r="W740" s="3" t="inlineStr">
        <is>
          <t>机纸/小票纸 / 包出, 封签【通版】/ 扎出</t>
        </is>
      </c>
      <c r="X740" s="3" t="inlineStr">
        <is>
          <t>ESS-SFTS-OTMS</t>
        </is>
      </c>
      <c r="Y740" s="3" t="n"/>
      <c r="Z740" s="3" t="inlineStr"/>
      <c r="AA740" s="3" t="inlineStr">
        <is>
          <t>寄付月結</t>
        </is>
      </c>
      <c r="AB740">
        <f>IFERROR(VLOOKUP(Q740&amp;"",對照表!$A:$B,1,FALSE),"")</f>
        <v/>
      </c>
      <c r="AC740">
        <f>IFERROR(VLOOKUP(Q740&amp;"",對照表!$A:$B,2,FALSE),"")</f>
        <v/>
      </c>
    </row>
    <row r="741">
      <c r="A741" s="3" t="inlineStr">
        <is>
          <t>SF5119018987701</t>
        </is>
      </c>
      <c r="B741" s="3" t="n">
        <v>58426948452438</v>
      </c>
      <c r="C741" s="3" t="inlineStr">
        <is>
          <t>已簽收</t>
        </is>
      </c>
      <c r="D741" s="3" t="inlineStr">
        <is>
          <t>2026-07-03 17:48:46</t>
        </is>
      </c>
      <c r="E741" s="3" t="inlineStr">
        <is>
          <t>2026-07-04 10:59</t>
        </is>
      </c>
      <c r="F741" s="3" t="n">
        <v>3.2</v>
      </c>
      <c r="G741" s="3" t="n">
        <v>1</v>
      </c>
      <c r="H741" s="3" t="n"/>
      <c r="I741" s="3" t="inlineStr"/>
      <c r="J741" s="3" t="inlineStr">
        <is>
          <t>Keeta</t>
        </is>
      </c>
      <c r="K741" s="3" t="inlineStr">
        <is>
          <t>****9568</t>
        </is>
      </c>
      <c r="L741" s="3" t="n"/>
      <c r="M741" s="3" t="inlineStr">
        <is>
          <t>***** 物流中心5樓</t>
        </is>
      </c>
      <c r="N741" s="3" t="inlineStr">
        <is>
          <t>北区</t>
        </is>
      </c>
      <c r="O741" s="3" t="inlineStr">
        <is>
          <t>香港</t>
        </is>
      </c>
      <c r="P741" s="3" t="inlineStr">
        <is>
          <t>香港特别行政区</t>
        </is>
      </c>
      <c r="Q741" s="3" t="n">
        <v>471795</v>
      </c>
      <c r="R741" s="3" t="inlineStr">
        <is>
          <t>金滿園茶餐廳</t>
        </is>
      </c>
      <c r="S741" s="3" t="inlineStr">
        <is>
          <t>****26435666</t>
        </is>
      </c>
      <c r="T741" s="3" t="inlineStr">
        <is>
          <t>****26435666</t>
        </is>
      </c>
      <c r="U741" s="3" t="inlineStr">
        <is>
          <t>***** 園地下24號</t>
        </is>
      </c>
      <c r="V741" s="3" t="inlineStr">
        <is>
          <t>香港</t>
        </is>
      </c>
      <c r="W741" s="3" t="inlineStr">
        <is>
          <t>机纸/小票纸 / 包出</t>
        </is>
      </c>
      <c r="X741" s="3" t="inlineStr">
        <is>
          <t>ESS-SFTS-OTMS</t>
        </is>
      </c>
      <c r="Y741" s="3" t="n"/>
      <c r="Z741" s="3" t="inlineStr"/>
      <c r="AA741" s="3" t="inlineStr">
        <is>
          <t>寄付月結</t>
        </is>
      </c>
      <c r="AB741">
        <f>IFERROR(VLOOKUP(Q741&amp;"",對照表!$A:$B,1,FALSE),"")</f>
        <v/>
      </c>
      <c r="AC741">
        <f>IFERROR(VLOOKUP(Q741&amp;"",對照表!$A:$B,2,FALSE),"")</f>
        <v/>
      </c>
    </row>
    <row r="742">
      <c r="A742" s="3" t="inlineStr">
        <is>
          <t>SF5119018987456</t>
        </is>
      </c>
      <c r="B742" s="3" t="n">
        <v>58426948452384</v>
      </c>
      <c r="C742" s="3" t="inlineStr">
        <is>
          <t>已簽收</t>
        </is>
      </c>
      <c r="D742" s="3" t="inlineStr">
        <is>
          <t>2026-07-03 17:29:53</t>
        </is>
      </c>
      <c r="E742" s="3" t="inlineStr">
        <is>
          <t>2026-07-04 11:32</t>
        </is>
      </c>
      <c r="F742" s="3" t="n">
        <v>4.45</v>
      </c>
      <c r="G742" s="3" t="n">
        <v>1</v>
      </c>
      <c r="H742" s="3" t="n"/>
      <c r="I742" s="3" t="inlineStr"/>
      <c r="J742" s="3" t="inlineStr">
        <is>
          <t>Keeta</t>
        </is>
      </c>
      <c r="K742" s="3" t="inlineStr">
        <is>
          <t>****9568</t>
        </is>
      </c>
      <c r="L742" s="3" t="n"/>
      <c r="M742" s="3" t="inlineStr">
        <is>
          <t>***** 物流中心5樓</t>
        </is>
      </c>
      <c r="N742" s="3" t="inlineStr">
        <is>
          <t>北区</t>
        </is>
      </c>
      <c r="O742" s="3" t="inlineStr">
        <is>
          <t>香港</t>
        </is>
      </c>
      <c r="P742" s="3" t="inlineStr">
        <is>
          <t>香港特别行政区</t>
        </is>
      </c>
      <c r="Q742" s="3" t="n">
        <v>584616</v>
      </c>
      <c r="R742" s="3" t="inlineStr">
        <is>
          <t>太興(電氣道)</t>
        </is>
      </c>
      <c r="S742" s="3" t="inlineStr">
        <is>
          <t>****27650200</t>
        </is>
      </c>
      <c r="T742" s="3" t="inlineStr">
        <is>
          <t>****27650200</t>
        </is>
      </c>
      <c r="U742" s="3" t="inlineStr">
        <is>
          <t>***** -13 號舖</t>
        </is>
      </c>
      <c r="V742" s="3" t="inlineStr">
        <is>
          <t>香港</t>
        </is>
      </c>
      <c r="W742" s="3" t="inlineStr">
        <is>
          <t>机纸/小票纸 / 包出</t>
        </is>
      </c>
      <c r="X742" s="3" t="inlineStr">
        <is>
          <t>ESS-SFTS-OTMS</t>
        </is>
      </c>
      <c r="Y742" s="3" t="n"/>
      <c r="Z742" s="3" t="inlineStr"/>
      <c r="AA742" s="3" t="inlineStr">
        <is>
          <t>寄付月結</t>
        </is>
      </c>
      <c r="AB742">
        <f>IFERROR(VLOOKUP(Q742&amp;"",對照表!$A:$B,1,FALSE),"")</f>
        <v/>
      </c>
      <c r="AC742">
        <f>IFERROR(VLOOKUP(Q742&amp;"",對照表!$A:$B,2,FALSE),"")</f>
        <v/>
      </c>
    </row>
    <row r="743">
      <c r="A743" s="3" t="inlineStr">
        <is>
          <t>SF5119018987844</t>
        </is>
      </c>
      <c r="B743" s="3" t="n">
        <v>58426948452467</v>
      </c>
      <c r="C743" s="3" t="inlineStr">
        <is>
          <t>已簽收</t>
        </is>
      </c>
      <c r="D743" s="3" t="inlineStr">
        <is>
          <t>2026-07-03 17:31:22</t>
        </is>
      </c>
      <c r="E743" s="3" t="inlineStr">
        <is>
          <t>2026-07-04 11:56</t>
        </is>
      </c>
      <c r="F743" s="3" t="n">
        <v>4.45</v>
      </c>
      <c r="G743" s="3" t="n">
        <v>1</v>
      </c>
      <c r="H743" s="3" t="n"/>
      <c r="I743" s="3" t="inlineStr"/>
      <c r="J743" s="3" t="inlineStr">
        <is>
          <t>Keeta</t>
        </is>
      </c>
      <c r="K743" s="3" t="inlineStr">
        <is>
          <t>****9568</t>
        </is>
      </c>
      <c r="L743" s="3" t="n"/>
      <c r="M743" s="3" t="inlineStr">
        <is>
          <t>***** 物流中心5樓</t>
        </is>
      </c>
      <c r="N743" s="3" t="inlineStr">
        <is>
          <t>北区</t>
        </is>
      </c>
      <c r="O743" s="3" t="inlineStr">
        <is>
          <t>香港</t>
        </is>
      </c>
      <c r="P743" s="3" t="inlineStr">
        <is>
          <t>香港特别行政区</t>
        </is>
      </c>
      <c r="Q743" s="3" t="n">
        <v>462989</v>
      </c>
      <c r="R743" s="3" t="inlineStr">
        <is>
          <t>大街小館(D2)港式新派甜品</t>
        </is>
      </c>
      <c r="S743" s="3" t="inlineStr">
        <is>
          <t>****51275901</t>
        </is>
      </c>
      <c r="T743" s="3" t="inlineStr">
        <is>
          <t>****51275901</t>
        </is>
      </c>
      <c r="U743" s="3" t="inlineStr">
        <is>
          <t>***** 樓K18號舖</t>
        </is>
      </c>
      <c r="V743" s="3" t="inlineStr">
        <is>
          <t>香港</t>
        </is>
      </c>
      <c r="W743" s="3" t="inlineStr">
        <is>
          <t>机纸/小票纸 / 包出</t>
        </is>
      </c>
      <c r="X743" s="3" t="inlineStr">
        <is>
          <t>ESS-SFTS-OTMS</t>
        </is>
      </c>
      <c r="Y743" s="3" t="n"/>
      <c r="Z743" s="3" t="inlineStr"/>
      <c r="AA743" s="3" t="inlineStr">
        <is>
          <t>寄付月結</t>
        </is>
      </c>
      <c r="AB743">
        <f>IFERROR(VLOOKUP(Q743&amp;"",對照表!$A:$B,1,FALSE),"")</f>
        <v/>
      </c>
      <c r="AC743">
        <f>IFERROR(VLOOKUP(Q743&amp;"",對照表!$A:$B,2,FALSE),"")</f>
        <v/>
      </c>
    </row>
    <row r="744">
      <c r="A744" s="3" t="inlineStr">
        <is>
          <t>SF5119018987765</t>
        </is>
      </c>
      <c r="B744" s="3" t="n">
        <v>58426948452449</v>
      </c>
      <c r="C744" s="3" t="inlineStr">
        <is>
          <t>已簽收</t>
        </is>
      </c>
      <c r="D744" s="3" t="inlineStr">
        <is>
          <t>2026-07-03 17:31:13</t>
        </is>
      </c>
      <c r="E744" s="3" t="inlineStr">
        <is>
          <t>2026-07-04 12:55</t>
        </is>
      </c>
      <c r="F744" s="3" t="n">
        <v>4.45</v>
      </c>
      <c r="G744" s="3" t="n">
        <v>1</v>
      </c>
      <c r="H744" s="3" t="n"/>
      <c r="I744" s="3" t="inlineStr"/>
      <c r="J744" s="3" t="inlineStr">
        <is>
          <t>Keeta</t>
        </is>
      </c>
      <c r="K744" s="3" t="inlineStr">
        <is>
          <t>****9568</t>
        </is>
      </c>
      <c r="L744" s="3" t="n"/>
      <c r="M744" s="3" t="inlineStr">
        <is>
          <t>***** 物流中心5樓</t>
        </is>
      </c>
      <c r="N744" s="3" t="inlineStr">
        <is>
          <t>北区</t>
        </is>
      </c>
      <c r="O744" s="3" t="inlineStr">
        <is>
          <t>香港</t>
        </is>
      </c>
      <c r="P744" s="3" t="inlineStr">
        <is>
          <t>香港特别行政区</t>
        </is>
      </c>
      <c r="Q744" s="3" t="n">
        <v>597423</v>
      </c>
      <c r="R744" s="3" t="inlineStr">
        <is>
          <t>沙嗲王(樂富廣場)</t>
        </is>
      </c>
      <c r="S744" s="3" t="inlineStr">
        <is>
          <t>****21267348</t>
        </is>
      </c>
      <c r="T744" s="3" t="inlineStr">
        <is>
          <t>****21267348</t>
        </is>
      </c>
      <c r="U744" s="3" t="inlineStr">
        <is>
          <t>***** 1102號舖</t>
        </is>
      </c>
      <c r="V744" s="3" t="inlineStr">
        <is>
          <t>香港</t>
        </is>
      </c>
      <c r="W744" s="3" t="inlineStr">
        <is>
          <t>机纸/小票纸 / 包出</t>
        </is>
      </c>
      <c r="X744" s="3" t="inlineStr">
        <is>
          <t>ESS-SFTS-OTMS</t>
        </is>
      </c>
      <c r="Y744" s="3" t="n"/>
      <c r="Z744" s="3" t="inlineStr"/>
      <c r="AA744" s="3" t="inlineStr">
        <is>
          <t>寄付月結</t>
        </is>
      </c>
      <c r="AB744">
        <f>IFERROR(VLOOKUP(Q744&amp;"",對照表!$A:$B,1,FALSE),"")</f>
        <v/>
      </c>
      <c r="AC744">
        <f>IFERROR(VLOOKUP(Q744&amp;"",對照表!$A:$B,2,FALSE),"")</f>
        <v/>
      </c>
    </row>
    <row r="745">
      <c r="A745" s="3" t="inlineStr">
        <is>
          <t>SF5119018987623</t>
        </is>
      </c>
      <c r="B745" s="3" t="n">
        <v>58426948452420</v>
      </c>
      <c r="C745" s="3" t="inlineStr">
        <is>
          <t>已簽收</t>
        </is>
      </c>
      <c r="D745" s="3" t="inlineStr">
        <is>
          <t>2026-07-03 17:49:58</t>
        </is>
      </c>
      <c r="E745" s="3" t="inlineStr">
        <is>
          <t>2026-07-04 14:24</t>
        </is>
      </c>
      <c r="F745" s="3" t="n">
        <v>14.5</v>
      </c>
      <c r="G745" s="3" t="n">
        <v>1</v>
      </c>
      <c r="H745" s="3" t="n"/>
      <c r="I745" s="3" t="inlineStr"/>
      <c r="J745" s="3" t="inlineStr">
        <is>
          <t>Keeta</t>
        </is>
      </c>
      <c r="K745" s="3" t="inlineStr">
        <is>
          <t>****9568</t>
        </is>
      </c>
      <c r="L745" s="3" t="n"/>
      <c r="M745" s="3" t="inlineStr">
        <is>
          <t>***** 物流中心5樓</t>
        </is>
      </c>
      <c r="N745" s="3" t="inlineStr">
        <is>
          <t>北区</t>
        </is>
      </c>
      <c r="O745" s="3" t="inlineStr">
        <is>
          <t>香港</t>
        </is>
      </c>
      <c r="P745" s="3" t="inlineStr">
        <is>
          <t>香港特别行政区</t>
        </is>
      </c>
      <c r="Q745" s="3" t="n">
        <v>721515370</v>
      </c>
      <c r="R745" s="3" t="inlineStr">
        <is>
          <t>麥當勞(麗港城)McDonalds</t>
        </is>
      </c>
      <c r="S745" s="3" t="inlineStr">
        <is>
          <t>****23463285</t>
        </is>
      </c>
      <c r="T745" s="3" t="inlineStr">
        <is>
          <t>****23463285</t>
        </is>
      </c>
      <c r="U745" s="3" t="inlineStr">
        <is>
          <t>***** 下6-9號舖</t>
        </is>
      </c>
      <c r="V745" s="3" t="inlineStr">
        <is>
          <t>香港</t>
        </is>
      </c>
      <c r="W745" s="3" t="inlineStr">
        <is>
          <t>纸袋【通版】/ 箱出</t>
        </is>
      </c>
      <c r="X745" s="3" t="inlineStr">
        <is>
          <t>ESS-SFTS-OTMS</t>
        </is>
      </c>
      <c r="Y745" s="3" t="n"/>
      <c r="Z745" s="3" t="inlineStr"/>
      <c r="AA745" s="3" t="inlineStr">
        <is>
          <t>寄付月結</t>
        </is>
      </c>
      <c r="AB745">
        <f>IFERROR(VLOOKUP(Q745&amp;"",對照表!$A:$B,1,FALSE),"")</f>
        <v/>
      </c>
      <c r="AC745">
        <f>IFERROR(VLOOKUP(Q745&amp;"",對照表!$A:$B,2,FALSE),"")</f>
        <v/>
      </c>
    </row>
    <row r="746">
      <c r="A746" s="3" t="inlineStr">
        <is>
          <t>SF5119018987562</t>
        </is>
      </c>
      <c r="B746" s="3" t="n">
        <v>58426948452406</v>
      </c>
      <c r="C746" s="3" t="inlineStr">
        <is>
          <t>已簽收</t>
        </is>
      </c>
      <c r="D746" s="3" t="inlineStr">
        <is>
          <t>2026-07-03 17:50:04</t>
        </is>
      </c>
      <c r="E746" s="3" t="inlineStr">
        <is>
          <t>2026-07-04 17:20</t>
        </is>
      </c>
      <c r="F746" s="3" t="n">
        <v>14.5</v>
      </c>
      <c r="G746" s="3" t="n">
        <v>1</v>
      </c>
      <c r="H746" s="3" t="n"/>
      <c r="I746" s="3" t="inlineStr"/>
      <c r="J746" s="3" t="inlineStr">
        <is>
          <t>Keeta</t>
        </is>
      </c>
      <c r="K746" s="3" t="inlineStr">
        <is>
          <t>****9568</t>
        </is>
      </c>
      <c r="L746" s="3" t="n"/>
      <c r="M746" s="3" t="inlineStr">
        <is>
          <t>***** 物流中心5樓</t>
        </is>
      </c>
      <c r="N746" s="3" t="inlineStr">
        <is>
          <t>北区</t>
        </is>
      </c>
      <c r="O746" s="3" t="inlineStr">
        <is>
          <t>香港</t>
        </is>
      </c>
      <c r="P746" s="3" t="inlineStr">
        <is>
          <t>香港特别行政区</t>
        </is>
      </c>
      <c r="Q746" s="3" t="n">
        <v>721537399</v>
      </c>
      <c r="R746" s="3" t="inlineStr">
        <is>
          <t>粒粒雪糕 (MOKO)</t>
        </is>
      </c>
      <c r="S746" s="3" t="inlineStr">
        <is>
          <t>****6287842</t>
        </is>
      </c>
      <c r="T746" s="3" t="inlineStr">
        <is>
          <t>****6287842</t>
        </is>
      </c>
      <c r="U746" s="3" t="inlineStr">
        <is>
          <t>***** 樓357B舖</t>
        </is>
      </c>
      <c r="V746" s="3" t="inlineStr">
        <is>
          <t>香港</t>
        </is>
      </c>
      <c r="W746" s="3" t="inlineStr">
        <is>
          <t>纸袋【通版】/ 箱出</t>
        </is>
      </c>
      <c r="X746" s="3" t="inlineStr">
        <is>
          <t>ESS-SFTS-OTMS</t>
        </is>
      </c>
      <c r="Y746" s="3" t="n"/>
      <c r="Z746" s="3" t="inlineStr"/>
      <c r="AA746" s="3" t="inlineStr">
        <is>
          <t>寄付月結</t>
        </is>
      </c>
      <c r="AB746">
        <f>IFERROR(VLOOKUP(Q746&amp;"",對照表!$A:$B,1,FALSE),"")</f>
        <v/>
      </c>
      <c r="AC746">
        <f>IFERROR(VLOOKUP(Q746&amp;"",對照表!$A:$B,2,FALSE),"")</f>
        <v/>
      </c>
    </row>
    <row r="747">
      <c r="A747" s="3" t="inlineStr">
        <is>
          <t>SF5119018987580</t>
        </is>
      </c>
      <c r="B747" s="3" t="n">
        <v>58426948452410</v>
      </c>
      <c r="C747" s="3" t="inlineStr">
        <is>
          <t>已簽收</t>
        </is>
      </c>
      <c r="D747" s="3" t="inlineStr">
        <is>
          <t>2026-07-03 18:20:45</t>
        </is>
      </c>
      <c r="E747" s="3" t="inlineStr">
        <is>
          <t>2026-07-04 09:49</t>
        </is>
      </c>
      <c r="F747" s="3" t="n">
        <v>9.9</v>
      </c>
      <c r="G747" s="3" t="n">
        <v>1</v>
      </c>
      <c r="H747" s="3" t="n"/>
      <c r="I747" s="3" t="inlineStr"/>
      <c r="J747" s="3" t="inlineStr">
        <is>
          <t>Keeta</t>
        </is>
      </c>
      <c r="K747" s="3" t="inlineStr">
        <is>
          <t>****9568</t>
        </is>
      </c>
      <c r="L747" s="3" t="n"/>
      <c r="M747" s="3" t="inlineStr">
        <is>
          <t>***** 物流中心5樓</t>
        </is>
      </c>
      <c r="N747" s="3" t="inlineStr">
        <is>
          <t>北区</t>
        </is>
      </c>
      <c r="O747" s="3" t="inlineStr">
        <is>
          <t>香港</t>
        </is>
      </c>
      <c r="P747" s="3" t="inlineStr">
        <is>
          <t>香港特别行政区</t>
        </is>
      </c>
      <c r="Q747" s="3" t="n">
        <v>594115</v>
      </c>
      <c r="R747" s="3" t="inlineStr">
        <is>
          <t>元氣壽司(恆福商業中心)GenkiSushi</t>
        </is>
      </c>
      <c r="S747" s="3" t="inlineStr">
        <is>
          <t>****27360019</t>
        </is>
      </c>
      <c r="T747" s="3" t="inlineStr">
        <is>
          <t>****27360019</t>
        </is>
      </c>
      <c r="U747" s="3" t="inlineStr">
        <is>
          <t>***** 心地庫B2舖</t>
        </is>
      </c>
      <c r="V747" s="3" t="inlineStr">
        <is>
          <t>香港</t>
        </is>
      </c>
      <c r="W747" s="3" t="inlineStr">
        <is>
          <t>无纺布【规格三中号】/ 箱出</t>
        </is>
      </c>
      <c r="X747" s="3" t="inlineStr">
        <is>
          <t>ESS-SFTS-OTMS</t>
        </is>
      </c>
      <c r="Y747" s="3" t="n"/>
      <c r="Z747" s="3" t="inlineStr"/>
      <c r="AA747" s="3" t="inlineStr">
        <is>
          <t>寄付月結</t>
        </is>
      </c>
      <c r="AB747">
        <f>IFERROR(VLOOKUP(Q747&amp;"",對照表!$A:$B,1,FALSE),"")</f>
        <v/>
      </c>
      <c r="AC747">
        <f>IFERROR(VLOOKUP(Q747&amp;"",對照表!$A:$B,2,FALSE),"")</f>
        <v/>
      </c>
    </row>
    <row r="748">
      <c r="A748" s="3" t="inlineStr">
        <is>
          <t>SF5119018987747</t>
        </is>
      </c>
      <c r="B748" s="3" t="n">
        <v>58426948452446</v>
      </c>
      <c r="C748" s="3" t="inlineStr">
        <is>
          <t>已簽收</t>
        </is>
      </c>
      <c r="D748" s="3" t="inlineStr">
        <is>
          <t>2026-07-03 17:31:15</t>
        </is>
      </c>
      <c r="E748" s="3" t="inlineStr">
        <is>
          <t>2026-07-04 13:45</t>
        </is>
      </c>
      <c r="F748" s="3" t="n">
        <v>4.45</v>
      </c>
      <c r="G748" s="3" t="n">
        <v>1</v>
      </c>
      <c r="H748" s="3" t="n"/>
      <c r="I748" s="3" t="inlineStr"/>
      <c r="J748" s="3" t="inlineStr">
        <is>
          <t>Keeta</t>
        </is>
      </c>
      <c r="K748" s="3" t="inlineStr">
        <is>
          <t>****9568</t>
        </is>
      </c>
      <c r="L748" s="3" t="n"/>
      <c r="M748" s="3" t="inlineStr">
        <is>
          <t>***** 物流中心5樓</t>
        </is>
      </c>
      <c r="N748" s="3" t="inlineStr">
        <is>
          <t>北区</t>
        </is>
      </c>
      <c r="O748" s="3" t="inlineStr">
        <is>
          <t>香港</t>
        </is>
      </c>
      <c r="P748" s="3" t="inlineStr">
        <is>
          <t>香港特别行政区</t>
        </is>
      </c>
      <c r="Q748" s="3" t="n">
        <v>721444332</v>
      </c>
      <c r="R748" s="3" t="inlineStr">
        <is>
          <t>一汁一菜ICHIJUISSAI(源成中心)</t>
        </is>
      </c>
      <c r="S748" s="3" t="inlineStr">
        <is>
          <t>****39564717</t>
        </is>
      </c>
      <c r="T748" s="3" t="inlineStr">
        <is>
          <t>****39564717</t>
        </is>
      </c>
      <c r="U748" s="3" t="inlineStr">
        <is>
          <t>***** 源成中心地舖</t>
        </is>
      </c>
      <c r="V748" s="3" t="inlineStr">
        <is>
          <t>香港</t>
        </is>
      </c>
      <c r="W748" s="3" t="inlineStr">
        <is>
          <t>机纸/小票纸 / 包出</t>
        </is>
      </c>
      <c r="X748" s="3" t="inlineStr">
        <is>
          <t>ESS-SFTS-OTMS</t>
        </is>
      </c>
      <c r="Y748" s="3" t="n"/>
      <c r="Z748" s="3" t="inlineStr"/>
      <c r="AA748" s="3" t="inlineStr">
        <is>
          <t>寄付月結</t>
        </is>
      </c>
      <c r="AB748">
        <f>IFERROR(VLOOKUP(Q748&amp;"",對照表!$A:$B,1,FALSE),"")</f>
        <v/>
      </c>
      <c r="AC748">
        <f>IFERROR(VLOOKUP(Q748&amp;"",對照表!$A:$B,2,FALSE),"")</f>
        <v/>
      </c>
    </row>
    <row r="749">
      <c r="A749" s="3" t="inlineStr">
        <is>
          <t>SF5119018987710</t>
        </is>
      </c>
      <c r="B749" s="3" t="n">
        <v>58426948452441</v>
      </c>
      <c r="C749" s="3" t="inlineStr">
        <is>
          <t>已簽收</t>
        </is>
      </c>
      <c r="D749" s="3" t="inlineStr">
        <is>
          <t>2026-07-03 17:49:57</t>
        </is>
      </c>
      <c r="E749" s="3" t="inlineStr">
        <is>
          <t>2026-07-04 13:36</t>
        </is>
      </c>
      <c r="F749" s="3" t="n">
        <v>14.5</v>
      </c>
      <c r="G749" s="3" t="n">
        <v>1</v>
      </c>
      <c r="H749" s="3" t="n"/>
      <c r="I749" s="3" t="inlineStr"/>
      <c r="J749" s="3" t="inlineStr">
        <is>
          <t>Keeta</t>
        </is>
      </c>
      <c r="K749" s="3" t="inlineStr">
        <is>
          <t>****9568</t>
        </is>
      </c>
      <c r="L749" s="3" t="n"/>
      <c r="M749" s="3" t="inlineStr">
        <is>
          <t>***** 物流中心5樓</t>
        </is>
      </c>
      <c r="N749" s="3" t="inlineStr">
        <is>
          <t>北区</t>
        </is>
      </c>
      <c r="O749" s="3" t="inlineStr">
        <is>
          <t>香港</t>
        </is>
      </c>
      <c r="P749" s="3" t="inlineStr">
        <is>
          <t>香港特别行政区</t>
        </is>
      </c>
      <c r="Q749" s="3" t="n">
        <v>475272</v>
      </c>
      <c r="R749" s="3" t="inlineStr">
        <is>
          <t>麥當勞(秦石)McDonalds</t>
        </is>
      </c>
      <c r="S749" s="3" t="inlineStr">
        <is>
          <t>****25275195</t>
        </is>
      </c>
      <c r="T749" s="3" t="inlineStr">
        <is>
          <t>****25275195</t>
        </is>
      </c>
      <c r="U749" s="3" t="inlineStr">
        <is>
          <t>***** 下8+9號舖</t>
        </is>
      </c>
      <c r="V749" s="3" t="inlineStr">
        <is>
          <t>香港</t>
        </is>
      </c>
      <c r="W749" s="3" t="inlineStr">
        <is>
          <t>纸袋【通版】/ 箱出</t>
        </is>
      </c>
      <c r="X749" s="3" t="inlineStr">
        <is>
          <t>ESS-SFTS-OTMS</t>
        </is>
      </c>
      <c r="Y749" s="3" t="n"/>
      <c r="Z749" s="3" t="inlineStr"/>
      <c r="AA749" s="3" t="inlineStr">
        <is>
          <t>寄付月結</t>
        </is>
      </c>
      <c r="AB749">
        <f>IFERROR(VLOOKUP(Q749&amp;"",對照表!$A:$B,1,FALSE),"")</f>
        <v/>
      </c>
      <c r="AC749">
        <f>IFERROR(VLOOKUP(Q749&amp;"",對照表!$A:$B,2,FALSE),"")</f>
        <v/>
      </c>
    </row>
    <row r="750">
      <c r="A750" s="3" t="inlineStr">
        <is>
          <t>SF5119018987696</t>
        </is>
      </c>
      <c r="B750" s="3" t="n">
        <v>58426948452434</v>
      </c>
      <c r="C750" s="3" t="inlineStr">
        <is>
          <t>已簽收</t>
        </is>
      </c>
      <c r="D750" s="3" t="inlineStr">
        <is>
          <t>2026-07-03 17:31:21</t>
        </is>
      </c>
      <c r="E750" s="3" t="inlineStr">
        <is>
          <t>2026-07-04 13:52</t>
        </is>
      </c>
      <c r="F750" s="3" t="n">
        <v>4.45</v>
      </c>
      <c r="G750" s="3" t="n">
        <v>1</v>
      </c>
      <c r="H750" s="3" t="n"/>
      <c r="I750" s="3" t="inlineStr"/>
      <c r="J750" s="3" t="inlineStr">
        <is>
          <t>Keeta</t>
        </is>
      </c>
      <c r="K750" s="3" t="inlineStr">
        <is>
          <t>****9568</t>
        </is>
      </c>
      <c r="L750" s="3" t="n"/>
      <c r="M750" s="3" t="inlineStr">
        <is>
          <t>***** 物流中心5樓</t>
        </is>
      </c>
      <c r="N750" s="3" t="inlineStr">
        <is>
          <t>北区</t>
        </is>
      </c>
      <c r="O750" s="3" t="inlineStr">
        <is>
          <t>香港</t>
        </is>
      </c>
      <c r="P750" s="3" t="inlineStr">
        <is>
          <t>香港特别行政区</t>
        </is>
      </c>
      <c r="Q750" s="3" t="n">
        <v>721528390</v>
      </c>
      <c r="R750" s="3" t="inlineStr">
        <is>
          <t>丹姐雞湯米線</t>
        </is>
      </c>
      <c r="S750" s="3" t="inlineStr">
        <is>
          <t>****62982319</t>
        </is>
      </c>
      <c r="T750" s="3" t="inlineStr">
        <is>
          <t>****62982319</t>
        </is>
      </c>
      <c r="U750" s="3" t="inlineStr">
        <is>
          <t>***** g Kong</t>
        </is>
      </c>
      <c r="V750" s="3" t="inlineStr">
        <is>
          <t>香港</t>
        </is>
      </c>
      <c r="W750" s="3" t="inlineStr">
        <is>
          <t>机纸/小票纸 / 包出</t>
        </is>
      </c>
      <c r="X750" s="3" t="inlineStr">
        <is>
          <t>ESS-SFTS-OTMS</t>
        </is>
      </c>
      <c r="Y750" s="3" t="n"/>
      <c r="Z750" s="3" t="inlineStr"/>
      <c r="AA750" s="3" t="inlineStr">
        <is>
          <t>寄付月結</t>
        </is>
      </c>
      <c r="AB750">
        <f>IFERROR(VLOOKUP(Q750&amp;"",對照表!$A:$B,1,FALSE),"")</f>
        <v/>
      </c>
      <c r="AC750">
        <f>IFERROR(VLOOKUP(Q750&amp;"",對照表!$A:$B,2,FALSE),"")</f>
        <v/>
      </c>
    </row>
    <row r="751">
      <c r="A751" s="3" t="inlineStr">
        <is>
          <t>SF5119018987492</t>
        </is>
      </c>
      <c r="B751" s="3" t="n">
        <v>58426948452393</v>
      </c>
      <c r="C751" s="3" t="inlineStr">
        <is>
          <t>已簽收</t>
        </is>
      </c>
      <c r="D751" s="3" t="inlineStr">
        <is>
          <t>2026-07-03 17:29:54</t>
        </is>
      </c>
      <c r="E751" s="3" t="inlineStr">
        <is>
          <t>2026-07-04 11:46</t>
        </is>
      </c>
      <c r="F751" s="3" t="n">
        <v>4.45</v>
      </c>
      <c r="G751" s="3" t="n">
        <v>1</v>
      </c>
      <c r="H751" s="3" t="n"/>
      <c r="I751" s="3" t="inlineStr"/>
      <c r="J751" s="3" t="inlineStr">
        <is>
          <t>Keeta</t>
        </is>
      </c>
      <c r="K751" s="3" t="inlineStr">
        <is>
          <t>****9568</t>
        </is>
      </c>
      <c r="L751" s="3" t="n"/>
      <c r="M751" s="3" t="inlineStr">
        <is>
          <t>***** 物流中心5樓</t>
        </is>
      </c>
      <c r="N751" s="3" t="inlineStr">
        <is>
          <t>北区</t>
        </is>
      </c>
      <c r="O751" s="3" t="inlineStr">
        <is>
          <t>香港</t>
        </is>
      </c>
      <c r="P751" s="3" t="inlineStr">
        <is>
          <t>香港特别行政区</t>
        </is>
      </c>
      <c r="Q751" s="3" t="n">
        <v>478331</v>
      </c>
      <c r="R751" s="3" t="inlineStr">
        <is>
          <t>越北牛肉粉專門店(元朗)</t>
        </is>
      </c>
      <c r="S751" s="3" t="inlineStr">
        <is>
          <t>****25110988</t>
        </is>
      </c>
      <c r="T751" s="3" t="inlineStr">
        <is>
          <t>****25110988</t>
        </is>
      </c>
      <c r="U751" s="3" t="inlineStr">
        <is>
          <t>***** 下G25號舖</t>
        </is>
      </c>
      <c r="V751" s="3" t="inlineStr">
        <is>
          <t>香港</t>
        </is>
      </c>
      <c r="W751" s="3" t="inlineStr">
        <is>
          <t>机纸/小票纸 / 包出</t>
        </is>
      </c>
      <c r="X751" s="3" t="inlineStr">
        <is>
          <t>ESS-SFTS-OTMS</t>
        </is>
      </c>
      <c r="Y751" s="3" t="n"/>
      <c r="Z751" s="3" t="inlineStr"/>
      <c r="AA751" s="3" t="inlineStr">
        <is>
          <t>寄付月結</t>
        </is>
      </c>
      <c r="AB751">
        <f>IFERROR(VLOOKUP(Q751&amp;"",對照表!$A:$B,1,FALSE),"")</f>
        <v/>
      </c>
      <c r="AC751">
        <f>IFERROR(VLOOKUP(Q751&amp;"",對照表!$A:$B,2,FALSE),"")</f>
        <v/>
      </c>
    </row>
    <row r="752">
      <c r="A752" s="3" t="inlineStr">
        <is>
          <t>SF5119018987650</t>
        </is>
      </c>
      <c r="B752" s="3" t="n">
        <v>58426948452426</v>
      </c>
      <c r="C752" s="3" t="inlineStr">
        <is>
          <t>已簽收</t>
        </is>
      </c>
      <c r="D752" s="3" t="inlineStr">
        <is>
          <t>2026-07-03 18:02:43</t>
        </is>
      </c>
      <c r="E752" s="3" t="inlineStr">
        <is>
          <t>2026-07-04 10:12</t>
        </is>
      </c>
      <c r="F752" s="3" t="n">
        <v>30</v>
      </c>
      <c r="G752" s="3" t="n">
        <v>2</v>
      </c>
      <c r="H752" s="3" t="n"/>
      <c r="I752" s="3" t="inlineStr"/>
      <c r="J752" s="3" t="inlineStr">
        <is>
          <t>Keeta</t>
        </is>
      </c>
      <c r="K752" s="3" t="inlineStr">
        <is>
          <t>****9568</t>
        </is>
      </c>
      <c r="L752" s="3" t="n"/>
      <c r="M752" s="3" t="inlineStr">
        <is>
          <t>***** 物流中心5樓</t>
        </is>
      </c>
      <c r="N752" s="3" t="inlineStr">
        <is>
          <t>北区</t>
        </is>
      </c>
      <c r="O752" s="3" t="inlineStr">
        <is>
          <t>香港</t>
        </is>
      </c>
      <c r="P752" s="3" t="inlineStr">
        <is>
          <t>香港特别行政区</t>
        </is>
      </c>
      <c r="Q752" s="3" t="n">
        <v>458879</v>
      </c>
      <c r="R752" s="3" t="inlineStr">
        <is>
          <t>麥當勞(景光)McDonalds</t>
        </is>
      </c>
      <c r="S752" s="3" t="inlineStr">
        <is>
          <t>****28920197</t>
        </is>
      </c>
      <c r="T752" s="3" t="inlineStr">
        <is>
          <t>****28920197</t>
        </is>
      </c>
      <c r="U752" s="3" t="inlineStr">
        <is>
          <t>***** 慶閣地下A舖</t>
        </is>
      </c>
      <c r="V752" s="3" t="inlineStr">
        <is>
          <t>香港</t>
        </is>
      </c>
      <c r="W752" s="3" t="inlineStr">
        <is>
          <t>纸袋【通版】/ 箱出</t>
        </is>
      </c>
      <c r="X752" s="3" t="inlineStr">
        <is>
          <t>ESS-SFTS-OTMS</t>
        </is>
      </c>
      <c r="Y752" s="3" t="n"/>
      <c r="Z752" s="3" t="inlineStr"/>
      <c r="AA752" s="3" t="inlineStr">
        <is>
          <t>寄付月結</t>
        </is>
      </c>
      <c r="AB752">
        <f>IFERROR(VLOOKUP(Q752&amp;"",對照表!$A:$B,1,FALSE),"")</f>
        <v/>
      </c>
      <c r="AC752">
        <f>IFERROR(VLOOKUP(Q752&amp;"",對照表!$A:$B,2,FALSE),"")</f>
        <v/>
      </c>
    </row>
    <row r="753">
      <c r="A753" s="3" t="inlineStr">
        <is>
          <t>SF5119018987474</t>
        </is>
      </c>
      <c r="B753" s="3" t="n">
        <v>58426948452389</v>
      </c>
      <c r="C753" s="3" t="inlineStr">
        <is>
          <t>已簽收</t>
        </is>
      </c>
      <c r="D753" s="3" t="inlineStr">
        <is>
          <t>2026-07-03 17:49:59</t>
        </is>
      </c>
      <c r="E753" s="3" t="inlineStr">
        <is>
          <t>2026-07-06 15:42</t>
        </is>
      </c>
      <c r="F753" s="3" t="n">
        <v>14.5</v>
      </c>
      <c r="G753" s="3" t="n">
        <v>1</v>
      </c>
      <c r="H753" s="3" t="n"/>
      <c r="I753" s="3" t="inlineStr"/>
      <c r="J753" s="3" t="inlineStr">
        <is>
          <t>Keeta</t>
        </is>
      </c>
      <c r="K753" s="3" t="inlineStr">
        <is>
          <t>****9568</t>
        </is>
      </c>
      <c r="L753" s="3" t="n"/>
      <c r="M753" s="3" t="inlineStr">
        <is>
          <t>***** 物流中心5樓</t>
        </is>
      </c>
      <c r="N753" s="3" t="inlineStr">
        <is>
          <t>北区</t>
        </is>
      </c>
      <c r="O753" s="3" t="inlineStr">
        <is>
          <t>香港</t>
        </is>
      </c>
      <c r="P753" s="3" t="inlineStr">
        <is>
          <t>香港特别行政区</t>
        </is>
      </c>
      <c r="Q753" s="3" t="n">
        <v>721520394</v>
      </c>
      <c r="R753" s="3" t="inlineStr">
        <is>
          <t>Balanced Bites</t>
        </is>
      </c>
      <c r="S753" s="3" t="inlineStr">
        <is>
          <t>****5351635</t>
        </is>
      </c>
      <c r="T753" s="3" t="inlineStr">
        <is>
          <t>****5351635</t>
        </is>
      </c>
      <c r="U753" s="3" t="inlineStr">
        <is>
          <t>***** 室C28部份</t>
        </is>
      </c>
      <c r="V753" s="3" t="inlineStr">
        <is>
          <t>香港</t>
        </is>
      </c>
      <c r="W753" s="3" t="inlineStr">
        <is>
          <t>纸袋【通版】/ 箱出</t>
        </is>
      </c>
      <c r="X753" s="3" t="inlineStr">
        <is>
          <t>ESS-SFTS-OTMS</t>
        </is>
      </c>
      <c r="Y753" s="3" t="n"/>
      <c r="Z753" s="3" t="inlineStr"/>
      <c r="AA753" s="3" t="inlineStr">
        <is>
          <t>寄付月結</t>
        </is>
      </c>
      <c r="AB753">
        <f>IFERROR(VLOOKUP(Q753&amp;"",對照表!$A:$B,1,FALSE),"")</f>
        <v/>
      </c>
      <c r="AC753">
        <f>IFERROR(VLOOKUP(Q753&amp;"",對照表!$A:$B,2,FALSE),"")</f>
        <v/>
      </c>
    </row>
    <row r="754">
      <c r="A754" s="3" t="inlineStr">
        <is>
          <t>SF5119018987429</t>
        </is>
      </c>
      <c r="B754" s="3" t="n">
        <v>58426948452376</v>
      </c>
      <c r="C754" s="3" t="inlineStr">
        <is>
          <t>已簽收</t>
        </is>
      </c>
      <c r="D754" s="3" t="inlineStr">
        <is>
          <t>2026-07-03 18:20:22</t>
        </is>
      </c>
      <c r="E754" s="3" t="inlineStr">
        <is>
          <t>2026-07-04 09:18</t>
        </is>
      </c>
      <c r="F754" s="3" t="n">
        <v>19.8</v>
      </c>
      <c r="G754" s="3" t="n">
        <v>2</v>
      </c>
      <c r="H754" s="3" t="n"/>
      <c r="I754" s="3" t="inlineStr"/>
      <c r="J754" s="3" t="inlineStr">
        <is>
          <t>Keeta</t>
        </is>
      </c>
      <c r="K754" s="3" t="inlineStr">
        <is>
          <t>****9568</t>
        </is>
      </c>
      <c r="L754" s="3" t="n"/>
      <c r="M754" s="3" t="inlineStr">
        <is>
          <t>***** 物流中心5樓</t>
        </is>
      </c>
      <c r="N754" s="3" t="inlineStr">
        <is>
          <t>北区</t>
        </is>
      </c>
      <c r="O754" s="3" t="inlineStr">
        <is>
          <t>香港</t>
        </is>
      </c>
      <c r="P754" s="3" t="inlineStr">
        <is>
          <t>香港特别行政区</t>
        </is>
      </c>
      <c r="Q754" s="3" t="n">
        <v>721531310</v>
      </c>
      <c r="R754" s="3" t="inlineStr">
        <is>
          <t>一碗賭上廚師生涯的炒飯（荔枝角店）</t>
        </is>
      </c>
      <c r="S754" s="3" t="inlineStr">
        <is>
          <t>****55416531</t>
        </is>
      </c>
      <c r="T754" s="3" t="inlineStr">
        <is>
          <t>****55416531</t>
        </is>
      </c>
      <c r="U754" s="3" t="inlineStr">
        <is>
          <t>***** 室11號廚房</t>
        </is>
      </c>
      <c r="V754" s="3" t="inlineStr">
        <is>
          <t>香港</t>
        </is>
      </c>
      <c r="W754" s="3" t="inlineStr">
        <is>
          <t>无纺布【规格三中号】/ 箱出</t>
        </is>
      </c>
      <c r="X754" s="3" t="inlineStr">
        <is>
          <t>ESS-SFTS-OTMS</t>
        </is>
      </c>
      <c r="Y754" s="3" t="n"/>
      <c r="Z754" s="3" t="inlineStr"/>
      <c r="AA754" s="3" t="inlineStr">
        <is>
          <t>寄付月結</t>
        </is>
      </c>
      <c r="AB754">
        <f>IFERROR(VLOOKUP(Q754&amp;"",對照表!$A:$B,1,FALSE),"")</f>
        <v/>
      </c>
      <c r="AC754">
        <f>IFERROR(VLOOKUP(Q754&amp;"",對照表!$A:$B,2,FALSE),"")</f>
        <v/>
      </c>
    </row>
    <row r="755">
      <c r="A755" s="3" t="inlineStr">
        <is>
          <t>SF5119018987544</t>
        </is>
      </c>
      <c r="B755" s="3" t="n">
        <v>58426948452403</v>
      </c>
      <c r="C755" s="3" t="inlineStr">
        <is>
          <t>已簽收</t>
        </is>
      </c>
      <c r="D755" s="3" t="inlineStr">
        <is>
          <t>2026-07-03 17:50:02</t>
        </is>
      </c>
      <c r="E755" s="3" t="inlineStr">
        <is>
          <t>2026-07-04 10:41</t>
        </is>
      </c>
      <c r="F755" s="3" t="n">
        <v>14.5</v>
      </c>
      <c r="G755" s="3" t="n">
        <v>1</v>
      </c>
      <c r="H755" s="3" t="n"/>
      <c r="I755" s="3" t="inlineStr"/>
      <c r="J755" s="3" t="inlineStr">
        <is>
          <t>Keeta</t>
        </is>
      </c>
      <c r="K755" s="3" t="inlineStr">
        <is>
          <t>****9568</t>
        </is>
      </c>
      <c r="L755" s="3" t="n"/>
      <c r="M755" s="3" t="inlineStr">
        <is>
          <t>***** 物流中心5樓</t>
        </is>
      </c>
      <c r="N755" s="3" t="inlineStr">
        <is>
          <t>北区</t>
        </is>
      </c>
      <c r="O755" s="3" t="inlineStr">
        <is>
          <t>香港</t>
        </is>
      </c>
      <c r="P755" s="3" t="inlineStr">
        <is>
          <t>香港特别行政区</t>
        </is>
      </c>
      <c r="Q755" s="3" t="n">
        <v>468475</v>
      </c>
      <c r="R755" s="3" t="inlineStr">
        <is>
          <t>麥當勞(錦泰)McDonalds</t>
        </is>
      </c>
      <c r="S755" s="3" t="inlineStr">
        <is>
          <t>****31248656</t>
        </is>
      </c>
      <c r="T755" s="3" t="inlineStr">
        <is>
          <t>****31248656</t>
        </is>
      </c>
      <c r="U755" s="3" t="inlineStr">
        <is>
          <t>***** 樓102號舖</t>
        </is>
      </c>
      <c r="V755" s="3" t="inlineStr">
        <is>
          <t>香港</t>
        </is>
      </c>
      <c r="W755" s="3" t="inlineStr">
        <is>
          <t>纸袋【通版】/ 箱出</t>
        </is>
      </c>
      <c r="X755" s="3" t="inlineStr">
        <is>
          <t>ESS-SFTS-OTMS</t>
        </is>
      </c>
      <c r="Y755" s="3" t="n"/>
      <c r="Z755" s="3" t="inlineStr"/>
      <c r="AA755" s="3" t="inlineStr">
        <is>
          <t>寄付月結</t>
        </is>
      </c>
      <c r="AB755">
        <f>IFERROR(VLOOKUP(Q755&amp;"",對照表!$A:$B,1,FALSE),"")</f>
        <v/>
      </c>
      <c r="AC755">
        <f>IFERROR(VLOOKUP(Q755&amp;"",對照表!$A:$B,2,FALSE),"")</f>
        <v/>
      </c>
    </row>
    <row r="756">
      <c r="A756" s="3" t="inlineStr">
        <is>
          <t>SF5119018987553</t>
        </is>
      </c>
      <c r="B756" s="3" t="n">
        <v>58426948452404</v>
      </c>
      <c r="C756" s="3" t="inlineStr">
        <is>
          <t>已簽收</t>
        </is>
      </c>
      <c r="D756" s="3" t="inlineStr">
        <is>
          <t>2026-07-03 17:59:58</t>
        </is>
      </c>
      <c r="E756" s="3" t="inlineStr">
        <is>
          <t>2026-07-04 16:52</t>
        </is>
      </c>
      <c r="F756" s="3" t="n">
        <v>8.140000000000001</v>
      </c>
      <c r="G756" s="3" t="n">
        <v>1</v>
      </c>
      <c r="H756" s="3" t="n"/>
      <c r="I756" s="3" t="inlineStr"/>
      <c r="J756" s="3" t="inlineStr">
        <is>
          <t>Keeta</t>
        </is>
      </c>
      <c r="K756" s="3" t="inlineStr">
        <is>
          <t>****9568</t>
        </is>
      </c>
      <c r="L756" s="3" t="n"/>
      <c r="M756" s="3" t="inlineStr">
        <is>
          <t>***** 物流中心5樓</t>
        </is>
      </c>
      <c r="N756" s="3" t="inlineStr">
        <is>
          <t>北区</t>
        </is>
      </c>
      <c r="O756" s="3" t="inlineStr">
        <is>
          <t>香港</t>
        </is>
      </c>
      <c r="P756" s="3" t="inlineStr">
        <is>
          <t>香港特别行政区</t>
        </is>
      </c>
      <c r="Q756" s="3" t="n">
        <v>602877</v>
      </c>
      <c r="R756" s="3" t="inlineStr">
        <is>
          <t>鵬鵬燒烤</t>
        </is>
      </c>
      <c r="S756" s="3" t="inlineStr">
        <is>
          <t>****95183638</t>
        </is>
      </c>
      <c r="T756" s="3" t="inlineStr">
        <is>
          <t>****95183638</t>
        </is>
      </c>
      <c r="U756" s="3" t="inlineStr">
        <is>
          <t>***** 街2B號地下</t>
        </is>
      </c>
      <c r="V756" s="3" t="inlineStr">
        <is>
          <t>香港</t>
        </is>
      </c>
      <c r="W756" s="3" t="inlineStr">
        <is>
          <t>封签【通版】/ 扎出, 机纸/小票纸 / 包出</t>
        </is>
      </c>
      <c r="X756" s="3" t="inlineStr">
        <is>
          <t>ESS-SFTS-OTMS</t>
        </is>
      </c>
      <c r="Y756" s="3" t="n"/>
      <c r="Z756" s="3" t="inlineStr"/>
      <c r="AA756" s="3" t="inlineStr">
        <is>
          <t>寄付月結</t>
        </is>
      </c>
      <c r="AB756">
        <f>IFERROR(VLOOKUP(Q756&amp;"",對照表!$A:$B,1,FALSE),"")</f>
        <v/>
      </c>
      <c r="AC756">
        <f>IFERROR(VLOOKUP(Q756&amp;"",對照表!$A:$B,2,FALSE),"")</f>
        <v/>
      </c>
    </row>
    <row r="757">
      <c r="A757" s="3" t="inlineStr">
        <is>
          <t>SF5119018987905</t>
        </is>
      </c>
      <c r="B757" s="3" t="n">
        <v>58426948452479</v>
      </c>
      <c r="C757" s="3" t="inlineStr">
        <is>
          <t>已簽收</t>
        </is>
      </c>
      <c r="D757" s="3" t="inlineStr">
        <is>
          <t>2026-07-03 17:30:56</t>
        </is>
      </c>
      <c r="E757" s="3" t="inlineStr">
        <is>
          <t>2026-07-04 12:29</t>
        </is>
      </c>
      <c r="F757" s="3" t="n">
        <v>4.45</v>
      </c>
      <c r="G757" s="3" t="n">
        <v>1</v>
      </c>
      <c r="H757" s="3" t="n"/>
      <c r="I757" s="3" t="inlineStr"/>
      <c r="J757" s="3" t="inlineStr">
        <is>
          <t>Keeta</t>
        </is>
      </c>
      <c r="K757" s="3" t="inlineStr">
        <is>
          <t>****9568</t>
        </is>
      </c>
      <c r="L757" s="3" t="n"/>
      <c r="M757" s="3" t="inlineStr">
        <is>
          <t>***** 物流中心5樓</t>
        </is>
      </c>
      <c r="N757" s="3" t="inlineStr">
        <is>
          <t>北区</t>
        </is>
      </c>
      <c r="O757" s="3" t="inlineStr">
        <is>
          <t>香港</t>
        </is>
      </c>
      <c r="P757" s="3" t="inlineStr">
        <is>
          <t>香港特别行政区</t>
        </is>
      </c>
      <c r="Q757" s="3" t="n">
        <v>475029</v>
      </c>
      <c r="R757" s="3" t="inlineStr">
        <is>
          <t>新釗記經濟之選</t>
        </is>
      </c>
      <c r="S757" s="3" t="inlineStr">
        <is>
          <t>****28861418</t>
        </is>
      </c>
      <c r="T757" s="3" t="inlineStr">
        <is>
          <t>****28861418</t>
        </is>
      </c>
      <c r="U757" s="3" t="inlineStr">
        <is>
          <t>***** -12號地下</t>
        </is>
      </c>
      <c r="V757" s="3" t="inlineStr">
        <is>
          <t>香港</t>
        </is>
      </c>
      <c r="W757" s="3" t="inlineStr">
        <is>
          <t>机纸/小票纸 / 包出</t>
        </is>
      </c>
      <c r="X757" s="3" t="inlineStr">
        <is>
          <t>ESS-SFTS-OTMS</t>
        </is>
      </c>
      <c r="Y757" s="3" t="n"/>
      <c r="Z757" s="3" t="inlineStr"/>
      <c r="AA757" s="3" t="inlineStr">
        <is>
          <t>寄付月結</t>
        </is>
      </c>
      <c r="AB757">
        <f>IFERROR(VLOOKUP(Q757&amp;"",對照表!$A:$B,1,FALSE),"")</f>
        <v/>
      </c>
      <c r="AC757">
        <f>IFERROR(VLOOKUP(Q757&amp;"",對照表!$A:$B,2,FALSE),"")</f>
        <v/>
      </c>
    </row>
    <row r="758">
      <c r="A758" s="3" t="inlineStr">
        <is>
          <t>SF5119018987923</t>
        </is>
      </c>
      <c r="B758" s="3" t="n">
        <v>58426948452482</v>
      </c>
      <c r="C758" s="3" t="inlineStr">
        <is>
          <t>已簽收</t>
        </is>
      </c>
      <c r="D758" s="3" t="inlineStr">
        <is>
          <t>2026-07-03 17:48:15</t>
        </is>
      </c>
      <c r="E758" s="3" t="inlineStr">
        <is>
          <t>2026-07-04 10:02</t>
        </is>
      </c>
      <c r="F758" s="3" t="n">
        <v>2.8</v>
      </c>
      <c r="G758" s="3" t="n">
        <v>1</v>
      </c>
      <c r="H758" s="3" t="n"/>
      <c r="I758" s="3" t="inlineStr"/>
      <c r="J758" s="3" t="inlineStr">
        <is>
          <t>Keeta</t>
        </is>
      </c>
      <c r="K758" s="3" t="inlineStr">
        <is>
          <t>****9568</t>
        </is>
      </c>
      <c r="L758" s="3" t="n"/>
      <c r="M758" s="3" t="inlineStr">
        <is>
          <t>***** 物流中心5樓</t>
        </is>
      </c>
      <c r="N758" s="3" t="inlineStr">
        <is>
          <t>北区</t>
        </is>
      </c>
      <c r="O758" s="3" t="inlineStr">
        <is>
          <t>香港</t>
        </is>
      </c>
      <c r="P758" s="3" t="inlineStr">
        <is>
          <t>香港特别行政区</t>
        </is>
      </c>
      <c r="Q758" s="3" t="n">
        <v>604117</v>
      </c>
      <c r="R758" s="3" t="inlineStr">
        <is>
          <t>MOSBurger(荔枝角D2Place)</t>
        </is>
      </c>
      <c r="S758" s="3" t="inlineStr">
        <is>
          <t>****37098249</t>
        </is>
      </c>
      <c r="T758" s="3" t="inlineStr">
        <is>
          <t>****37098249</t>
        </is>
      </c>
      <c r="U758" s="3" t="inlineStr">
        <is>
          <t>***** 樓304號舖</t>
        </is>
      </c>
      <c r="V758" s="3" t="inlineStr">
        <is>
          <t>香港</t>
        </is>
      </c>
      <c r="W758" s="3" t="inlineStr">
        <is>
          <t>机纸/小票纸 / 包出</t>
        </is>
      </c>
      <c r="X758" s="3" t="inlineStr">
        <is>
          <t>ESS-SFTS-OTMS</t>
        </is>
      </c>
      <c r="Y758" s="3" t="n"/>
      <c r="Z758" s="3" t="inlineStr"/>
      <c r="AA758" s="3" t="inlineStr">
        <is>
          <t>寄付月結</t>
        </is>
      </c>
      <c r="AB758">
        <f>IFERROR(VLOOKUP(Q758&amp;"",對照表!$A:$B,1,FALSE),"")</f>
        <v/>
      </c>
      <c r="AC758">
        <f>IFERROR(VLOOKUP(Q758&amp;"",對照表!$A:$B,2,FALSE),"")</f>
        <v/>
      </c>
    </row>
    <row r="759">
      <c r="A759" s="3" t="inlineStr">
        <is>
          <t>SF5119018987410</t>
        </is>
      </c>
      <c r="B759" s="3" t="n">
        <v>58426948452375</v>
      </c>
      <c r="C759" s="3" t="inlineStr">
        <is>
          <t>已簽收</t>
        </is>
      </c>
      <c r="D759" s="3" t="inlineStr">
        <is>
          <t>2026-07-03 18:12:12</t>
        </is>
      </c>
      <c r="E759" s="3" t="inlineStr">
        <is>
          <t>2026-07-04 18:11</t>
        </is>
      </c>
      <c r="F759" s="3" t="n">
        <v>43.5</v>
      </c>
      <c r="G759" s="3" t="n">
        <v>3</v>
      </c>
      <c r="H759" s="3" t="n"/>
      <c r="I759" s="3" t="inlineStr"/>
      <c r="J759" s="3" t="inlineStr">
        <is>
          <t>Keeta</t>
        </is>
      </c>
      <c r="K759" s="3" t="inlineStr">
        <is>
          <t>****9568</t>
        </is>
      </c>
      <c r="L759" s="3" t="n"/>
      <c r="M759" s="3" t="inlineStr">
        <is>
          <t>***** 物流中心5樓</t>
        </is>
      </c>
      <c r="N759" s="3" t="inlineStr">
        <is>
          <t>北区</t>
        </is>
      </c>
      <c r="O759" s="3" t="inlineStr">
        <is>
          <t>香港</t>
        </is>
      </c>
      <c r="P759" s="3" t="inlineStr">
        <is>
          <t>香港特别行政区</t>
        </is>
      </c>
      <c r="Q759" s="3" t="n">
        <v>472046</v>
      </c>
      <c r="R759" s="3" t="inlineStr">
        <is>
          <t>麥當勞(德田)McDonalds</t>
        </is>
      </c>
      <c r="S759" s="3" t="inlineStr">
        <is>
          <t>****27178546</t>
        </is>
      </c>
      <c r="T759" s="3" t="inlineStr">
        <is>
          <t>****27178546</t>
        </is>
      </c>
      <c r="U759" s="3" t="inlineStr">
        <is>
          <t>***** 104A號舖</t>
        </is>
      </c>
      <c r="V759" s="3" t="inlineStr">
        <is>
          <t>香港</t>
        </is>
      </c>
      <c r="W759" s="3" t="inlineStr">
        <is>
          <t>纸袋【通版】/ 箱出</t>
        </is>
      </c>
      <c r="X759" s="3" t="inlineStr">
        <is>
          <t>ESS-SFTS-OTMS</t>
        </is>
      </c>
      <c r="Y759" s="3" t="n"/>
      <c r="Z759" s="3" t="inlineStr"/>
      <c r="AA759" s="3" t="inlineStr">
        <is>
          <t>寄付月結</t>
        </is>
      </c>
      <c r="AB759">
        <f>IFERROR(VLOOKUP(Q759&amp;"",對照表!$A:$B,1,FALSE),"")</f>
        <v/>
      </c>
      <c r="AC759">
        <f>IFERROR(VLOOKUP(Q759&amp;"",對照表!$A:$B,2,FALSE),"")</f>
        <v/>
      </c>
    </row>
    <row r="760">
      <c r="A760" s="3" t="inlineStr">
        <is>
          <t>SF5119018987871</t>
        </is>
      </c>
      <c r="B760" s="3" t="n">
        <v>58426948452470</v>
      </c>
      <c r="C760" s="3" t="inlineStr">
        <is>
          <t>已簽收</t>
        </is>
      </c>
      <c r="D760" s="3" t="inlineStr">
        <is>
          <t>2026-07-03 17:48:04</t>
        </is>
      </c>
      <c r="E760" s="3" t="inlineStr">
        <is>
          <t>2026-07-04 11:02</t>
        </is>
      </c>
      <c r="F760" s="3" t="n">
        <v>2.8</v>
      </c>
      <c r="G760" s="3" t="n">
        <v>1</v>
      </c>
      <c r="H760" s="3" t="n"/>
      <c r="I760" s="3" t="inlineStr"/>
      <c r="J760" s="3" t="inlineStr">
        <is>
          <t>Keeta</t>
        </is>
      </c>
      <c r="K760" s="3" t="inlineStr">
        <is>
          <t>****9568</t>
        </is>
      </c>
      <c r="L760" s="3" t="n"/>
      <c r="M760" s="3" t="inlineStr">
        <is>
          <t>***** 物流中心5樓</t>
        </is>
      </c>
      <c r="N760" s="3" t="inlineStr">
        <is>
          <t>北区</t>
        </is>
      </c>
      <c r="O760" s="3" t="inlineStr">
        <is>
          <t>香港</t>
        </is>
      </c>
      <c r="P760" s="3" t="inlineStr">
        <is>
          <t>香港特别行政区</t>
        </is>
      </c>
      <c r="Q760" s="3" t="n">
        <v>614769</v>
      </c>
      <c r="R760" s="3" t="inlineStr">
        <is>
          <t>唯一雲貴川風味荃灣人氣米線</t>
        </is>
      </c>
      <c r="S760" s="3" t="inlineStr">
        <is>
          <t>****26119769</t>
        </is>
      </c>
      <c r="T760" s="3" t="inlineStr">
        <is>
          <t>****26119769</t>
        </is>
      </c>
      <c r="U760" s="3" t="inlineStr">
        <is>
          <t>***** 坊14號地下</t>
        </is>
      </c>
      <c r="V760" s="3" t="inlineStr">
        <is>
          <t>香港</t>
        </is>
      </c>
      <c r="W760" s="3" t="inlineStr">
        <is>
          <t>机纸/小票纸 / 包出</t>
        </is>
      </c>
      <c r="X760" s="3" t="inlineStr">
        <is>
          <t>ESS-SFTS-OTMS</t>
        </is>
      </c>
      <c r="Y760" s="3" t="n"/>
      <c r="Z760" s="3" t="inlineStr"/>
      <c r="AA760" s="3" t="inlineStr">
        <is>
          <t>寄付月結</t>
        </is>
      </c>
      <c r="AB760">
        <f>IFERROR(VLOOKUP(Q760&amp;"",對照表!$A:$B,1,FALSE),"")</f>
        <v/>
      </c>
      <c r="AC760">
        <f>IFERROR(VLOOKUP(Q760&amp;"",對照表!$A:$B,2,FALSE),"")</f>
        <v/>
      </c>
    </row>
    <row r="761">
      <c r="A761" s="3" t="inlineStr">
        <is>
          <t>SF5119018987447</t>
        </is>
      </c>
      <c r="B761" s="3" t="n">
        <v>58426948452380</v>
      </c>
      <c r="C761" s="3" t="inlineStr">
        <is>
          <t>已簽收</t>
        </is>
      </c>
      <c r="D761" s="3" t="inlineStr">
        <is>
          <t>2026-07-03 17:50:00</t>
        </is>
      </c>
      <c r="E761" s="3" t="inlineStr">
        <is>
          <t>2026-07-04 09:59</t>
        </is>
      </c>
      <c r="F761" s="3" t="n">
        <v>14.5</v>
      </c>
      <c r="G761" s="3" t="n">
        <v>1</v>
      </c>
      <c r="H761" s="3" t="n"/>
      <c r="I761" s="3" t="inlineStr"/>
      <c r="J761" s="3" t="inlineStr">
        <is>
          <t>Keeta</t>
        </is>
      </c>
      <c r="K761" s="3" t="inlineStr">
        <is>
          <t>****9568</t>
        </is>
      </c>
      <c r="L761" s="3" t="n"/>
      <c r="M761" s="3" t="inlineStr">
        <is>
          <t>***** 物流中心5樓</t>
        </is>
      </c>
      <c r="N761" s="3" t="inlineStr">
        <is>
          <t>北区</t>
        </is>
      </c>
      <c r="O761" s="3" t="inlineStr">
        <is>
          <t>香港</t>
        </is>
      </c>
      <c r="P761" s="3" t="inlineStr">
        <is>
          <t>香港特别行政区</t>
        </is>
      </c>
      <c r="Q761" s="3" t="n">
        <v>721535392</v>
      </c>
      <c r="R761" s="3" t="inlineStr">
        <is>
          <t>同樂鮮味</t>
        </is>
      </c>
      <c r="S761" s="3" t="inlineStr">
        <is>
          <t>****3316</t>
        </is>
      </c>
      <c r="T761" s="3" t="inlineStr">
        <is>
          <t>****3316</t>
        </is>
      </c>
      <c r="U761" s="3" t="inlineStr">
        <is>
          <t>***** 街金華樓J鋪</t>
        </is>
      </c>
      <c r="V761" s="3" t="inlineStr">
        <is>
          <t>香港</t>
        </is>
      </c>
      <c r="W761" s="3" t="inlineStr">
        <is>
          <t>纸袋【通版】/ 箱出</t>
        </is>
      </c>
      <c r="X761" s="3" t="inlineStr">
        <is>
          <t>ESS-SFTS-OTMS</t>
        </is>
      </c>
      <c r="Y761" s="3" t="n"/>
      <c r="Z761" s="3" t="inlineStr"/>
      <c r="AA761" s="3" t="inlineStr">
        <is>
          <t>寄付月結</t>
        </is>
      </c>
      <c r="AB761">
        <f>IFERROR(VLOOKUP(Q761&amp;"",對照表!$A:$B,1,FALSE),"")</f>
        <v/>
      </c>
      <c r="AC761">
        <f>IFERROR(VLOOKUP(Q761&amp;"",對照表!$A:$B,2,FALSE),"")</f>
        <v/>
      </c>
    </row>
    <row r="762">
      <c r="A762" s="3" t="inlineStr">
        <is>
          <t>SF5119018987632</t>
        </is>
      </c>
      <c r="B762" s="3" t="n">
        <v>58426948452422</v>
      </c>
      <c r="C762" s="3" t="inlineStr">
        <is>
          <t>已簽收</t>
        </is>
      </c>
      <c r="D762" s="3" t="inlineStr">
        <is>
          <t>2026-07-03 17:31:27</t>
        </is>
      </c>
      <c r="E762" s="3" t="inlineStr">
        <is>
          <t>2026-07-04 10:43</t>
        </is>
      </c>
      <c r="F762" s="3" t="n">
        <v>4.45</v>
      </c>
      <c r="G762" s="3" t="n">
        <v>1</v>
      </c>
      <c r="H762" s="3" t="n"/>
      <c r="I762" s="3" t="inlineStr"/>
      <c r="J762" s="3" t="inlineStr">
        <is>
          <t>Keeta</t>
        </is>
      </c>
      <c r="K762" s="3" t="inlineStr">
        <is>
          <t>****9568</t>
        </is>
      </c>
      <c r="L762" s="3" t="n"/>
      <c r="M762" s="3" t="inlineStr">
        <is>
          <t>***** 物流中心5樓</t>
        </is>
      </c>
      <c r="N762" s="3" t="inlineStr">
        <is>
          <t>北区</t>
        </is>
      </c>
      <c r="O762" s="3" t="inlineStr">
        <is>
          <t>香港</t>
        </is>
      </c>
      <c r="P762" s="3" t="inlineStr">
        <is>
          <t>香港特别行政区</t>
        </is>
      </c>
      <c r="Q762" s="3" t="n">
        <v>600691</v>
      </c>
      <c r="R762" s="3" t="inlineStr">
        <is>
          <t>嘉彩漁村京滬菜館（盤菜已開放預訂啦）</t>
        </is>
      </c>
      <c r="S762" s="3" t="inlineStr">
        <is>
          <t>****39051288</t>
        </is>
      </c>
      <c r="T762" s="3" t="inlineStr">
        <is>
          <t>****39051288</t>
        </is>
      </c>
      <c r="U762" s="3" t="inlineStr">
        <is>
          <t>***** 3樓2A號舖</t>
        </is>
      </c>
      <c r="V762" s="3" t="inlineStr">
        <is>
          <t>香港</t>
        </is>
      </c>
      <c r="W762" s="3" t="inlineStr">
        <is>
          <t>机纸/小票纸 / 包出</t>
        </is>
      </c>
      <c r="X762" s="3" t="inlineStr">
        <is>
          <t>ESS-SFTS-OTMS</t>
        </is>
      </c>
      <c r="Y762" s="3" t="n"/>
      <c r="Z762" s="3" t="inlineStr"/>
      <c r="AA762" s="3" t="inlineStr">
        <is>
          <t>寄付月結</t>
        </is>
      </c>
      <c r="AB762">
        <f>IFERROR(VLOOKUP(Q762&amp;"",對照表!$A:$B,1,FALSE),"")</f>
        <v/>
      </c>
      <c r="AC762">
        <f>IFERROR(VLOOKUP(Q762&amp;"",對照表!$A:$B,2,FALSE),"")</f>
        <v/>
      </c>
    </row>
    <row r="763">
      <c r="A763" s="3" t="inlineStr">
        <is>
          <t>SF5119018987687</t>
        </is>
      </c>
      <c r="B763" s="3" t="n">
        <v>58426948452433</v>
      </c>
      <c r="C763" s="3" t="inlineStr">
        <is>
          <t>已簽收</t>
        </is>
      </c>
      <c r="D763" s="3" t="inlineStr">
        <is>
          <t>2026-07-03 17:31:24</t>
        </is>
      </c>
      <c r="E763" s="3" t="inlineStr">
        <is>
          <t>2026-07-04 15:03</t>
        </is>
      </c>
      <c r="F763" s="3" t="n">
        <v>4.45</v>
      </c>
      <c r="G763" s="3" t="n">
        <v>1</v>
      </c>
      <c r="H763" s="3" t="n"/>
      <c r="I763" s="3" t="inlineStr"/>
      <c r="J763" s="3" t="inlineStr">
        <is>
          <t>Keeta</t>
        </is>
      </c>
      <c r="K763" s="3" t="inlineStr">
        <is>
          <t>****9568</t>
        </is>
      </c>
      <c r="L763" s="3" t="n"/>
      <c r="M763" s="3" t="inlineStr">
        <is>
          <t>***** 物流中心5樓</t>
        </is>
      </c>
      <c r="N763" s="3" t="inlineStr">
        <is>
          <t>北区</t>
        </is>
      </c>
      <c r="O763" s="3" t="inlineStr">
        <is>
          <t>香港</t>
        </is>
      </c>
      <c r="P763" s="3" t="inlineStr">
        <is>
          <t>香港特别行政区</t>
        </is>
      </c>
      <c r="Q763" s="3" t="n">
        <v>475253</v>
      </c>
      <c r="R763" s="3" t="inlineStr">
        <is>
          <t>美利小食涼茶熱辣辣茶葉蛋</t>
        </is>
      </c>
      <c r="S763" s="3" t="inlineStr">
        <is>
          <t>****93168414</t>
        </is>
      </c>
      <c r="T763" s="3" t="inlineStr">
        <is>
          <t>****93168414</t>
        </is>
      </c>
      <c r="U763" s="3" t="inlineStr">
        <is>
          <t>***** 號海山樓地下</t>
        </is>
      </c>
      <c r="V763" s="3" t="inlineStr">
        <is>
          <t>香港</t>
        </is>
      </c>
      <c r="W763" s="3" t="inlineStr">
        <is>
          <t>机纸/小票纸 / 包出</t>
        </is>
      </c>
      <c r="X763" s="3" t="inlineStr">
        <is>
          <t>ESS-SFTS-OTMS</t>
        </is>
      </c>
      <c r="Y763" s="3" t="n"/>
      <c r="Z763" s="3" t="inlineStr"/>
      <c r="AA763" s="3" t="inlineStr">
        <is>
          <t>寄付月結</t>
        </is>
      </c>
      <c r="AB763">
        <f>IFERROR(VLOOKUP(Q763&amp;"",對照表!$A:$B,1,FALSE),"")</f>
        <v/>
      </c>
      <c r="AC763">
        <f>IFERROR(VLOOKUP(Q763&amp;"",對照表!$A:$B,2,FALSE),"")</f>
        <v/>
      </c>
    </row>
    <row r="764">
      <c r="A764" s="3" t="inlineStr">
        <is>
          <t>SF5119018987614</t>
        </is>
      </c>
      <c r="B764" s="3" t="n">
        <v>58426948452418</v>
      </c>
      <c r="C764" s="3" t="inlineStr">
        <is>
          <t>已簽收</t>
        </is>
      </c>
      <c r="D764" s="3" t="inlineStr">
        <is>
          <t>2026-07-03 18:13:05</t>
        </is>
      </c>
      <c r="E764" s="3" t="inlineStr">
        <is>
          <t>2026-07-04 13:36</t>
        </is>
      </c>
      <c r="F764" s="3" t="n">
        <v>58</v>
      </c>
      <c r="G764" s="3" t="n">
        <v>4</v>
      </c>
      <c r="H764" s="3" t="n"/>
      <c r="I764" s="3" t="inlineStr"/>
      <c r="J764" s="3" t="inlineStr">
        <is>
          <t>Keeta</t>
        </is>
      </c>
      <c r="K764" s="3" t="inlineStr">
        <is>
          <t>****9568</t>
        </is>
      </c>
      <c r="L764" s="3" t="n"/>
      <c r="M764" s="3" t="inlineStr">
        <is>
          <t>***** 物流中心5樓</t>
        </is>
      </c>
      <c r="N764" s="3" t="inlineStr">
        <is>
          <t>北区</t>
        </is>
      </c>
      <c r="O764" s="3" t="inlineStr">
        <is>
          <t>香港</t>
        </is>
      </c>
      <c r="P764" s="3" t="inlineStr">
        <is>
          <t>香港特别行政区</t>
        </is>
      </c>
      <c r="Q764" s="3" t="n">
        <v>475088</v>
      </c>
      <c r="R764" s="3" t="inlineStr">
        <is>
          <t>麥當勞(大圍)McDonalds</t>
        </is>
      </c>
      <c r="S764" s="3" t="inlineStr">
        <is>
          <t>****26089197</t>
        </is>
      </c>
      <c r="T764" s="3" t="inlineStr">
        <is>
          <t>****26089197</t>
        </is>
      </c>
      <c r="U764" s="3" t="inlineStr">
        <is>
          <t>***** 鋪及1樓全層</t>
        </is>
      </c>
      <c r="V764" s="3" t="inlineStr">
        <is>
          <t>香港</t>
        </is>
      </c>
      <c r="W764" s="3" t="inlineStr">
        <is>
          <t>纸袋【通版】/ 箱出</t>
        </is>
      </c>
      <c r="X764" s="3" t="inlineStr">
        <is>
          <t>ESS-SFTS-OTMS</t>
        </is>
      </c>
      <c r="Y764" s="3" t="n"/>
      <c r="Z764" s="3" t="inlineStr"/>
      <c r="AA764" s="3" t="inlineStr">
        <is>
          <t>寄付月結</t>
        </is>
      </c>
      <c r="AB764">
        <f>IFERROR(VLOOKUP(Q764&amp;"",對照表!$A:$B,1,FALSE),"")</f>
        <v/>
      </c>
      <c r="AC764">
        <f>IFERROR(VLOOKUP(Q764&amp;"",對照表!$A:$B,2,FALSE),"")</f>
        <v/>
      </c>
    </row>
    <row r="765">
      <c r="A765" s="3" t="inlineStr">
        <is>
          <t>SF5119018987526</t>
        </is>
      </c>
      <c r="B765" s="3" t="n">
        <v>58426948452399</v>
      </c>
      <c r="C765" s="3" t="inlineStr">
        <is>
          <t>已簽收</t>
        </is>
      </c>
      <c r="D765" s="3" t="inlineStr">
        <is>
          <t>2026-07-03 18:11:37</t>
        </is>
      </c>
      <c r="E765" s="3" t="inlineStr">
        <is>
          <t>2026-07-04 12:19</t>
        </is>
      </c>
      <c r="F765" s="3" t="n">
        <v>43.5</v>
      </c>
      <c r="G765" s="3" t="n">
        <v>3</v>
      </c>
      <c r="H765" s="3" t="n"/>
      <c r="I765" s="3" t="inlineStr"/>
      <c r="J765" s="3" t="inlineStr">
        <is>
          <t>Keeta</t>
        </is>
      </c>
      <c r="K765" s="3" t="inlineStr">
        <is>
          <t>****9568</t>
        </is>
      </c>
      <c r="L765" s="3" t="n"/>
      <c r="M765" s="3" t="inlineStr">
        <is>
          <t>***** 物流中心5樓</t>
        </is>
      </c>
      <c r="N765" s="3" t="inlineStr">
        <is>
          <t>北区</t>
        </is>
      </c>
      <c r="O765" s="3" t="inlineStr">
        <is>
          <t>香港</t>
        </is>
      </c>
      <c r="P765" s="3" t="inlineStr">
        <is>
          <t>香港特别行政区</t>
        </is>
      </c>
      <c r="Q765" s="3" t="n">
        <v>474936</v>
      </c>
      <c r="R765" s="3" t="inlineStr">
        <is>
          <t>麥當勞(怡和街)McDonalds</t>
        </is>
      </c>
      <c r="S765" s="3" t="inlineStr">
        <is>
          <t>****25778240</t>
        </is>
      </c>
      <c r="T765" s="3" t="inlineStr">
        <is>
          <t>****25778240</t>
        </is>
      </c>
      <c r="U765" s="3" t="inlineStr">
        <is>
          <t>*****  1樓及2樓</t>
        </is>
      </c>
      <c r="V765" s="3" t="inlineStr">
        <is>
          <t>香港</t>
        </is>
      </c>
      <c r="W765" s="3" t="inlineStr">
        <is>
          <t>纸袋【通版】/ 箱出</t>
        </is>
      </c>
      <c r="X765" s="3" t="inlineStr">
        <is>
          <t>ESS-SFTS-OTMS</t>
        </is>
      </c>
      <c r="Y765" s="3" t="n"/>
      <c r="Z765" s="3" t="inlineStr"/>
      <c r="AA765" s="3" t="inlineStr">
        <is>
          <t>寄付月結</t>
        </is>
      </c>
      <c r="AB765">
        <f>IFERROR(VLOOKUP(Q765&amp;"",對照表!$A:$B,1,FALSE),"")</f>
        <v/>
      </c>
      <c r="AC765">
        <f>IFERROR(VLOOKUP(Q765&amp;"",對照表!$A:$B,2,FALSE),"")</f>
        <v/>
      </c>
    </row>
    <row r="766">
      <c r="A766" s="3" t="inlineStr">
        <is>
          <t>SF5116616533184</t>
        </is>
      </c>
      <c r="B766" s="3" t="n">
        <v>58424825774410</v>
      </c>
      <c r="C766" s="3" t="inlineStr">
        <is>
          <t>已簽收</t>
        </is>
      </c>
      <c r="D766" s="3" t="inlineStr">
        <is>
          <t>2026-07-03 15:33:07</t>
        </is>
      </c>
      <c r="E766" s="3" t="inlineStr">
        <is>
          <t>2026-07-04 10:20</t>
        </is>
      </c>
      <c r="F766" s="3" t="n">
        <v>43.4</v>
      </c>
      <c r="G766" s="3" t="n">
        <v>4</v>
      </c>
      <c r="H766" s="3" t="n"/>
      <c r="I766" s="3" t="inlineStr"/>
      <c r="J766" s="3" t="inlineStr">
        <is>
          <t>Keeta</t>
        </is>
      </c>
      <c r="K766" s="3" t="inlineStr">
        <is>
          <t>****9568</t>
        </is>
      </c>
      <c r="L766" s="3" t="n"/>
      <c r="M766" s="3" t="inlineStr">
        <is>
          <t>***** 物流中心5樓</t>
        </is>
      </c>
      <c r="N766" s="3" t="inlineStr">
        <is>
          <t>北区</t>
        </is>
      </c>
      <c r="O766" s="3" t="inlineStr">
        <is>
          <t>香港</t>
        </is>
      </c>
      <c r="P766" s="3" t="inlineStr">
        <is>
          <t>香港特别行政区</t>
        </is>
      </c>
      <c r="Q766" s="3" t="n">
        <v>721516305</v>
      </c>
      <c r="R766" s="3" t="inlineStr">
        <is>
          <t>潮豐美食（新鮮現做正宗5餸豬腳飯龍躉飯星級御廚出品）</t>
        </is>
      </c>
      <c r="S766" s="3" t="inlineStr">
        <is>
          <t>****92134755</t>
        </is>
      </c>
      <c r="T766" s="3" t="inlineStr">
        <is>
          <t>****92134755</t>
        </is>
      </c>
      <c r="U766" s="3" t="inlineStr">
        <is>
          <t>***** F90-91</t>
        </is>
      </c>
      <c r="V766" s="3" t="inlineStr">
        <is>
          <t>香港</t>
        </is>
      </c>
      <c r="W766" s="3" t="inlineStr">
        <is>
          <t>无纺布【规格四大号】/ 箱出, 无纺布【规格三中号】/ 箱出</t>
        </is>
      </c>
      <c r="X766" s="3" t="inlineStr">
        <is>
          <t>ESS-SFTS-OTMS</t>
        </is>
      </c>
      <c r="Y766" s="3" t="n"/>
      <c r="Z766" s="3" t="inlineStr"/>
      <c r="AA766" s="3" t="inlineStr">
        <is>
          <t>寄付月結</t>
        </is>
      </c>
      <c r="AB766">
        <f>IFERROR(VLOOKUP(Q766&amp;"",對照表!$A:$B,1,FALSE),"")</f>
        <v/>
      </c>
      <c r="AC766">
        <f>IFERROR(VLOOKUP(Q766&amp;"",對照表!$A:$B,2,FALSE),"")</f>
        <v/>
      </c>
    </row>
    <row r="767">
      <c r="A767" s="3" t="inlineStr">
        <is>
          <t>SF5119018987792</t>
        </is>
      </c>
      <c r="B767" s="3" t="n">
        <v>58426948452457</v>
      </c>
      <c r="C767" s="3" t="inlineStr">
        <is>
          <t>已簽收</t>
        </is>
      </c>
      <c r="D767" s="3" t="inlineStr">
        <is>
          <t>2026-07-03 17:47:57</t>
        </is>
      </c>
      <c r="E767" s="3" t="inlineStr">
        <is>
          <t>2026-07-04 09:55</t>
        </is>
      </c>
      <c r="F767" s="3" t="n">
        <v>0.67</v>
      </c>
      <c r="G767" s="3" t="n">
        <v>1</v>
      </c>
      <c r="H767" s="3" t="n"/>
      <c r="I767" s="3" t="inlineStr"/>
      <c r="J767" s="3" t="inlineStr">
        <is>
          <t>Keeta</t>
        </is>
      </c>
      <c r="K767" s="3" t="inlineStr">
        <is>
          <t>****9568</t>
        </is>
      </c>
      <c r="L767" s="3" t="n"/>
      <c r="M767" s="3" t="inlineStr">
        <is>
          <t>***** 物流中心5樓</t>
        </is>
      </c>
      <c r="N767" s="3" t="inlineStr">
        <is>
          <t>北区</t>
        </is>
      </c>
      <c r="O767" s="3" t="inlineStr">
        <is>
          <t>香港</t>
        </is>
      </c>
      <c r="P767" s="3" t="inlineStr">
        <is>
          <t>香港特别行政区</t>
        </is>
      </c>
      <c r="Q767" s="3" t="n">
        <v>488108</v>
      </c>
      <c r="R767" s="3" t="inlineStr">
        <is>
          <t>星巴克(海富中心)StarbucksCoffee</t>
        </is>
      </c>
      <c r="S767" s="3" t="inlineStr">
        <is>
          <t>****25270699</t>
        </is>
      </c>
      <c r="T767" s="3" t="inlineStr">
        <is>
          <t>****25270699</t>
        </is>
      </c>
      <c r="U767" s="3" t="inlineStr">
        <is>
          <t>***** 1樓80號舖</t>
        </is>
      </c>
      <c r="V767" s="3" t="inlineStr">
        <is>
          <t>香港</t>
        </is>
      </c>
      <c r="W767" s="3" t="inlineStr">
        <is>
          <t>机纸/小票纸 / 包出</t>
        </is>
      </c>
      <c r="X767" s="3" t="inlineStr">
        <is>
          <t>ESS-SFTS-OTMS</t>
        </is>
      </c>
      <c r="Y767" s="3" t="n"/>
      <c r="Z767" s="3" t="inlineStr"/>
      <c r="AA767" s="3" t="inlineStr">
        <is>
          <t>寄付月結</t>
        </is>
      </c>
      <c r="AB767">
        <f>IFERROR(VLOOKUP(Q767&amp;"",對照表!$A:$B,1,FALSE),"")</f>
        <v/>
      </c>
      <c r="AC767">
        <f>IFERROR(VLOOKUP(Q767&amp;"",對照表!$A:$B,2,FALSE),"")</f>
        <v/>
      </c>
    </row>
    <row r="768">
      <c r="A768" s="3" t="inlineStr">
        <is>
          <t>SF5119018988008</t>
        </is>
      </c>
      <c r="B768" s="3" t="n">
        <v>58426948452495</v>
      </c>
      <c r="C768" s="3" t="inlineStr">
        <is>
          <t>已簽收</t>
        </is>
      </c>
      <c r="D768" s="3" t="inlineStr">
        <is>
          <t>2026-07-03 17:50:08</t>
        </is>
      </c>
      <c r="E768" s="3" t="inlineStr">
        <is>
          <t>2026-07-04 11:39</t>
        </is>
      </c>
      <c r="F768" s="3" t="n">
        <v>14.5</v>
      </c>
      <c r="G768" s="3" t="n">
        <v>1</v>
      </c>
      <c r="H768" s="3" t="n"/>
      <c r="I768" s="3" t="inlineStr"/>
      <c r="J768" s="3" t="inlineStr">
        <is>
          <t>Keeta</t>
        </is>
      </c>
      <c r="K768" s="3" t="inlineStr">
        <is>
          <t>****9568</t>
        </is>
      </c>
      <c r="L768" s="3" t="n"/>
      <c r="M768" s="3" t="inlineStr">
        <is>
          <t>***** 物流中心5樓</t>
        </is>
      </c>
      <c r="N768" s="3" t="inlineStr">
        <is>
          <t>北区</t>
        </is>
      </c>
      <c r="O768" s="3" t="inlineStr">
        <is>
          <t>香港</t>
        </is>
      </c>
      <c r="P768" s="3" t="inlineStr">
        <is>
          <t>香港特别行政区</t>
        </is>
      </c>
      <c r="Q768" s="3" t="n">
        <v>471764</v>
      </c>
      <c r="R768" s="3" t="inlineStr">
        <is>
          <t>FlatIronSteak(SoHo)</t>
        </is>
      </c>
      <c r="S768" s="3" t="inlineStr">
        <is>
          <t>****98421883</t>
        </is>
      </c>
      <c r="T768" s="3" t="inlineStr">
        <is>
          <t>****98421883</t>
        </is>
      </c>
      <c r="U768" s="3" t="inlineStr">
        <is>
          <t>***** g Kong</t>
        </is>
      </c>
      <c r="V768" s="3" t="inlineStr">
        <is>
          <t>香港</t>
        </is>
      </c>
      <c r="W768" s="3" t="inlineStr">
        <is>
          <t>纸袋【通版】/ 箱出</t>
        </is>
      </c>
      <c r="X768" s="3" t="inlineStr">
        <is>
          <t>ESS-SFTS-OTMS</t>
        </is>
      </c>
      <c r="Y768" s="3" t="n"/>
      <c r="Z768" s="3" t="inlineStr"/>
      <c r="AA768" s="3" t="inlineStr">
        <is>
          <t>寄付月結</t>
        </is>
      </c>
      <c r="AB768">
        <f>IFERROR(VLOOKUP(Q768&amp;"",對照表!$A:$B,1,FALSE),"")</f>
        <v/>
      </c>
      <c r="AC768">
        <f>IFERROR(VLOOKUP(Q768&amp;"",對照表!$A:$B,2,FALSE),"")</f>
        <v/>
      </c>
    </row>
    <row r="769">
      <c r="A769" s="3" t="inlineStr">
        <is>
          <t>SF5119018987465</t>
        </is>
      </c>
      <c r="B769" s="3" t="n">
        <v>58426948452387</v>
      </c>
      <c r="C769" s="3" t="inlineStr">
        <is>
          <t>已簽收</t>
        </is>
      </c>
      <c r="D769" s="3" t="inlineStr">
        <is>
          <t>2026-07-03 18:02:02</t>
        </is>
      </c>
      <c r="E769" s="3" t="inlineStr">
        <is>
          <t>2026-07-04 12:49</t>
        </is>
      </c>
      <c r="F769" s="3" t="n">
        <v>30</v>
      </c>
      <c r="G769" s="3" t="n">
        <v>2</v>
      </c>
      <c r="H769" s="3" t="n"/>
      <c r="I769" s="3" t="inlineStr"/>
      <c r="J769" s="3" t="inlineStr">
        <is>
          <t>Keeta</t>
        </is>
      </c>
      <c r="K769" s="3" t="inlineStr">
        <is>
          <t>****9568</t>
        </is>
      </c>
      <c r="L769" s="3" t="n"/>
      <c r="M769" s="3" t="inlineStr">
        <is>
          <t>***** 物流中心5樓</t>
        </is>
      </c>
      <c r="N769" s="3" t="inlineStr">
        <is>
          <t>北区</t>
        </is>
      </c>
      <c r="O769" s="3" t="inlineStr">
        <is>
          <t>香港</t>
        </is>
      </c>
      <c r="P769" s="3" t="inlineStr">
        <is>
          <t>香港特别行政区</t>
        </is>
      </c>
      <c r="Q769" s="3" t="n">
        <v>721448338</v>
      </c>
      <c r="R769" s="3" t="inlineStr">
        <is>
          <t>Vegology健康輕食餐x沙律碗高蛋白質低卡（粵海華美彎際酒店）</t>
        </is>
      </c>
      <c r="S769" s="3" t="inlineStr">
        <is>
          <t>****62371164</t>
        </is>
      </c>
      <c r="T769" s="3" t="inlineStr">
        <is>
          <t>****62371164</t>
        </is>
      </c>
      <c r="U769" s="3" t="inlineStr">
        <is>
          <t>***** 下A及B部份</t>
        </is>
      </c>
      <c r="V769" s="3" t="inlineStr">
        <is>
          <t>香港</t>
        </is>
      </c>
      <c r="W769" s="3" t="inlineStr">
        <is>
          <t>纸袋【通版】/ 箱出</t>
        </is>
      </c>
      <c r="X769" s="3" t="inlineStr">
        <is>
          <t>ESS-SFTS-OTMS</t>
        </is>
      </c>
      <c r="Y769" s="3" t="n"/>
      <c r="Z769" s="3" t="inlineStr"/>
      <c r="AA769" s="3" t="inlineStr">
        <is>
          <t>寄付月結</t>
        </is>
      </c>
      <c r="AB769">
        <f>IFERROR(VLOOKUP(Q769&amp;"",對照表!$A:$B,1,FALSE),"")</f>
        <v/>
      </c>
      <c r="AC769">
        <f>IFERROR(VLOOKUP(Q769&amp;"",對照表!$A:$B,2,FALSE),"")</f>
        <v/>
      </c>
    </row>
    <row r="770">
      <c r="A770" s="3" t="inlineStr">
        <is>
          <t>SF5116616691170</t>
        </is>
      </c>
      <c r="B770" s="3" t="n">
        <v>58424825806943</v>
      </c>
      <c r="C770" s="3" t="inlineStr">
        <is>
          <t>派送中</t>
        </is>
      </c>
      <c r="D770" s="3" t="inlineStr">
        <is>
          <t>2026-07-03 15:33:21</t>
        </is>
      </c>
      <c r="E770" s="3" t="n"/>
      <c r="F770" s="3" t="n">
        <v>43.4</v>
      </c>
      <c r="G770" s="3" t="n">
        <v>4</v>
      </c>
      <c r="H770" s="3" t="n"/>
      <c r="I770" s="3" t="inlineStr"/>
      <c r="J770" s="3" t="inlineStr">
        <is>
          <t>Keeta</t>
        </is>
      </c>
      <c r="K770" s="3" t="inlineStr">
        <is>
          <t>****9568</t>
        </is>
      </c>
      <c r="L770" s="3" t="n"/>
      <c r="M770" s="3" t="inlineStr">
        <is>
          <t>***** 物流中心5樓</t>
        </is>
      </c>
      <c r="N770" s="3" t="inlineStr">
        <is>
          <t>北区</t>
        </is>
      </c>
      <c r="O770" s="3" t="inlineStr">
        <is>
          <t>香港</t>
        </is>
      </c>
      <c r="P770" s="3" t="inlineStr">
        <is>
          <t>香港特别行政区</t>
        </is>
      </c>
      <c r="Q770" s="3" t="n">
        <v>571621</v>
      </c>
      <c r="R770" s="3" t="inlineStr">
        <is>
          <t>拉麵Jo米芝蓮拉麵沾麵(銅鑼灣)</t>
        </is>
      </c>
      <c r="S770" s="3" t="inlineStr">
        <is>
          <t>****28850638</t>
        </is>
      </c>
      <c r="T770" s="3" t="inlineStr">
        <is>
          <t>****28850638</t>
        </is>
      </c>
      <c r="U770" s="3" t="inlineStr">
        <is>
          <t>***** 山道3號地舖</t>
        </is>
      </c>
      <c r="V770" s="3" t="inlineStr">
        <is>
          <t>香港</t>
        </is>
      </c>
      <c r="W770" s="3" t="inlineStr">
        <is>
          <t>无纺布【规格三中号】/ 箱出, 无纺布【规格四大号】/ 箱出</t>
        </is>
      </c>
      <c r="X770" s="3" t="inlineStr">
        <is>
          <t>ESS-SFTS-OTMS</t>
        </is>
      </c>
      <c r="Y770" s="3" t="n"/>
      <c r="Z770" s="3" t="inlineStr"/>
      <c r="AA770" s="3" t="inlineStr">
        <is>
          <t>寄付月結</t>
        </is>
      </c>
      <c r="AB770">
        <f>IFERROR(VLOOKUP(Q770&amp;"",對照表!$A:$B,1,FALSE),"")</f>
        <v/>
      </c>
      <c r="AC770">
        <f>IFERROR(VLOOKUP(Q770&amp;"",對照表!$A:$B,2,FALSE),"")</f>
        <v/>
      </c>
    </row>
    <row r="771">
      <c r="A771" s="3" t="inlineStr">
        <is>
          <t>SF5119018987826</t>
        </is>
      </c>
      <c r="B771" s="3" t="n">
        <v>58426948452462</v>
      </c>
      <c r="C771" s="3" t="inlineStr">
        <is>
          <t>已簽收</t>
        </is>
      </c>
      <c r="D771" s="3" t="inlineStr">
        <is>
          <t>2026-07-03 17:49:55</t>
        </is>
      </c>
      <c r="E771" s="3" t="inlineStr">
        <is>
          <t>2026-07-04 10:46</t>
        </is>
      </c>
      <c r="F771" s="3" t="n">
        <v>14.5</v>
      </c>
      <c r="G771" s="3" t="n">
        <v>1</v>
      </c>
      <c r="H771" s="3" t="n"/>
      <c r="I771" s="3" t="inlineStr"/>
      <c r="J771" s="3" t="inlineStr">
        <is>
          <t>Keeta</t>
        </is>
      </c>
      <c r="K771" s="3" t="inlineStr">
        <is>
          <t>****9568</t>
        </is>
      </c>
      <c r="L771" s="3" t="n"/>
      <c r="M771" s="3" t="inlineStr">
        <is>
          <t>***** 物流中心5樓</t>
        </is>
      </c>
      <c r="N771" s="3" t="inlineStr">
        <is>
          <t>北区</t>
        </is>
      </c>
      <c r="O771" s="3" t="inlineStr">
        <is>
          <t>香港</t>
        </is>
      </c>
      <c r="P771" s="3" t="inlineStr">
        <is>
          <t>香港特别行政区</t>
        </is>
      </c>
      <c r="Q771" s="3" t="n">
        <v>721542400</v>
      </c>
      <c r="R771" s="3" t="inlineStr">
        <is>
          <t>金浦食堂 (觀塘店)</t>
        </is>
      </c>
      <c r="S771" s="3" t="inlineStr">
        <is>
          <t>****3102</t>
        </is>
      </c>
      <c r="T771" s="3" t="inlineStr">
        <is>
          <t>****3102</t>
        </is>
      </c>
      <c r="U771" s="3" t="inlineStr">
        <is>
          <t>***** 2座4樓f室</t>
        </is>
      </c>
      <c r="V771" s="3" t="inlineStr">
        <is>
          <t>香港</t>
        </is>
      </c>
      <c r="W771" s="3" t="inlineStr">
        <is>
          <t>纸袋【通版】/ 箱出</t>
        </is>
      </c>
      <c r="X771" s="3" t="inlineStr">
        <is>
          <t>ESS-SFTS-OTMS</t>
        </is>
      </c>
      <c r="Y771" s="3" t="n"/>
      <c r="Z771" s="3" t="inlineStr"/>
      <c r="AA771" s="3" t="inlineStr">
        <is>
          <t>寄付月結</t>
        </is>
      </c>
      <c r="AB771">
        <f>IFERROR(VLOOKUP(Q771&amp;"",對照表!$A:$B,1,FALSE),"")</f>
        <v/>
      </c>
      <c r="AC771">
        <f>IFERROR(VLOOKUP(Q771&amp;"",對照表!$A:$B,2,FALSE),"")</f>
        <v/>
      </c>
    </row>
    <row r="772">
      <c r="A772" s="3" t="inlineStr">
        <is>
          <t>SF5119018987738</t>
        </is>
      </c>
      <c r="B772" s="3" t="n">
        <v>58426948452444</v>
      </c>
      <c r="C772" s="3" t="inlineStr">
        <is>
          <t>已簽收</t>
        </is>
      </c>
      <c r="D772" s="3" t="inlineStr">
        <is>
          <t>2026-07-03 17:31:14</t>
        </is>
      </c>
      <c r="E772" s="3" t="inlineStr">
        <is>
          <t>2026-07-04 16:13</t>
        </is>
      </c>
      <c r="F772" s="3" t="n">
        <v>4.45</v>
      </c>
      <c r="G772" s="3" t="n">
        <v>1</v>
      </c>
      <c r="H772" s="3" t="n"/>
      <c r="I772" s="3" t="inlineStr"/>
      <c r="J772" s="3" t="inlineStr">
        <is>
          <t>Keeta</t>
        </is>
      </c>
      <c r="K772" s="3" t="inlineStr">
        <is>
          <t>****9568</t>
        </is>
      </c>
      <c r="L772" s="3" t="n"/>
      <c r="M772" s="3" t="inlineStr">
        <is>
          <t>***** 物流中心5樓</t>
        </is>
      </c>
      <c r="N772" s="3" t="inlineStr">
        <is>
          <t>北区</t>
        </is>
      </c>
      <c r="O772" s="3" t="inlineStr">
        <is>
          <t>香港</t>
        </is>
      </c>
      <c r="P772" s="3" t="inlineStr">
        <is>
          <t>香港特别行政区</t>
        </is>
      </c>
      <c r="Q772" s="3" t="n">
        <v>572031</v>
      </c>
      <c r="R772" s="3" t="inlineStr">
        <is>
          <t>TheMatchaTokyo(屯門)</t>
        </is>
      </c>
      <c r="S772" s="3" t="inlineStr">
        <is>
          <t>****27755886</t>
        </is>
      </c>
      <c r="T772" s="3" t="inlineStr">
        <is>
          <t>****27755886</t>
        </is>
      </c>
      <c r="U772" s="3" t="inlineStr">
        <is>
          <t>***** 1133號舖</t>
        </is>
      </c>
      <c r="V772" s="3" t="inlineStr">
        <is>
          <t>香港</t>
        </is>
      </c>
      <c r="W772" s="3" t="inlineStr">
        <is>
          <t>机纸/小票纸 / 包出</t>
        </is>
      </c>
      <c r="X772" s="3" t="inlineStr">
        <is>
          <t>ESS-SFTS-OTMS</t>
        </is>
      </c>
      <c r="Y772" s="3" t="n"/>
      <c r="Z772" s="3" t="inlineStr"/>
      <c r="AA772" s="3" t="inlineStr">
        <is>
          <t>寄付月結</t>
        </is>
      </c>
      <c r="AB772">
        <f>IFERROR(VLOOKUP(Q772&amp;"",對照表!$A:$B,1,FALSE),"")</f>
        <v/>
      </c>
      <c r="AC772">
        <f>IFERROR(VLOOKUP(Q772&amp;"",對照表!$A:$B,2,FALSE),"")</f>
        <v/>
      </c>
    </row>
    <row r="773">
      <c r="A773" s="3" t="inlineStr">
        <is>
          <t>SF5119018987880</t>
        </is>
      </c>
      <c r="B773" s="3" t="n">
        <v>58426948452476</v>
      </c>
      <c r="C773" s="3" t="inlineStr">
        <is>
          <t>已簽收</t>
        </is>
      </c>
      <c r="D773" s="3" t="inlineStr">
        <is>
          <t>2026-07-03 18:19:01</t>
        </is>
      </c>
      <c r="E773" s="3" t="inlineStr">
        <is>
          <t>2026-07-04 11:29</t>
        </is>
      </c>
      <c r="F773" s="3" t="n">
        <v>2.28</v>
      </c>
      <c r="G773" s="3" t="n">
        <v>1</v>
      </c>
      <c r="H773" s="3" t="n"/>
      <c r="I773" s="3" t="inlineStr"/>
      <c r="J773" s="3" t="inlineStr">
        <is>
          <t>Keeta</t>
        </is>
      </c>
      <c r="K773" s="3" t="inlineStr">
        <is>
          <t>****9568</t>
        </is>
      </c>
      <c r="L773" s="3" t="n"/>
      <c r="M773" s="3" t="inlineStr">
        <is>
          <t>***** 物流中心5樓</t>
        </is>
      </c>
      <c r="N773" s="3" t="inlineStr">
        <is>
          <t>北区</t>
        </is>
      </c>
      <c r="O773" s="3" t="inlineStr">
        <is>
          <t>香港</t>
        </is>
      </c>
      <c r="P773" s="3" t="inlineStr">
        <is>
          <t>香港特别行政区</t>
        </is>
      </c>
      <c r="Q773" s="3" t="n">
        <v>721523396</v>
      </c>
      <c r="R773" s="3" t="inlineStr">
        <is>
          <t>廈香記</t>
        </is>
      </c>
      <c r="S773" s="3" t="inlineStr">
        <is>
          <t>****65057714</t>
        </is>
      </c>
      <c r="T773" s="3" t="inlineStr">
        <is>
          <t>****65057714</t>
        </is>
      </c>
      <c r="U773" s="3" t="inlineStr">
        <is>
          <t>***** 座10樓B室</t>
        </is>
      </c>
      <c r="V773" s="3" t="inlineStr">
        <is>
          <t>香港</t>
        </is>
      </c>
      <c r="W773" s="3" t="inlineStr">
        <is>
          <t>塑料袋【大】/ 扎出</t>
        </is>
      </c>
      <c r="X773" s="3" t="inlineStr">
        <is>
          <t>ESS-SFTS-OTMS</t>
        </is>
      </c>
      <c r="Y773" s="3" t="n"/>
      <c r="Z773" s="3" t="inlineStr"/>
      <c r="AA773" s="3" t="inlineStr">
        <is>
          <t>寄付月結</t>
        </is>
      </c>
      <c r="AB773">
        <f>IFERROR(VLOOKUP(Q773&amp;"",對照表!$A:$B,1,FALSE),"")</f>
        <v/>
      </c>
      <c r="AC773">
        <f>IFERROR(VLOOKUP(Q773&amp;"",對照表!$A:$B,2,FALSE),"")</f>
        <v/>
      </c>
    </row>
    <row r="774">
      <c r="A774" s="3" t="inlineStr">
        <is>
          <t>SF5119018987396</t>
        </is>
      </c>
      <c r="B774" s="3" t="n">
        <v>58426948452371</v>
      </c>
      <c r="C774" s="3" t="inlineStr">
        <is>
          <t>已簽收</t>
        </is>
      </c>
      <c r="D774" s="3" t="inlineStr">
        <is>
          <t>2026-07-03 18:13:41</t>
        </is>
      </c>
      <c r="E774" s="3" t="inlineStr">
        <is>
          <t>2026-07-04 10:35</t>
        </is>
      </c>
      <c r="F774" s="3" t="n">
        <v>43.5</v>
      </c>
      <c r="G774" s="3" t="n">
        <v>3</v>
      </c>
      <c r="H774" s="3" t="n"/>
      <c r="I774" s="3" t="inlineStr"/>
      <c r="J774" s="3" t="inlineStr">
        <is>
          <t>Keeta</t>
        </is>
      </c>
      <c r="K774" s="3" t="inlineStr">
        <is>
          <t>****9568</t>
        </is>
      </c>
      <c r="L774" s="3" t="n"/>
      <c r="M774" s="3" t="inlineStr">
        <is>
          <t>***** 物流中心5樓</t>
        </is>
      </c>
      <c r="N774" s="3" t="inlineStr">
        <is>
          <t>北区</t>
        </is>
      </c>
      <c r="O774" s="3" t="inlineStr">
        <is>
          <t>香港</t>
        </is>
      </c>
      <c r="P774" s="3" t="inlineStr">
        <is>
          <t>香港特别行政区</t>
        </is>
      </c>
      <c r="Q774" s="3" t="n">
        <v>462067</v>
      </c>
      <c r="R774" s="3" t="inlineStr">
        <is>
          <t>麥當勞(油麗)McDonalds</t>
        </is>
      </c>
      <c r="S774" s="3" t="inlineStr">
        <is>
          <t>****24898777</t>
        </is>
      </c>
      <c r="T774" s="3" t="inlineStr">
        <is>
          <t>****24898777</t>
        </is>
      </c>
      <c r="U774" s="3" t="inlineStr">
        <is>
          <t>***** 下5及6號舖</t>
        </is>
      </c>
      <c r="V774" s="3" t="inlineStr">
        <is>
          <t>香港</t>
        </is>
      </c>
      <c r="W774" s="3" t="inlineStr">
        <is>
          <t>纸袋【通版】/ 箱出</t>
        </is>
      </c>
      <c r="X774" s="3" t="inlineStr">
        <is>
          <t>ESS-SFTS-OTMS</t>
        </is>
      </c>
      <c r="Y774" s="3" t="n"/>
      <c r="Z774" s="3" t="inlineStr"/>
      <c r="AA774" s="3" t="inlineStr">
        <is>
          <t>寄付月結</t>
        </is>
      </c>
      <c r="AB774">
        <f>IFERROR(VLOOKUP(Q774&amp;"",對照表!$A:$B,1,FALSE),"")</f>
        <v/>
      </c>
      <c r="AC774">
        <f>IFERROR(VLOOKUP(Q774&amp;"",對照表!$A:$B,2,FALSE),"")</f>
        <v/>
      </c>
    </row>
    <row r="775">
      <c r="A775" s="3" t="inlineStr">
        <is>
          <t>SF5119018988123</t>
        </is>
      </c>
      <c r="B775" s="3" t="n">
        <v>58426948452518</v>
      </c>
      <c r="C775" s="3" t="inlineStr">
        <is>
          <t>已簽收</t>
        </is>
      </c>
      <c r="D775" s="3" t="inlineStr">
        <is>
          <t>2026-07-03 17:48:58</t>
        </is>
      </c>
      <c r="E775" s="3" t="inlineStr">
        <is>
          <t>2026-07-04 13:52</t>
        </is>
      </c>
      <c r="F775" s="3" t="n">
        <v>1.5</v>
      </c>
      <c r="G775" s="3" t="n">
        <v>1</v>
      </c>
      <c r="H775" s="3" t="n"/>
      <c r="I775" s="3" t="inlineStr"/>
      <c r="J775" s="3" t="inlineStr">
        <is>
          <t>Keeta</t>
        </is>
      </c>
      <c r="K775" s="3" t="inlineStr">
        <is>
          <t>****9568</t>
        </is>
      </c>
      <c r="L775" s="3" t="n"/>
      <c r="M775" s="3" t="inlineStr">
        <is>
          <t>***** 物流中心5樓</t>
        </is>
      </c>
      <c r="N775" s="3" t="inlineStr">
        <is>
          <t>北区</t>
        </is>
      </c>
      <c r="O775" s="3" t="inlineStr">
        <is>
          <t>香港</t>
        </is>
      </c>
      <c r="P775" s="3" t="inlineStr">
        <is>
          <t>香港特别行政区</t>
        </is>
      </c>
      <c r="Q775" s="3" t="n">
        <v>489525</v>
      </c>
      <c r="R775" s="3" t="inlineStr">
        <is>
          <t>羅勒印度餐廳六年米芝蓮推介（唐俊街）</t>
        </is>
      </c>
      <c r="S775" s="3" t="inlineStr">
        <is>
          <t>****65212090</t>
        </is>
      </c>
      <c r="T775" s="3" t="inlineStr">
        <is>
          <t>****65212090</t>
        </is>
      </c>
      <c r="U775" s="3" t="inlineStr">
        <is>
          <t>***** e1樓6A室</t>
        </is>
      </c>
      <c r="V775" s="3" t="inlineStr">
        <is>
          <t>香港</t>
        </is>
      </c>
      <c r="W775" s="3" t="inlineStr">
        <is>
          <t>机纸/小票纸 / 包出</t>
        </is>
      </c>
      <c r="X775" s="3" t="inlineStr">
        <is>
          <t>ESS-SFTS-OTMS</t>
        </is>
      </c>
      <c r="Y775" s="3" t="n"/>
      <c r="Z775" s="3" t="inlineStr"/>
      <c r="AA775" s="3" t="inlineStr">
        <is>
          <t>寄付月結</t>
        </is>
      </c>
      <c r="AB775">
        <f>IFERROR(VLOOKUP(Q775&amp;"",對照表!$A:$B,1,FALSE),"")</f>
        <v/>
      </c>
      <c r="AC775">
        <f>IFERROR(VLOOKUP(Q775&amp;"",對照表!$A:$B,2,FALSE),"")</f>
        <v/>
      </c>
    </row>
    <row r="776">
      <c r="A776" s="3" t="inlineStr">
        <is>
          <t>SF5119018987678</t>
        </is>
      </c>
      <c r="B776" s="3" t="n">
        <v>58426948452431</v>
      </c>
      <c r="C776" s="3" t="inlineStr">
        <is>
          <t>已簽收</t>
        </is>
      </c>
      <c r="D776" s="3" t="inlineStr">
        <is>
          <t>2026-07-03 17:29:55</t>
        </is>
      </c>
      <c r="E776" s="3" t="inlineStr">
        <is>
          <t>2026-07-04 12:34</t>
        </is>
      </c>
      <c r="F776" s="3" t="n">
        <v>4.45</v>
      </c>
      <c r="G776" s="3" t="n">
        <v>1</v>
      </c>
      <c r="H776" s="3" t="n"/>
      <c r="I776" s="3" t="inlineStr"/>
      <c r="J776" s="3" t="inlineStr">
        <is>
          <t>Keeta</t>
        </is>
      </c>
      <c r="K776" s="3" t="inlineStr">
        <is>
          <t>****9568</t>
        </is>
      </c>
      <c r="L776" s="3" t="n"/>
      <c r="M776" s="3" t="inlineStr">
        <is>
          <t>***** 物流中心5樓</t>
        </is>
      </c>
      <c r="N776" s="3" t="inlineStr">
        <is>
          <t>北区</t>
        </is>
      </c>
      <c r="O776" s="3" t="inlineStr">
        <is>
          <t>香港</t>
        </is>
      </c>
      <c r="P776" s="3" t="inlineStr">
        <is>
          <t>香港特别行政区</t>
        </is>
      </c>
      <c r="Q776" s="3" t="n">
        <v>494508</v>
      </c>
      <c r="R776" s="3" t="inlineStr">
        <is>
          <t>喜雙逢酒家</t>
        </is>
      </c>
      <c r="S776" s="3" t="inlineStr">
        <is>
          <t>****24553738</t>
        </is>
      </c>
      <c r="T776" s="3" t="inlineStr">
        <is>
          <t>****24553738</t>
        </is>
      </c>
      <c r="U776" s="3" t="inlineStr">
        <is>
          <t>***** 1-120號</t>
        </is>
      </c>
      <c r="V776" s="3" t="inlineStr">
        <is>
          <t>香港</t>
        </is>
      </c>
      <c r="W776" s="3" t="inlineStr">
        <is>
          <t>机纸/小票纸 / 包出</t>
        </is>
      </c>
      <c r="X776" s="3" t="inlineStr">
        <is>
          <t>ESS-SFTS-OTMS</t>
        </is>
      </c>
      <c r="Y776" s="3" t="n"/>
      <c r="Z776" s="3" t="inlineStr"/>
      <c r="AA776" s="3" t="inlineStr">
        <is>
          <t>寄付月結</t>
        </is>
      </c>
      <c r="AB776">
        <f>IFERROR(VLOOKUP(Q776&amp;"",對照表!$A:$B,1,FALSE),"")</f>
        <v/>
      </c>
      <c r="AC776">
        <f>IFERROR(VLOOKUP(Q776&amp;"",對照表!$A:$B,2,FALSE),"")</f>
        <v/>
      </c>
    </row>
    <row r="777">
      <c r="A777" s="3" t="inlineStr">
        <is>
          <t>SF5116616532559</t>
        </is>
      </c>
      <c r="B777" s="3" t="n">
        <v>58424825774275</v>
      </c>
      <c r="C777" s="3" t="inlineStr">
        <is>
          <t>已簽收</t>
        </is>
      </c>
      <c r="D777" s="3" t="inlineStr">
        <is>
          <t>2026-07-03 15:33:08</t>
        </is>
      </c>
      <c r="E777" s="3" t="inlineStr">
        <is>
          <t>2026-07-04 11:44</t>
        </is>
      </c>
      <c r="F777" s="3" t="n">
        <v>43.4</v>
      </c>
      <c r="G777" s="3" t="n">
        <v>4</v>
      </c>
      <c r="H777" s="3" t="n"/>
      <c r="I777" s="3" t="inlineStr"/>
      <c r="J777" s="3" t="inlineStr">
        <is>
          <t>Keeta</t>
        </is>
      </c>
      <c r="K777" s="3" t="inlineStr">
        <is>
          <t>****9568</t>
        </is>
      </c>
      <c r="L777" s="3" t="n"/>
      <c r="M777" s="3" t="inlineStr">
        <is>
          <t>***** 物流中心5樓</t>
        </is>
      </c>
      <c r="N777" s="3" t="inlineStr">
        <is>
          <t>北区</t>
        </is>
      </c>
      <c r="O777" s="3" t="inlineStr">
        <is>
          <t>香港</t>
        </is>
      </c>
      <c r="P777" s="3" t="inlineStr">
        <is>
          <t>香港特别行政区</t>
        </is>
      </c>
      <c r="Q777" s="3" t="n">
        <v>721530398</v>
      </c>
      <c r="R777" s="3" t="inlineStr">
        <is>
          <t>東煌燒味</t>
        </is>
      </c>
      <c r="S777" s="3" t="inlineStr">
        <is>
          <t>****52019628</t>
        </is>
      </c>
      <c r="T777" s="3" t="inlineStr">
        <is>
          <t>****52019628</t>
        </is>
      </c>
      <c r="U777" s="3" t="inlineStr">
        <is>
          <t>***** 好利洋樓C舖</t>
        </is>
      </c>
      <c r="V777" s="3" t="inlineStr">
        <is>
          <t>香港</t>
        </is>
      </c>
      <c r="W777" s="3" t="inlineStr">
        <is>
          <t>无纺布【规格三中号】/ 箱出, 无纺布【规格四大号】/ 箱出</t>
        </is>
      </c>
      <c r="X777" s="3" t="inlineStr">
        <is>
          <t>ESS-SFTS-OTMS</t>
        </is>
      </c>
      <c r="Y777" s="3" t="n"/>
      <c r="Z777" s="3" t="inlineStr"/>
      <c r="AA777" s="3" t="inlineStr">
        <is>
          <t>寄付月結</t>
        </is>
      </c>
      <c r="AB777">
        <f>IFERROR(VLOOKUP(Q777&amp;"",對照表!$A:$B,1,FALSE),"")</f>
        <v/>
      </c>
      <c r="AC777">
        <f>IFERROR(VLOOKUP(Q777&amp;"",對照表!$A:$B,2,FALSE),"")</f>
        <v/>
      </c>
    </row>
    <row r="778">
      <c r="A778" s="3" t="inlineStr">
        <is>
          <t>SF5119018987378</t>
        </is>
      </c>
      <c r="B778" s="3" t="n">
        <v>58426948452366</v>
      </c>
      <c r="C778" s="3" t="inlineStr">
        <is>
          <t>已簽收</t>
        </is>
      </c>
      <c r="D778" s="3" t="inlineStr">
        <is>
          <t>2026-07-03 18:05:36</t>
        </is>
      </c>
      <c r="E778" s="3" t="inlineStr">
        <is>
          <t>2026-07-04 11:47</t>
        </is>
      </c>
      <c r="F778" s="3" t="n">
        <v>3.6</v>
      </c>
      <c r="G778" s="3" t="n">
        <v>1</v>
      </c>
      <c r="H778" s="3" t="n"/>
      <c r="I778" s="3" t="inlineStr"/>
      <c r="J778" s="3" t="inlineStr">
        <is>
          <t>Keeta</t>
        </is>
      </c>
      <c r="K778" s="3" t="inlineStr">
        <is>
          <t>****9568</t>
        </is>
      </c>
      <c r="L778" s="3" t="n"/>
      <c r="M778" s="3" t="inlineStr">
        <is>
          <t>***** 物流中心5樓</t>
        </is>
      </c>
      <c r="N778" s="3" t="inlineStr">
        <is>
          <t>北区</t>
        </is>
      </c>
      <c r="O778" s="3" t="inlineStr">
        <is>
          <t>香港</t>
        </is>
      </c>
      <c r="P778" s="3" t="inlineStr">
        <is>
          <t>香港特别行政区</t>
        </is>
      </c>
      <c r="Q778" s="3" t="n">
        <v>721449311</v>
      </c>
      <c r="R778" s="3" t="inlineStr">
        <is>
          <t>中心點MeetPoint（慈雲山中心）</t>
        </is>
      </c>
      <c r="S778" s="3" t="inlineStr">
        <is>
          <t>****24232222</t>
        </is>
      </c>
      <c r="T778" s="3" t="inlineStr">
        <is>
          <t>****24232222</t>
        </is>
      </c>
      <c r="U778" s="3" t="inlineStr">
        <is>
          <t>***** -210號舖</t>
        </is>
      </c>
      <c r="V778" s="3" t="inlineStr">
        <is>
          <t>香港</t>
        </is>
      </c>
      <c r="W778" s="3" t="inlineStr">
        <is>
          <t>封签【通版】/ 扎出</t>
        </is>
      </c>
      <c r="X778" s="3" t="inlineStr">
        <is>
          <t>ESS-SFTS-OTMS</t>
        </is>
      </c>
      <c r="Y778" s="3" t="n"/>
      <c r="Z778" s="3" t="inlineStr"/>
      <c r="AA778" s="3" t="inlineStr">
        <is>
          <t>寄付月結</t>
        </is>
      </c>
      <c r="AB778">
        <f>IFERROR(VLOOKUP(Q778&amp;"",對照表!$A:$B,1,FALSE),"")</f>
        <v/>
      </c>
      <c r="AC778">
        <f>IFERROR(VLOOKUP(Q778&amp;"",對照表!$A:$B,2,FALSE),"")</f>
        <v/>
      </c>
    </row>
    <row r="779">
      <c r="A779" s="3" t="inlineStr">
        <is>
          <t>SF5119018987669</t>
        </is>
      </c>
      <c r="B779" s="3" t="n">
        <v>58426948452428</v>
      </c>
      <c r="C779" s="3" t="inlineStr">
        <is>
          <t>已簽收</t>
        </is>
      </c>
      <c r="D779" s="3" t="inlineStr">
        <is>
          <t>2026-07-03 18:01:49</t>
        </is>
      </c>
      <c r="E779" s="3" t="inlineStr">
        <is>
          <t>2026-07-04 12:08</t>
        </is>
      </c>
      <c r="F779" s="3" t="n">
        <v>30</v>
      </c>
      <c r="G779" s="3" t="n">
        <v>2</v>
      </c>
      <c r="H779" s="3" t="n"/>
      <c r="I779" s="3" t="inlineStr"/>
      <c r="J779" s="3" t="inlineStr">
        <is>
          <t>Keeta</t>
        </is>
      </c>
      <c r="K779" s="3" t="inlineStr">
        <is>
          <t>****9568</t>
        </is>
      </c>
      <c r="L779" s="3" t="n"/>
      <c r="M779" s="3" t="inlineStr">
        <is>
          <t>***** 物流中心5樓</t>
        </is>
      </c>
      <c r="N779" s="3" t="inlineStr">
        <is>
          <t>北区</t>
        </is>
      </c>
      <c r="O779" s="3" t="inlineStr">
        <is>
          <t>香港</t>
        </is>
      </c>
      <c r="P779" s="3" t="inlineStr">
        <is>
          <t>香港特别行政区</t>
        </is>
      </c>
      <c r="Q779" s="3" t="n">
        <v>471844</v>
      </c>
      <c r="R779" s="3" t="inlineStr">
        <is>
          <t>麥當勞(Airside)McDonalds</t>
        </is>
      </c>
      <c r="S779" s="3" t="inlineStr">
        <is>
          <t>****27453698</t>
        </is>
      </c>
      <c r="T779" s="3" t="inlineStr">
        <is>
          <t>****27453698</t>
        </is>
      </c>
      <c r="U779" s="3" t="inlineStr">
        <is>
          <t>***** B117號舖</t>
        </is>
      </c>
      <c r="V779" s="3" t="inlineStr">
        <is>
          <t>香港</t>
        </is>
      </c>
      <c r="W779" s="3" t="inlineStr">
        <is>
          <t>纸袋【通版】/ 箱出</t>
        </is>
      </c>
      <c r="X779" s="3" t="inlineStr">
        <is>
          <t>ESS-SFTS-OTMS</t>
        </is>
      </c>
      <c r="Y779" s="3" t="n"/>
      <c r="Z779" s="3" t="inlineStr"/>
      <c r="AA779" s="3" t="inlineStr">
        <is>
          <t>寄付月結</t>
        </is>
      </c>
      <c r="AB779">
        <f>IFERROR(VLOOKUP(Q779&amp;"",對照表!$A:$B,1,FALSE),"")</f>
        <v/>
      </c>
      <c r="AC779">
        <f>IFERROR(VLOOKUP(Q779&amp;"",對照表!$A:$B,2,FALSE),"")</f>
        <v/>
      </c>
    </row>
    <row r="780">
      <c r="A780" s="3" t="inlineStr">
        <is>
          <t>SF5119018987483</t>
        </is>
      </c>
      <c r="B780" s="3" t="n">
        <v>58426948452390</v>
      </c>
      <c r="C780" s="3" t="inlineStr">
        <is>
          <t>已簽收</t>
        </is>
      </c>
      <c r="D780" s="3" t="inlineStr">
        <is>
          <t>2026-07-03 18:13:07</t>
        </is>
      </c>
      <c r="E780" s="3" t="inlineStr">
        <is>
          <t>2026-07-04 11:30</t>
        </is>
      </c>
      <c r="F780" s="3" t="n">
        <v>43.5</v>
      </c>
      <c r="G780" s="3" t="n">
        <v>3</v>
      </c>
      <c r="H780" s="3" t="n"/>
      <c r="I780" s="3" t="inlineStr"/>
      <c r="J780" s="3" t="inlineStr">
        <is>
          <t>Keeta</t>
        </is>
      </c>
      <c r="K780" s="3" t="inlineStr">
        <is>
          <t>****9568</t>
        </is>
      </c>
      <c r="L780" s="3" t="n"/>
      <c r="M780" s="3" t="inlineStr">
        <is>
          <t>***** 物流中心5樓</t>
        </is>
      </c>
      <c r="N780" s="3" t="inlineStr">
        <is>
          <t>北区</t>
        </is>
      </c>
      <c r="O780" s="3" t="inlineStr">
        <is>
          <t>香港</t>
        </is>
      </c>
      <c r="P780" s="3" t="inlineStr">
        <is>
          <t>香港特别行政区</t>
        </is>
      </c>
      <c r="Q780" s="3" t="n">
        <v>607799</v>
      </c>
      <c r="R780" s="3" t="inlineStr">
        <is>
          <t>麥當勞(石蔭)McDonalds</t>
        </is>
      </c>
      <c r="S780" s="3" t="inlineStr">
        <is>
          <t>****22760880</t>
        </is>
      </c>
      <c r="T780" s="3" t="inlineStr">
        <is>
          <t>****22760880</t>
        </is>
      </c>
      <c r="U780" s="3" t="inlineStr">
        <is>
          <t>***** 及214號舖</t>
        </is>
      </c>
      <c r="V780" s="3" t="inlineStr">
        <is>
          <t>香港</t>
        </is>
      </c>
      <c r="W780" s="3" t="inlineStr">
        <is>
          <t>纸袋【通版】/ 箱出</t>
        </is>
      </c>
      <c r="X780" s="3" t="inlineStr">
        <is>
          <t>ESS-SFTS-OTMS</t>
        </is>
      </c>
      <c r="Y780" s="3" t="n"/>
      <c r="Z780" s="3" t="inlineStr"/>
      <c r="AA780" s="3" t="inlineStr">
        <is>
          <t>寄付月結</t>
        </is>
      </c>
      <c r="AB780">
        <f>IFERROR(VLOOKUP(Q780&amp;"",對照表!$A:$B,1,FALSE),"")</f>
        <v/>
      </c>
      <c r="AC780">
        <f>IFERROR(VLOOKUP(Q780&amp;"",對照表!$A:$B,2,FALSE),"")</f>
        <v/>
      </c>
    </row>
    <row r="781">
      <c r="A781" s="3" t="inlineStr">
        <is>
          <t>SF5116616189526</t>
        </is>
      </c>
      <c r="B781" s="3" t="n">
        <v>58424825741660</v>
      </c>
      <c r="C781" s="3" t="inlineStr">
        <is>
          <t>已簽收</t>
        </is>
      </c>
      <c r="D781" s="3" t="inlineStr">
        <is>
          <t>2026-07-03 15:33:10</t>
        </is>
      </c>
      <c r="E781" s="3" t="inlineStr">
        <is>
          <t>2026-07-04 11:47</t>
        </is>
      </c>
      <c r="F781" s="3" t="n">
        <v>43.4</v>
      </c>
      <c r="G781" s="3" t="n">
        <v>4</v>
      </c>
      <c r="H781" s="3" t="n"/>
      <c r="I781" s="3" t="inlineStr"/>
      <c r="J781" s="3" t="inlineStr">
        <is>
          <t>Keeta</t>
        </is>
      </c>
      <c r="K781" s="3" t="inlineStr">
        <is>
          <t>****9568</t>
        </is>
      </c>
      <c r="L781" s="3" t="n"/>
      <c r="M781" s="3" t="inlineStr">
        <is>
          <t>***** 物流中心5樓</t>
        </is>
      </c>
      <c r="N781" s="3" t="inlineStr">
        <is>
          <t>北区</t>
        </is>
      </c>
      <c r="O781" s="3" t="inlineStr">
        <is>
          <t>香港</t>
        </is>
      </c>
      <c r="P781" s="3" t="inlineStr">
        <is>
          <t>香港特别行政区</t>
        </is>
      </c>
      <c r="Q781" s="3" t="n">
        <v>721538390</v>
      </c>
      <c r="R781" s="3" t="inlineStr">
        <is>
          <t>佳尊亞洲美食（荔枝角）</t>
        </is>
      </c>
      <c r="S781" s="3" t="inlineStr">
        <is>
          <t>****65444488</t>
        </is>
      </c>
      <c r="T781" s="3" t="inlineStr">
        <is>
          <t>****65444488</t>
        </is>
      </c>
      <c r="U781" s="3" t="inlineStr">
        <is>
          <t>***** op 6號舖</t>
        </is>
      </c>
      <c r="V781" s="3" t="inlineStr">
        <is>
          <t>香港</t>
        </is>
      </c>
      <c r="W781" s="3" t="inlineStr">
        <is>
          <t>无纺布【规格四大号】/ 箱出, 无纺布【规格三中号】/ 箱出</t>
        </is>
      </c>
      <c r="X781" s="3" t="inlineStr">
        <is>
          <t>ESS-SFTS-OTMS</t>
        </is>
      </c>
      <c r="Y781" s="3" t="n"/>
      <c r="Z781" s="3" t="inlineStr"/>
      <c r="AA781" s="3" t="inlineStr">
        <is>
          <t>寄付月結</t>
        </is>
      </c>
      <c r="AB781">
        <f>IFERROR(VLOOKUP(Q781&amp;"",對照表!$A:$B,1,FALSE),"")</f>
        <v/>
      </c>
      <c r="AC781">
        <f>IFERROR(VLOOKUP(Q781&amp;"",對照表!$A:$B,2,FALSE),"")</f>
        <v/>
      </c>
    </row>
    <row r="782">
      <c r="A782" s="3" t="inlineStr">
        <is>
          <t>SF5119018987987</t>
        </is>
      </c>
      <c r="B782" s="3" t="n">
        <v>58426948452490</v>
      </c>
      <c r="C782" s="3" t="inlineStr">
        <is>
          <t>已簽收</t>
        </is>
      </c>
      <c r="D782" s="3" t="inlineStr">
        <is>
          <t>2026-07-03 17:49:52</t>
        </is>
      </c>
      <c r="E782" s="3" t="inlineStr">
        <is>
          <t>2026-07-04 12:27</t>
        </is>
      </c>
      <c r="F782" s="3" t="n">
        <v>14.5</v>
      </c>
      <c r="G782" s="3" t="n">
        <v>1</v>
      </c>
      <c r="H782" s="3" t="n"/>
      <c r="I782" s="3" t="inlineStr"/>
      <c r="J782" s="3" t="inlineStr">
        <is>
          <t>Keeta</t>
        </is>
      </c>
      <c r="K782" s="3" t="inlineStr">
        <is>
          <t>****9568</t>
        </is>
      </c>
      <c r="L782" s="3" t="n"/>
      <c r="M782" s="3" t="inlineStr">
        <is>
          <t>***** 物流中心5樓</t>
        </is>
      </c>
      <c r="N782" s="3" t="inlineStr">
        <is>
          <t>北区</t>
        </is>
      </c>
      <c r="O782" s="3" t="inlineStr">
        <is>
          <t>香港</t>
        </is>
      </c>
      <c r="P782" s="3" t="inlineStr">
        <is>
          <t>香港特别行政区</t>
        </is>
      </c>
      <c r="Q782" s="3" t="n">
        <v>472081</v>
      </c>
      <c r="R782" s="3" t="inlineStr">
        <is>
          <t>PretAManger(港鐵旺角東站)</t>
        </is>
      </c>
      <c r="S782" s="3" t="inlineStr">
        <is>
          <t>****21649711</t>
        </is>
      </c>
      <c r="T782" s="3" t="inlineStr">
        <is>
          <t>****21649711</t>
        </is>
      </c>
      <c r="U782" s="3" t="inlineStr">
        <is>
          <t>***** 站MKK6舖</t>
        </is>
      </c>
      <c r="V782" s="3" t="inlineStr">
        <is>
          <t>香港</t>
        </is>
      </c>
      <c r="W782" s="3" t="inlineStr">
        <is>
          <t>纸袋【通版】/ 箱出</t>
        </is>
      </c>
      <c r="X782" s="3" t="inlineStr">
        <is>
          <t>ESS-SFTS-OTMS</t>
        </is>
      </c>
      <c r="Y782" s="3" t="n"/>
      <c r="Z782" s="3" t="inlineStr"/>
      <c r="AA782" s="3" t="inlineStr">
        <is>
          <t>寄付月結</t>
        </is>
      </c>
      <c r="AB782">
        <f>IFERROR(VLOOKUP(Q782&amp;"",對照表!$A:$B,1,FALSE),"")</f>
        <v/>
      </c>
      <c r="AC782">
        <f>IFERROR(VLOOKUP(Q782&amp;"",對照表!$A:$B,2,FALSE),"")</f>
        <v/>
      </c>
    </row>
    <row r="783">
      <c r="A783" s="3" t="inlineStr">
        <is>
          <t>SF5119018988099</t>
        </is>
      </c>
      <c r="B783" s="3" t="n">
        <v>58426948452513</v>
      </c>
      <c r="C783" s="3" t="inlineStr">
        <is>
          <t>已簽收</t>
        </is>
      </c>
      <c r="D783" s="3" t="inlineStr">
        <is>
          <t>2026-07-03 18:02:46</t>
        </is>
      </c>
      <c r="E783" s="3" t="inlineStr">
        <is>
          <t>2026-07-04 13:22</t>
        </is>
      </c>
      <c r="F783" s="3" t="n">
        <v>30</v>
      </c>
      <c r="G783" s="3" t="n">
        <v>2</v>
      </c>
      <c r="H783" s="3" t="n"/>
      <c r="I783" s="3" t="inlineStr"/>
      <c r="J783" s="3" t="inlineStr">
        <is>
          <t>Keeta</t>
        </is>
      </c>
      <c r="K783" s="3" t="inlineStr">
        <is>
          <t>****9568</t>
        </is>
      </c>
      <c r="L783" s="3" t="n"/>
      <c r="M783" s="3" t="inlineStr">
        <is>
          <t>***** 物流中心5樓</t>
        </is>
      </c>
      <c r="N783" s="3" t="inlineStr">
        <is>
          <t>北区</t>
        </is>
      </c>
      <c r="O783" s="3" t="inlineStr">
        <is>
          <t>香港</t>
        </is>
      </c>
      <c r="P783" s="3" t="inlineStr">
        <is>
          <t>香港特别行政区</t>
        </is>
      </c>
      <c r="Q783" s="3" t="n">
        <v>484913</v>
      </c>
      <c r="R783" s="3" t="inlineStr">
        <is>
          <t>麥當勞(景峰花園)McDonalds</t>
        </is>
      </c>
      <c r="S783" s="3" t="inlineStr">
        <is>
          <t>****24412180</t>
        </is>
      </c>
      <c r="T783" s="3" t="inlineStr">
        <is>
          <t>****24412180</t>
        </is>
      </c>
      <c r="U783" s="3" t="inlineStr">
        <is>
          <t>***** -G27號舖</t>
        </is>
      </c>
      <c r="V783" s="3" t="inlineStr">
        <is>
          <t>香港</t>
        </is>
      </c>
      <c r="W783" s="3" t="inlineStr">
        <is>
          <t>纸袋【通版】/ 箱出</t>
        </is>
      </c>
      <c r="X783" s="3" t="inlineStr">
        <is>
          <t>ESS-SFTS-OTMS</t>
        </is>
      </c>
      <c r="Y783" s="3" t="n"/>
      <c r="Z783" s="3" t="inlineStr"/>
      <c r="AA783" s="3" t="inlineStr">
        <is>
          <t>寄付月結</t>
        </is>
      </c>
      <c r="AB783">
        <f>IFERROR(VLOOKUP(Q783&amp;"",對照表!$A:$B,1,FALSE),"")</f>
        <v/>
      </c>
      <c r="AC783">
        <f>IFERROR(VLOOKUP(Q783&amp;"",對照表!$A:$B,2,FALSE),"")</f>
        <v/>
      </c>
    </row>
    <row r="784">
      <c r="A784" s="3" t="inlineStr">
        <is>
          <t>SF5119018988035</t>
        </is>
      </c>
      <c r="B784" s="3" t="n">
        <v>58426948452501</v>
      </c>
      <c r="C784" s="3" t="inlineStr">
        <is>
          <t>已簽收</t>
        </is>
      </c>
      <c r="D784" s="3" t="inlineStr">
        <is>
          <t>2026-07-03 17:30:52</t>
        </is>
      </c>
      <c r="E784" s="3" t="inlineStr">
        <is>
          <t>2026-07-04 11:41</t>
        </is>
      </c>
      <c r="F784" s="3" t="n">
        <v>4.45</v>
      </c>
      <c r="G784" s="3" t="n">
        <v>1</v>
      </c>
      <c r="H784" s="3" t="n"/>
      <c r="I784" s="3" t="inlineStr"/>
      <c r="J784" s="3" t="inlineStr">
        <is>
          <t>Keeta</t>
        </is>
      </c>
      <c r="K784" s="3" t="inlineStr">
        <is>
          <t>****9568</t>
        </is>
      </c>
      <c r="L784" s="3" t="n"/>
      <c r="M784" s="3" t="inlineStr">
        <is>
          <t>***** 物流中心5樓</t>
        </is>
      </c>
      <c r="N784" s="3" t="inlineStr">
        <is>
          <t>北区</t>
        </is>
      </c>
      <c r="O784" s="3" t="inlineStr">
        <is>
          <t>香港</t>
        </is>
      </c>
      <c r="P784" s="3" t="inlineStr">
        <is>
          <t>香港特别行政区</t>
        </is>
      </c>
      <c r="Q784" s="3" t="n">
        <v>600439</v>
      </c>
      <c r="R784" s="3" t="inlineStr">
        <is>
          <t>雲川百味米線紅薯粉麵(元朗)</t>
        </is>
      </c>
      <c r="S784" s="3" t="inlineStr">
        <is>
          <t>****27660399</t>
        </is>
      </c>
      <c r="T784" s="3" t="inlineStr">
        <is>
          <t>****27660399</t>
        </is>
      </c>
      <c r="U784" s="3" t="inlineStr">
        <is>
          <t>***** 號福德樓地下</t>
        </is>
      </c>
      <c r="V784" s="3" t="inlineStr">
        <is>
          <t>香港</t>
        </is>
      </c>
      <c r="W784" s="3" t="inlineStr">
        <is>
          <t>机纸/小票纸 / 包出</t>
        </is>
      </c>
      <c r="X784" s="3" t="inlineStr">
        <is>
          <t>ESS-SFTS-OTMS</t>
        </is>
      </c>
      <c r="Y784" s="3" t="n"/>
      <c r="Z784" s="3" t="inlineStr"/>
      <c r="AA784" s="3" t="inlineStr">
        <is>
          <t>寄付月結</t>
        </is>
      </c>
      <c r="AB784">
        <f>IFERROR(VLOOKUP(Q784&amp;"",對照表!$A:$B,1,FALSE),"")</f>
        <v/>
      </c>
      <c r="AC784">
        <f>IFERROR(VLOOKUP(Q784&amp;"",對照表!$A:$B,2,FALSE),"")</f>
        <v/>
      </c>
    </row>
    <row r="785">
      <c r="A785" s="3" t="inlineStr">
        <is>
          <t>SF5119018987808</t>
        </is>
      </c>
      <c r="B785" s="3" t="n">
        <v>58426948452458</v>
      </c>
      <c r="C785" s="3" t="inlineStr">
        <is>
          <t>已簽收</t>
        </is>
      </c>
      <c r="D785" s="3" t="inlineStr">
        <is>
          <t>2026-07-03 18:15:37</t>
        </is>
      </c>
      <c r="E785" s="3" t="inlineStr">
        <is>
          <t>2026-07-04 11:53</t>
        </is>
      </c>
      <c r="F785" s="3" t="n">
        <v>4.56</v>
      </c>
      <c r="G785" s="3" t="n">
        <v>1</v>
      </c>
      <c r="H785" s="3" t="n"/>
      <c r="I785" s="3" t="inlineStr"/>
      <c r="J785" s="3" t="inlineStr">
        <is>
          <t>Keeta</t>
        </is>
      </c>
      <c r="K785" s="3" t="inlineStr">
        <is>
          <t>****9568</t>
        </is>
      </c>
      <c r="L785" s="3" t="n"/>
      <c r="M785" s="3" t="inlineStr">
        <is>
          <t>***** 物流中心5樓</t>
        </is>
      </c>
      <c r="N785" s="3" t="inlineStr">
        <is>
          <t>北区</t>
        </is>
      </c>
      <c r="O785" s="3" t="inlineStr">
        <is>
          <t>香港</t>
        </is>
      </c>
      <c r="P785" s="3" t="inlineStr">
        <is>
          <t>香港特别行政区</t>
        </is>
      </c>
      <c r="Q785" s="3" t="n">
        <v>584928</v>
      </c>
      <c r="R785" s="3" t="inlineStr">
        <is>
          <t>AlDente意式情迷士丹頓街</t>
        </is>
      </c>
      <c r="S785" s="3" t="inlineStr">
        <is>
          <t>****28695463</t>
        </is>
      </c>
      <c r="T785" s="3" t="inlineStr">
        <is>
          <t>****28695463</t>
        </is>
      </c>
      <c r="U785" s="3" t="inlineStr">
        <is>
          <t>***** 街16號地舖</t>
        </is>
      </c>
      <c r="V785" s="3" t="inlineStr">
        <is>
          <t>香港</t>
        </is>
      </c>
      <c r="W785" s="3" t="inlineStr">
        <is>
          <t>塑料袋【大】/ 扎出</t>
        </is>
      </c>
      <c r="X785" s="3" t="inlineStr">
        <is>
          <t>ESS-SFTS-OTMS</t>
        </is>
      </c>
      <c r="Y785" s="3" t="n"/>
      <c r="Z785" s="3" t="inlineStr"/>
      <c r="AA785" s="3" t="inlineStr">
        <is>
          <t>寄付月結</t>
        </is>
      </c>
      <c r="AB785">
        <f>IFERROR(VLOOKUP(Q785&amp;"",對照表!$A:$B,1,FALSE),"")</f>
        <v/>
      </c>
      <c r="AC785">
        <f>IFERROR(VLOOKUP(Q785&amp;"",對照表!$A:$B,2,FALSE),"")</f>
        <v/>
      </c>
    </row>
    <row r="786">
      <c r="A786" s="3" t="inlineStr">
        <is>
          <t>SF5119018987899</t>
        </is>
      </c>
      <c r="B786" s="3" t="n">
        <v>58426948452475</v>
      </c>
      <c r="C786" s="3" t="inlineStr">
        <is>
          <t>已簽收</t>
        </is>
      </c>
      <c r="D786" s="3" t="inlineStr">
        <is>
          <t>2026-07-03 17:31:00</t>
        </is>
      </c>
      <c r="E786" s="3" t="inlineStr">
        <is>
          <t>2026-07-04 10:28</t>
        </is>
      </c>
      <c r="F786" s="3" t="n">
        <v>4.45</v>
      </c>
      <c r="G786" s="3" t="n">
        <v>1</v>
      </c>
      <c r="H786" s="3" t="n"/>
      <c r="I786" s="3" t="inlineStr"/>
      <c r="J786" s="3" t="inlineStr">
        <is>
          <t>Keeta</t>
        </is>
      </c>
      <c r="K786" s="3" t="inlineStr">
        <is>
          <t>****9568</t>
        </is>
      </c>
      <c r="L786" s="3" t="n"/>
      <c r="M786" s="3" t="inlineStr">
        <is>
          <t>***** 物流中心5樓</t>
        </is>
      </c>
      <c r="N786" s="3" t="inlineStr">
        <is>
          <t>北区</t>
        </is>
      </c>
      <c r="O786" s="3" t="inlineStr">
        <is>
          <t>香港</t>
        </is>
      </c>
      <c r="P786" s="3" t="inlineStr">
        <is>
          <t>香港特别行政区</t>
        </is>
      </c>
      <c r="Q786" s="3" t="n">
        <v>721521394</v>
      </c>
      <c r="R786" s="3" t="inlineStr">
        <is>
          <t>季麗冰室</t>
        </is>
      </c>
      <c r="S786" s="3" t="inlineStr">
        <is>
          <t>****23669993</t>
        </is>
      </c>
      <c r="T786" s="3" t="inlineStr">
        <is>
          <t>****23669993</t>
        </is>
      </c>
      <c r="U786" s="3" t="inlineStr">
        <is>
          <t>***** 101C號舖</t>
        </is>
      </c>
      <c r="V786" s="3" t="inlineStr">
        <is>
          <t>香港</t>
        </is>
      </c>
      <c r="W786" s="3" t="inlineStr">
        <is>
          <t>机纸/小票纸 / 包出</t>
        </is>
      </c>
      <c r="X786" s="3" t="inlineStr">
        <is>
          <t>ESS-SFTS-OTMS</t>
        </is>
      </c>
      <c r="Y786" s="3" t="n"/>
      <c r="Z786" s="3" t="inlineStr"/>
      <c r="AA786" s="3" t="inlineStr">
        <is>
          <t>寄付月結</t>
        </is>
      </c>
      <c r="AB786">
        <f>IFERROR(VLOOKUP(Q786&amp;"",對照表!$A:$B,1,FALSE),"")</f>
        <v/>
      </c>
      <c r="AC786">
        <f>IFERROR(VLOOKUP(Q786&amp;"",對照表!$A:$B,2,FALSE),"")</f>
        <v/>
      </c>
    </row>
    <row r="787">
      <c r="A787" s="3" t="inlineStr">
        <is>
          <t>SF5119018987401</t>
        </is>
      </c>
      <c r="B787" s="3" t="n">
        <v>58426948452373</v>
      </c>
      <c r="C787" s="3" t="inlineStr">
        <is>
          <t>已簽收</t>
        </is>
      </c>
      <c r="D787" s="3" t="inlineStr">
        <is>
          <t>2026-07-03 18:20:50</t>
        </is>
      </c>
      <c r="E787" s="3" t="inlineStr">
        <is>
          <t>2026-07-06 15:35</t>
        </is>
      </c>
      <c r="F787" s="3" t="n">
        <v>101.5</v>
      </c>
      <c r="G787" s="3" t="n">
        <v>7</v>
      </c>
      <c r="H787" s="3" t="n"/>
      <c r="I787" s="3" t="inlineStr"/>
      <c r="J787" s="3" t="inlineStr">
        <is>
          <t>Keeta</t>
        </is>
      </c>
      <c r="K787" s="3" t="inlineStr">
        <is>
          <t>****9568</t>
        </is>
      </c>
      <c r="L787" s="3" t="n"/>
      <c r="M787" s="3" t="inlineStr">
        <is>
          <t>***** 物流中心5樓</t>
        </is>
      </c>
      <c r="N787" s="3" t="inlineStr">
        <is>
          <t>北区</t>
        </is>
      </c>
      <c r="O787" s="3" t="inlineStr">
        <is>
          <t>香港</t>
        </is>
      </c>
      <c r="P787" s="3" t="inlineStr">
        <is>
          <t>香港特别行政区</t>
        </is>
      </c>
      <c r="Q787" s="3" t="n">
        <v>576566</v>
      </c>
      <c r="R787" s="3" t="inlineStr">
        <is>
          <t>麥當勞(俊宏軒)McDonalds</t>
        </is>
      </c>
      <c r="S787" s="3" t="inlineStr">
        <is>
          <t>****28115481</t>
        </is>
      </c>
      <c r="T787" s="3" t="inlineStr">
        <is>
          <t>****28115481</t>
        </is>
      </c>
      <c r="U787" s="3" t="inlineStr">
        <is>
          <t>***** 5-G7號舖</t>
        </is>
      </c>
      <c r="V787" s="3" t="inlineStr">
        <is>
          <t>香港</t>
        </is>
      </c>
      <c r="W787" s="3" t="inlineStr">
        <is>
          <t>纸袋【通版】/ 箱出</t>
        </is>
      </c>
      <c r="X787" s="3" t="inlineStr">
        <is>
          <t>ESS-SFTS-OTMS</t>
        </is>
      </c>
      <c r="Y787" s="3" t="n"/>
      <c r="Z787" s="3" t="inlineStr"/>
      <c r="AA787" s="3" t="inlineStr">
        <is>
          <t>寄付月結</t>
        </is>
      </c>
      <c r="AB787">
        <f>IFERROR(VLOOKUP(Q787&amp;"",對照表!$A:$B,1,FALSE),"")</f>
        <v/>
      </c>
      <c r="AC787">
        <f>IFERROR(VLOOKUP(Q787&amp;"",對照表!$A:$B,2,FALSE),"")</f>
        <v/>
      </c>
    </row>
    <row r="788">
      <c r="A788" s="3" t="inlineStr">
        <is>
          <t>SF5119018987835</t>
        </is>
      </c>
      <c r="B788" s="3" t="n">
        <v>58426948452465</v>
      </c>
      <c r="C788" s="3" t="inlineStr">
        <is>
          <t>已簽收</t>
        </is>
      </c>
      <c r="D788" s="3" t="inlineStr">
        <is>
          <t>2026-07-03 17:58:04</t>
        </is>
      </c>
      <c r="E788" s="3" t="inlineStr">
        <is>
          <t>2026-07-04 12:38</t>
        </is>
      </c>
      <c r="F788" s="3" t="n">
        <v>1.48</v>
      </c>
      <c r="G788" s="3" t="n">
        <v>1</v>
      </c>
      <c r="H788" s="3" t="n"/>
      <c r="I788" s="3" t="inlineStr"/>
      <c r="J788" s="3" t="inlineStr">
        <is>
          <t>Keeta</t>
        </is>
      </c>
      <c r="K788" s="3" t="inlineStr">
        <is>
          <t>****9568</t>
        </is>
      </c>
      <c r="L788" s="3" t="n"/>
      <c r="M788" s="3" t="inlineStr">
        <is>
          <t>***** 物流中心5樓</t>
        </is>
      </c>
      <c r="N788" s="3" t="inlineStr">
        <is>
          <t>北区</t>
        </is>
      </c>
      <c r="O788" s="3" t="inlineStr">
        <is>
          <t>香港</t>
        </is>
      </c>
      <c r="P788" s="3" t="inlineStr">
        <is>
          <t>香港特别行政区</t>
        </is>
      </c>
      <c r="Q788" s="3" t="n">
        <v>721452342</v>
      </c>
      <c r="R788" s="3" t="inlineStr">
        <is>
          <t>一團餃子（土瓜灣）手工餃子新鮮製造即叫即煮</t>
        </is>
      </c>
      <c r="S788" s="3" t="inlineStr">
        <is>
          <t>****59939241</t>
        </is>
      </c>
      <c r="T788" s="3" t="inlineStr">
        <is>
          <t>****59939241</t>
        </is>
      </c>
      <c r="U788" s="3" t="inlineStr">
        <is>
          <t>***** 帝街101號</t>
        </is>
      </c>
      <c r="V788" s="3" t="inlineStr">
        <is>
          <t>香港</t>
        </is>
      </c>
      <c r="W788" s="3" t="inlineStr">
        <is>
          <t>封签【通版】/ 扎出, 机纸/小票纸 / 包出</t>
        </is>
      </c>
      <c r="X788" s="3" t="inlineStr">
        <is>
          <t>ESS-SFTS-OTMS</t>
        </is>
      </c>
      <c r="Y788" s="3" t="n"/>
      <c r="Z788" s="3" t="inlineStr"/>
      <c r="AA788" s="3" t="inlineStr">
        <is>
          <t>寄付月結</t>
        </is>
      </c>
      <c r="AB788">
        <f>IFERROR(VLOOKUP(Q788&amp;"",對照表!$A:$B,1,FALSE),"")</f>
        <v/>
      </c>
      <c r="AC788">
        <f>IFERROR(VLOOKUP(Q788&amp;"",對照表!$A:$B,2,FALSE),"")</f>
        <v/>
      </c>
    </row>
    <row r="789">
      <c r="A789" s="3" t="inlineStr">
        <is>
          <t>SF5119018987853</t>
        </is>
      </c>
      <c r="B789" s="3" t="n">
        <v>58426948452469</v>
      </c>
      <c r="C789" s="3" t="inlineStr">
        <is>
          <t>已簽收</t>
        </is>
      </c>
      <c r="D789" s="3" t="inlineStr">
        <is>
          <t>2026-07-03 18:20:41</t>
        </is>
      </c>
      <c r="E789" s="3" t="inlineStr">
        <is>
          <t>2026-07-04 12:54</t>
        </is>
      </c>
      <c r="F789" s="3" t="n">
        <v>6</v>
      </c>
      <c r="G789" s="3" t="n">
        <v>1</v>
      </c>
      <c r="H789" s="3" t="n"/>
      <c r="I789" s="3" t="inlineStr"/>
      <c r="J789" s="3" t="inlineStr">
        <is>
          <t>Keeta</t>
        </is>
      </c>
      <c r="K789" s="3" t="inlineStr">
        <is>
          <t>****9568</t>
        </is>
      </c>
      <c r="L789" s="3" t="n"/>
      <c r="M789" s="3" t="inlineStr">
        <is>
          <t>***** 物流中心5樓</t>
        </is>
      </c>
      <c r="N789" s="3" t="inlineStr">
        <is>
          <t>北区</t>
        </is>
      </c>
      <c r="O789" s="3" t="inlineStr">
        <is>
          <t>香港</t>
        </is>
      </c>
      <c r="P789" s="3" t="inlineStr">
        <is>
          <t>香港特别行政区</t>
        </is>
      </c>
      <c r="Q789" s="3" t="n">
        <v>721539350</v>
      </c>
      <c r="R789" s="3" t="inlineStr">
        <is>
          <t>Drool(中環店)(夏日熱辣辣食雪糕解暑)</t>
        </is>
      </c>
      <c r="S789" s="3" t="inlineStr">
        <is>
          <t>****63103908</t>
        </is>
      </c>
      <c r="T789" s="3" t="inlineStr">
        <is>
          <t>****63103908</t>
        </is>
      </c>
      <c r="U789" s="3" t="inlineStr">
        <is>
          <t>***** 街懷遠樓地下</t>
        </is>
      </c>
      <c r="V789" s="3" t="inlineStr">
        <is>
          <t>香港</t>
        </is>
      </c>
      <c r="W789" s="3" t="inlineStr">
        <is>
          <t>无纺布【规格一单杯】/ 箱出</t>
        </is>
      </c>
      <c r="X789" s="3" t="inlineStr">
        <is>
          <t>ESS-SFTS-OTMS</t>
        </is>
      </c>
      <c r="Y789" s="3" t="n"/>
      <c r="Z789" s="3" t="inlineStr"/>
      <c r="AA789" s="3" t="inlineStr">
        <is>
          <t>寄付月結</t>
        </is>
      </c>
      <c r="AB789">
        <f>IFERROR(VLOOKUP(Q789&amp;"",對照表!$A:$B,1,FALSE),"")</f>
        <v/>
      </c>
      <c r="AC789">
        <f>IFERROR(VLOOKUP(Q789&amp;"",對照表!$A:$B,2,FALSE),"")</f>
        <v/>
      </c>
    </row>
    <row r="790">
      <c r="A790" s="3" t="inlineStr">
        <is>
          <t>SF5119018988044</t>
        </is>
      </c>
      <c r="B790" s="3" t="n">
        <v>58426948452503</v>
      </c>
      <c r="C790" s="3" t="inlineStr">
        <is>
          <t>已簽收</t>
        </is>
      </c>
      <c r="D790" s="3" t="inlineStr">
        <is>
          <t>2026-07-03 17:49:54</t>
        </is>
      </c>
      <c r="E790" s="3" t="inlineStr">
        <is>
          <t>2026-07-04 10:28</t>
        </is>
      </c>
      <c r="F790" s="3" t="n">
        <v>14.5</v>
      </c>
      <c r="G790" s="3" t="n">
        <v>1</v>
      </c>
      <c r="H790" s="3" t="n"/>
      <c r="I790" s="3" t="inlineStr"/>
      <c r="J790" s="3" t="inlineStr">
        <is>
          <t>Keeta</t>
        </is>
      </c>
      <c r="K790" s="3" t="inlineStr">
        <is>
          <t>****9568</t>
        </is>
      </c>
      <c r="L790" s="3" t="n"/>
      <c r="M790" s="3" t="inlineStr">
        <is>
          <t>***** 物流中心5樓</t>
        </is>
      </c>
      <c r="N790" s="3" t="inlineStr">
        <is>
          <t>北区</t>
        </is>
      </c>
      <c r="O790" s="3" t="inlineStr">
        <is>
          <t>香港</t>
        </is>
      </c>
      <c r="P790" s="3" t="inlineStr">
        <is>
          <t>香港特别行政区</t>
        </is>
      </c>
      <c r="Q790" s="3" t="n">
        <v>721520367</v>
      </c>
      <c r="R790" s="3" t="inlineStr">
        <is>
          <t>麥當勞(南豐)McDonalds</t>
        </is>
      </c>
      <c r="S790" s="3" t="inlineStr">
        <is>
          <t>****24111531</t>
        </is>
      </c>
      <c r="T790" s="3" t="inlineStr">
        <is>
          <t>****24111531</t>
        </is>
      </c>
      <c r="U790" s="3" t="inlineStr">
        <is>
          <t>***** 樓301號舖</t>
        </is>
      </c>
      <c r="V790" s="3" t="inlineStr">
        <is>
          <t>香港</t>
        </is>
      </c>
      <c r="W790" s="3" t="inlineStr">
        <is>
          <t>纸袋【通版】/ 箱出</t>
        </is>
      </c>
      <c r="X790" s="3" t="inlineStr">
        <is>
          <t>ESS-SFTS-OTMS</t>
        </is>
      </c>
      <c r="Y790" s="3" t="n"/>
      <c r="Z790" s="3" t="inlineStr"/>
      <c r="AA790" s="3" t="inlineStr">
        <is>
          <t>寄付月結</t>
        </is>
      </c>
      <c r="AB790">
        <f>IFERROR(VLOOKUP(Q790&amp;"",對照表!$A:$B,1,FALSE),"")</f>
        <v/>
      </c>
      <c r="AC790">
        <f>IFERROR(VLOOKUP(Q790&amp;"",對照表!$A:$B,2,FALSE),"")</f>
        <v/>
      </c>
    </row>
    <row r="791">
      <c r="A791" s="3" t="inlineStr">
        <is>
          <t>SF5119018987941</t>
        </is>
      </c>
      <c r="B791" s="3" t="n">
        <v>58426948452487</v>
      </c>
      <c r="C791" s="3" t="inlineStr">
        <is>
          <t>已簽收</t>
        </is>
      </c>
      <c r="D791" s="3" t="inlineStr">
        <is>
          <t>2026-07-03 18:20:46</t>
        </is>
      </c>
      <c r="E791" s="3" t="inlineStr">
        <is>
          <t>2026-07-04 15:05</t>
        </is>
      </c>
      <c r="F791" s="3" t="n">
        <v>14.4</v>
      </c>
      <c r="G791" s="3" t="n">
        <v>2</v>
      </c>
      <c r="H791" s="3" t="n"/>
      <c r="I791" s="3" t="inlineStr"/>
      <c r="J791" s="3" t="inlineStr">
        <is>
          <t>Keeta</t>
        </is>
      </c>
      <c r="K791" s="3" t="inlineStr">
        <is>
          <t>****9568</t>
        </is>
      </c>
      <c r="L791" s="3" t="n"/>
      <c r="M791" s="3" t="inlineStr">
        <is>
          <t>***** 物流中心5樓</t>
        </is>
      </c>
      <c r="N791" s="3" t="inlineStr">
        <is>
          <t>北区</t>
        </is>
      </c>
      <c r="O791" s="3" t="inlineStr">
        <is>
          <t>香港</t>
        </is>
      </c>
      <c r="P791" s="3" t="inlineStr">
        <is>
          <t>香港特别行政区</t>
        </is>
      </c>
      <c r="Q791" s="3" t="n">
        <v>721483290</v>
      </c>
      <c r="R791" s="3" t="inlineStr">
        <is>
          <t>YoYogurt(南昌)</t>
        </is>
      </c>
      <c r="S791" s="3" t="inlineStr">
        <is>
          <t>****57021136</t>
        </is>
      </c>
      <c r="T791" s="3" t="inlineStr">
        <is>
          <t>****57021136</t>
        </is>
      </c>
      <c r="U791" s="3" t="inlineStr">
        <is>
          <t>***** L2-13店</t>
        </is>
      </c>
      <c r="V791" s="3" t="inlineStr">
        <is>
          <t>香港</t>
        </is>
      </c>
      <c r="W791" s="3" t="inlineStr">
        <is>
          <t>无纺布【规格三中号】/ 箱出, 机纸/小票纸 / 包出</t>
        </is>
      </c>
      <c r="X791" s="3" t="inlineStr">
        <is>
          <t>ESS-SFTS-OTMS</t>
        </is>
      </c>
      <c r="Y791" s="3" t="n"/>
      <c r="Z791" s="3" t="inlineStr"/>
      <c r="AA791" s="3" t="inlineStr">
        <is>
          <t>寄付月結</t>
        </is>
      </c>
      <c r="AB791">
        <f>IFERROR(VLOOKUP(Q791&amp;"",對照表!$A:$B,1,FALSE),"")</f>
        <v/>
      </c>
      <c r="AC791">
        <f>IFERROR(VLOOKUP(Q791&amp;"",對照表!$A:$B,2,FALSE),"")</f>
        <v/>
      </c>
    </row>
    <row r="792">
      <c r="A792" s="3" t="inlineStr">
        <is>
          <t>SF5119018988336</t>
        </is>
      </c>
      <c r="B792" s="3" t="n">
        <v>58426948452567</v>
      </c>
      <c r="C792" s="3" t="inlineStr">
        <is>
          <t>已簽收</t>
        </is>
      </c>
      <c r="D792" s="3" t="inlineStr">
        <is>
          <t>2026-07-03 17:57:46</t>
        </is>
      </c>
      <c r="E792" s="3" t="inlineStr">
        <is>
          <t>2026-07-04 12:41</t>
        </is>
      </c>
      <c r="F792" s="3" t="n">
        <v>1.5</v>
      </c>
      <c r="G792" s="3" t="n">
        <v>1</v>
      </c>
      <c r="H792" s="3" t="n"/>
      <c r="I792" s="3" t="inlineStr"/>
      <c r="J792" s="3" t="inlineStr">
        <is>
          <t>Keeta</t>
        </is>
      </c>
      <c r="K792" s="3" t="inlineStr">
        <is>
          <t>****9568</t>
        </is>
      </c>
      <c r="L792" s="3" t="n"/>
      <c r="M792" s="3" t="inlineStr">
        <is>
          <t>***** 物流中心5樓</t>
        </is>
      </c>
      <c r="N792" s="3" t="inlineStr">
        <is>
          <t>北区</t>
        </is>
      </c>
      <c r="O792" s="3" t="inlineStr">
        <is>
          <t>香港</t>
        </is>
      </c>
      <c r="P792" s="3" t="inlineStr">
        <is>
          <t>香港特别行政区</t>
        </is>
      </c>
      <c r="Q792" s="3" t="n">
        <v>583173</v>
      </c>
      <c r="R792" s="3" t="inlineStr">
        <is>
          <t>三一餃子(通菜街)TrinityDumpling(TungChoiStreet)</t>
        </is>
      </c>
      <c r="S792" s="3" t="inlineStr">
        <is>
          <t>****98165177</t>
        </is>
      </c>
      <c r="T792" s="3" t="inlineStr">
        <is>
          <t>****98165177</t>
        </is>
      </c>
      <c r="U792" s="3" t="inlineStr">
        <is>
          <t>***** 街71號地舖</t>
        </is>
      </c>
      <c r="V792" s="3" t="inlineStr">
        <is>
          <t>香港</t>
        </is>
      </c>
      <c r="W792" s="3" t="inlineStr">
        <is>
          <t>机纸/小票纸 / 包出</t>
        </is>
      </c>
      <c r="X792" s="3" t="inlineStr">
        <is>
          <t>ESS-SFTS-OTMS</t>
        </is>
      </c>
      <c r="Y792" s="3" t="n"/>
      <c r="Z792" s="3" t="inlineStr"/>
      <c r="AA792" s="3" t="inlineStr">
        <is>
          <t>寄付月結</t>
        </is>
      </c>
      <c r="AB792">
        <f>IFERROR(VLOOKUP(Q792&amp;"",對照表!$A:$B,1,FALSE),"")</f>
        <v/>
      </c>
      <c r="AC792">
        <f>IFERROR(VLOOKUP(Q792&amp;"",對照表!$A:$B,2,FALSE),"")</f>
        <v/>
      </c>
    </row>
    <row r="793">
      <c r="A793" s="3" t="inlineStr">
        <is>
          <t>SF5119018988080</t>
        </is>
      </c>
      <c r="B793" s="3" t="n">
        <v>58426948452510</v>
      </c>
      <c r="C793" s="3" t="inlineStr">
        <is>
          <t>已簽收</t>
        </is>
      </c>
      <c r="D793" s="3" t="inlineStr">
        <is>
          <t>2026-07-03 18:11:32</t>
        </is>
      </c>
      <c r="E793" s="3" t="inlineStr">
        <is>
          <t>2026-07-04 11:20</t>
        </is>
      </c>
      <c r="F793" s="3" t="n">
        <v>43.5</v>
      </c>
      <c r="G793" s="3" t="n">
        <v>3</v>
      </c>
      <c r="H793" s="3" t="n"/>
      <c r="I793" s="3" t="inlineStr"/>
      <c r="J793" s="3" t="inlineStr">
        <is>
          <t>Keeta</t>
        </is>
      </c>
      <c r="K793" s="3" t="inlineStr">
        <is>
          <t>****9568</t>
        </is>
      </c>
      <c r="L793" s="3" t="n"/>
      <c r="M793" s="3" t="inlineStr">
        <is>
          <t>***** 物流中心5樓</t>
        </is>
      </c>
      <c r="N793" s="3" t="inlineStr">
        <is>
          <t>北区</t>
        </is>
      </c>
      <c r="O793" s="3" t="inlineStr">
        <is>
          <t>香港</t>
        </is>
      </c>
      <c r="P793" s="3" t="inlineStr">
        <is>
          <t>香港特别行政区</t>
        </is>
      </c>
      <c r="Q793" s="3" t="n">
        <v>721512371</v>
      </c>
      <c r="R793" s="3" t="inlineStr">
        <is>
          <t>麥當勞(康城)McDonalds</t>
        </is>
      </c>
      <c r="S793" s="3" t="inlineStr">
        <is>
          <t>****27951806</t>
        </is>
      </c>
      <c r="T793" s="3" t="inlineStr">
        <is>
          <t>****27951806</t>
        </is>
      </c>
      <c r="U793" s="3" t="inlineStr">
        <is>
          <t>***** 431A號舖</t>
        </is>
      </c>
      <c r="V793" s="3" t="inlineStr">
        <is>
          <t>香港</t>
        </is>
      </c>
      <c r="W793" s="3" t="inlineStr">
        <is>
          <t>纸袋【通版】/ 箱出</t>
        </is>
      </c>
      <c r="X793" s="3" t="inlineStr">
        <is>
          <t>ESS-SFTS-OTMS</t>
        </is>
      </c>
      <c r="Y793" s="3" t="n"/>
      <c r="Z793" s="3" t="inlineStr"/>
      <c r="AA793" s="3" t="inlineStr">
        <is>
          <t>寄付月結</t>
        </is>
      </c>
      <c r="AB793">
        <f>IFERROR(VLOOKUP(Q793&amp;"",對照表!$A:$B,1,FALSE),"")</f>
        <v/>
      </c>
      <c r="AC793">
        <f>IFERROR(VLOOKUP(Q793&amp;"",對照表!$A:$B,2,FALSE),"")</f>
        <v/>
      </c>
    </row>
    <row r="794">
      <c r="A794" s="3" t="inlineStr">
        <is>
          <t>SF5116616187766</t>
        </is>
      </c>
      <c r="B794" s="3" t="n">
        <v>58424825708583</v>
      </c>
      <c r="C794" s="3" t="inlineStr">
        <is>
          <t>已簽收</t>
        </is>
      </c>
      <c r="D794" s="3" t="inlineStr">
        <is>
          <t>2026-07-03 15:33:05</t>
        </is>
      </c>
      <c r="E794" s="3" t="inlineStr">
        <is>
          <t>2026-07-04 10:25</t>
        </is>
      </c>
      <c r="F794" s="3" t="n">
        <v>43.4</v>
      </c>
      <c r="G794" s="3" t="n">
        <v>4</v>
      </c>
      <c r="H794" s="3" t="n"/>
      <c r="I794" s="3" t="inlineStr"/>
      <c r="J794" s="3" t="inlineStr">
        <is>
          <t>Keeta</t>
        </is>
      </c>
      <c r="K794" s="3" t="inlineStr">
        <is>
          <t>****9568</t>
        </is>
      </c>
      <c r="L794" s="3" t="n"/>
      <c r="M794" s="3" t="inlineStr">
        <is>
          <t>***** 物流中心5樓</t>
        </is>
      </c>
      <c r="N794" s="3" t="inlineStr">
        <is>
          <t>北区</t>
        </is>
      </c>
      <c r="O794" s="3" t="inlineStr">
        <is>
          <t>香港</t>
        </is>
      </c>
      <c r="P794" s="3" t="inlineStr">
        <is>
          <t>香港特别行政区</t>
        </is>
      </c>
      <c r="Q794" s="3" t="n">
        <v>737574</v>
      </c>
      <c r="R794" s="3" t="inlineStr">
        <is>
          <t>佳尊亞洲美食（惹味串燒8折Pizza薄餅值得一試）</t>
        </is>
      </c>
      <c r="S794" s="3" t="inlineStr">
        <is>
          <t>****65444488</t>
        </is>
      </c>
      <c r="T794" s="3" t="inlineStr">
        <is>
          <t>****65444488</t>
        </is>
      </c>
      <c r="U794" s="3" t="inlineStr">
        <is>
          <t>***** Po, 香港</t>
        </is>
      </c>
      <c r="V794" s="3" t="inlineStr">
        <is>
          <t>香港</t>
        </is>
      </c>
      <c r="W794" s="3" t="inlineStr">
        <is>
          <t>无纺布【规格四大号】/ 箱出, 无纺布【规格三中号】/ 箱出</t>
        </is>
      </c>
      <c r="X794" s="3" t="inlineStr">
        <is>
          <t>ESS-SFTS-OTMS</t>
        </is>
      </c>
      <c r="Y794" s="3" t="n"/>
      <c r="Z794" s="3" t="inlineStr"/>
      <c r="AA794" s="3" t="inlineStr">
        <is>
          <t>寄付月結</t>
        </is>
      </c>
      <c r="AB794">
        <f>IFERROR(VLOOKUP(Q794&amp;"",對照表!$A:$B,1,FALSE),"")</f>
        <v/>
      </c>
      <c r="AC794">
        <f>IFERROR(VLOOKUP(Q794&amp;"",對照表!$A:$B,2,FALSE),"")</f>
        <v/>
      </c>
    </row>
    <row r="795">
      <c r="A795" s="3" t="inlineStr">
        <is>
          <t>SF5119018988026</t>
        </is>
      </c>
      <c r="B795" s="3" t="n">
        <v>58426948452498</v>
      </c>
      <c r="C795" s="3" t="inlineStr">
        <is>
          <t>已簽收</t>
        </is>
      </c>
      <c r="D795" s="3" t="inlineStr">
        <is>
          <t>2026-07-03 17:30:55</t>
        </is>
      </c>
      <c r="E795" s="3" t="inlineStr">
        <is>
          <t>2026-07-04 11:12</t>
        </is>
      </c>
      <c r="F795" s="3" t="n">
        <v>4.45</v>
      </c>
      <c r="G795" s="3" t="n">
        <v>1</v>
      </c>
      <c r="H795" s="3" t="n"/>
      <c r="I795" s="3" t="inlineStr"/>
      <c r="J795" s="3" t="inlineStr">
        <is>
          <t>Keeta</t>
        </is>
      </c>
      <c r="K795" s="3" t="inlineStr">
        <is>
          <t>****9568</t>
        </is>
      </c>
      <c r="L795" s="3" t="n"/>
      <c r="M795" s="3" t="inlineStr">
        <is>
          <t>***** 物流中心5樓</t>
        </is>
      </c>
      <c r="N795" s="3" t="inlineStr">
        <is>
          <t>北区</t>
        </is>
      </c>
      <c r="O795" s="3" t="inlineStr">
        <is>
          <t>香港</t>
        </is>
      </c>
      <c r="P795" s="3" t="inlineStr">
        <is>
          <t>香港特别行政区</t>
        </is>
      </c>
      <c r="Q795" s="3" t="n">
        <v>483791</v>
      </c>
      <c r="R795" s="3" t="inlineStr">
        <is>
          <t>金記冰室(形薈)</t>
        </is>
      </c>
      <c r="S795" s="3" t="inlineStr">
        <is>
          <t>****23386848</t>
        </is>
      </c>
      <c r="T795" s="3" t="inlineStr">
        <is>
          <t>****23386848</t>
        </is>
      </c>
      <c r="U795" s="3" t="inlineStr">
        <is>
          <t>***** -01A號舖</t>
        </is>
      </c>
      <c r="V795" s="3" t="inlineStr">
        <is>
          <t>香港</t>
        </is>
      </c>
      <c r="W795" s="3" t="inlineStr">
        <is>
          <t>机纸/小票纸 / 包出</t>
        </is>
      </c>
      <c r="X795" s="3" t="inlineStr">
        <is>
          <t>ESS-SFTS-OTMS</t>
        </is>
      </c>
      <c r="Y795" s="3" t="n"/>
      <c r="Z795" s="3" t="inlineStr"/>
      <c r="AA795" s="3" t="inlineStr">
        <is>
          <t>寄付月結</t>
        </is>
      </c>
      <c r="AB795">
        <f>IFERROR(VLOOKUP(Q795&amp;"",對照表!$A:$B,1,FALSE),"")</f>
        <v/>
      </c>
      <c r="AC795">
        <f>IFERROR(VLOOKUP(Q795&amp;"",對照表!$A:$B,2,FALSE),"")</f>
        <v/>
      </c>
    </row>
    <row r="796">
      <c r="A796" s="3" t="inlineStr">
        <is>
          <t>SF5119018988105</t>
        </is>
      </c>
      <c r="B796" s="3" t="n">
        <v>58426948452514</v>
      </c>
      <c r="C796" s="3" t="inlineStr">
        <is>
          <t>已簽收</t>
        </is>
      </c>
      <c r="D796" s="3" t="inlineStr">
        <is>
          <t>2026-07-03 17:57:44</t>
        </is>
      </c>
      <c r="E796" s="3" t="inlineStr">
        <is>
          <t>2026-07-04 12:08</t>
        </is>
      </c>
      <c r="F796" s="3" t="n">
        <v>1.9</v>
      </c>
      <c r="G796" s="3" t="n">
        <v>1</v>
      </c>
      <c r="H796" s="3" t="n"/>
      <c r="I796" s="3" t="inlineStr"/>
      <c r="J796" s="3" t="inlineStr">
        <is>
          <t>Keeta</t>
        </is>
      </c>
      <c r="K796" s="3" t="inlineStr">
        <is>
          <t>****9568</t>
        </is>
      </c>
      <c r="L796" s="3" t="n"/>
      <c r="M796" s="3" t="inlineStr">
        <is>
          <t>***** 物流中心5樓</t>
        </is>
      </c>
      <c r="N796" s="3" t="inlineStr">
        <is>
          <t>北区</t>
        </is>
      </c>
      <c r="O796" s="3" t="inlineStr">
        <is>
          <t>香港</t>
        </is>
      </c>
      <c r="P796" s="3" t="inlineStr">
        <is>
          <t>香港特别行政区</t>
        </is>
      </c>
      <c r="Q796" s="3" t="n">
        <v>560142</v>
      </c>
      <c r="R796" s="3" t="inlineStr">
        <is>
          <t>PizzaHut必勝客(美豐花園)</t>
        </is>
      </c>
      <c r="S796" s="3" t="inlineStr">
        <is>
          <t>****26621127</t>
        </is>
      </c>
      <c r="T796" s="3" t="inlineStr">
        <is>
          <t>****26621127</t>
        </is>
      </c>
      <c r="U796" s="3" t="inlineStr">
        <is>
          <t>***** 園地下3號舖</t>
        </is>
      </c>
      <c r="V796" s="3" t="inlineStr">
        <is>
          <t>香港</t>
        </is>
      </c>
      <c r="W796" s="3" t="inlineStr">
        <is>
          <t>机纸/小票纸 / 包出</t>
        </is>
      </c>
      <c r="X796" s="3" t="inlineStr">
        <is>
          <t>ESS-SFTS-OTMS</t>
        </is>
      </c>
      <c r="Y796" s="3" t="n"/>
      <c r="Z796" s="3" t="inlineStr"/>
      <c r="AA796" s="3" t="inlineStr">
        <is>
          <t>寄付月結</t>
        </is>
      </c>
      <c r="AB796">
        <f>IFERROR(VLOOKUP(Q796&amp;"",對照表!$A:$B,1,FALSE),"")</f>
        <v/>
      </c>
      <c r="AC796">
        <f>IFERROR(VLOOKUP(Q796&amp;"",對照表!$A:$B,2,FALSE),"")</f>
        <v/>
      </c>
    </row>
    <row r="797">
      <c r="A797" s="3" t="inlineStr">
        <is>
          <t>SF5116616532470</t>
        </is>
      </c>
      <c r="B797" s="3" t="n">
        <v>58424825774252</v>
      </c>
      <c r="C797" s="3" t="inlineStr">
        <is>
          <t>已簽收</t>
        </is>
      </c>
      <c r="D797" s="3" t="inlineStr">
        <is>
          <t>2026-07-03 15:33:09</t>
        </is>
      </c>
      <c r="E797" s="3" t="inlineStr">
        <is>
          <t>2026-07-04 10:13</t>
        </is>
      </c>
      <c r="F797" s="3" t="n">
        <v>43.4</v>
      </c>
      <c r="G797" s="3" t="n">
        <v>4</v>
      </c>
      <c r="H797" s="3" t="n"/>
      <c r="I797" s="3" t="inlineStr"/>
      <c r="J797" s="3" t="inlineStr">
        <is>
          <t>Keeta</t>
        </is>
      </c>
      <c r="K797" s="3" t="inlineStr">
        <is>
          <t>****9568</t>
        </is>
      </c>
      <c r="L797" s="3" t="n"/>
      <c r="M797" s="3" t="inlineStr">
        <is>
          <t>***** 物流中心5樓</t>
        </is>
      </c>
      <c r="N797" s="3" t="inlineStr">
        <is>
          <t>北区</t>
        </is>
      </c>
      <c r="O797" s="3" t="inlineStr">
        <is>
          <t>香港</t>
        </is>
      </c>
      <c r="P797" s="3" t="inlineStr">
        <is>
          <t>香港特别行政区</t>
        </is>
      </c>
      <c r="Q797" s="3" t="n">
        <v>721527306</v>
      </c>
      <c r="R797" s="3" t="inlineStr">
        <is>
          <t>壹首點心蒙茶茶</t>
        </is>
      </c>
      <c r="S797" s="3" t="inlineStr">
        <is>
          <t>****67795038</t>
        </is>
      </c>
      <c r="T797" s="3" t="inlineStr">
        <is>
          <t>****67795038</t>
        </is>
      </c>
      <c r="U797" s="3" t="inlineStr">
        <is>
          <t>***** 下A&amp;B號舖</t>
        </is>
      </c>
      <c r="V797" s="3" t="inlineStr">
        <is>
          <t>香港</t>
        </is>
      </c>
      <c r="W797" s="3" t="inlineStr">
        <is>
          <t>无纺布【规格四大号】/ 箱出, 无纺布【规格三中号】/ 箱出</t>
        </is>
      </c>
      <c r="X797" s="3" t="inlineStr">
        <is>
          <t>ESS-SFTS-OTMS</t>
        </is>
      </c>
      <c r="Y797" s="3" t="n"/>
      <c r="Z797" s="3" t="inlineStr"/>
      <c r="AA797" s="3" t="inlineStr">
        <is>
          <t>寄付月結</t>
        </is>
      </c>
      <c r="AB797">
        <f>IFERROR(VLOOKUP(Q797&amp;"",對照表!$A:$B,1,FALSE),"")</f>
        <v/>
      </c>
      <c r="AC797">
        <f>IFERROR(VLOOKUP(Q797&amp;"",對照表!$A:$B,2,FALSE),"")</f>
        <v/>
      </c>
    </row>
    <row r="798">
      <c r="A798" s="3" t="inlineStr">
        <is>
          <t>SF5119018988071</t>
        </is>
      </c>
      <c r="B798" s="3" t="n">
        <v>58426948452508</v>
      </c>
      <c r="C798" s="3" t="inlineStr">
        <is>
          <t>已簽收</t>
        </is>
      </c>
      <c r="D798" s="3" t="inlineStr">
        <is>
          <t>2026-07-03 18:02:42</t>
        </is>
      </c>
      <c r="E798" s="3" t="inlineStr">
        <is>
          <t>2026-07-04 09:53</t>
        </is>
      </c>
      <c r="F798" s="3" t="n">
        <v>30</v>
      </c>
      <c r="G798" s="3" t="n">
        <v>2</v>
      </c>
      <c r="H798" s="3" t="n"/>
      <c r="I798" s="3" t="inlineStr"/>
      <c r="J798" s="3" t="inlineStr">
        <is>
          <t>Keeta</t>
        </is>
      </c>
      <c r="K798" s="3" t="inlineStr">
        <is>
          <t>****9568</t>
        </is>
      </c>
      <c r="L798" s="3" t="n"/>
      <c r="M798" s="3" t="inlineStr">
        <is>
          <t>***** 物流中心5樓</t>
        </is>
      </c>
      <c r="N798" s="3" t="inlineStr">
        <is>
          <t>北区</t>
        </is>
      </c>
      <c r="O798" s="3" t="inlineStr">
        <is>
          <t>香港</t>
        </is>
      </c>
      <c r="P798" s="3" t="inlineStr">
        <is>
          <t>香港特别行政区</t>
        </is>
      </c>
      <c r="Q798" s="3" t="n">
        <v>721538394</v>
      </c>
      <c r="R798" s="3" t="inlineStr">
        <is>
          <t>麥當勞(信德中心)McDonalds</t>
        </is>
      </c>
      <c r="S798" s="3" t="inlineStr">
        <is>
          <t>****29758367</t>
        </is>
      </c>
      <c r="T798" s="3" t="inlineStr">
        <is>
          <t>****29758367</t>
        </is>
      </c>
      <c r="U798" s="3" t="inlineStr">
        <is>
          <t>***** 樓267號舖</t>
        </is>
      </c>
      <c r="V798" s="3" t="inlineStr">
        <is>
          <t>香港</t>
        </is>
      </c>
      <c r="W798" s="3" t="inlineStr">
        <is>
          <t>纸袋【通版】/ 箱出</t>
        </is>
      </c>
      <c r="X798" s="3" t="inlineStr">
        <is>
          <t>ESS-SFTS-OTMS</t>
        </is>
      </c>
      <c r="Y798" s="3" t="n"/>
      <c r="Z798" s="3" t="inlineStr"/>
      <c r="AA798" s="3" t="inlineStr">
        <is>
          <t>寄付月結</t>
        </is>
      </c>
      <c r="AB798">
        <f>IFERROR(VLOOKUP(Q798&amp;"",對照表!$A:$B,1,FALSE),"")</f>
        <v/>
      </c>
      <c r="AC798">
        <f>IFERROR(VLOOKUP(Q798&amp;"",對照表!$A:$B,2,FALSE),"")</f>
        <v/>
      </c>
    </row>
    <row r="799">
      <c r="A799" s="3" t="inlineStr">
        <is>
          <t>SF5119018988211</t>
        </is>
      </c>
      <c r="B799" s="3" t="n">
        <v>58426948452536</v>
      </c>
      <c r="C799" s="3" t="inlineStr">
        <is>
          <t>已簽收</t>
        </is>
      </c>
      <c r="D799" s="3" t="inlineStr">
        <is>
          <t>2026-07-03 18:19:26</t>
        </is>
      </c>
      <c r="E799" s="3" t="inlineStr">
        <is>
          <t>2026-07-04 13:02</t>
        </is>
      </c>
      <c r="F799" s="3" t="n">
        <v>58</v>
      </c>
      <c r="G799" s="3" t="n">
        <v>4</v>
      </c>
      <c r="H799" s="3" t="n"/>
      <c r="I799" s="3" t="inlineStr"/>
      <c r="J799" s="3" t="inlineStr">
        <is>
          <t>Keeta</t>
        </is>
      </c>
      <c r="K799" s="3" t="inlineStr">
        <is>
          <t>****9568</t>
        </is>
      </c>
      <c r="L799" s="3" t="n"/>
      <c r="M799" s="3" t="inlineStr">
        <is>
          <t>***** 物流中心5樓</t>
        </is>
      </c>
      <c r="N799" s="3" t="inlineStr">
        <is>
          <t>北区</t>
        </is>
      </c>
      <c r="O799" s="3" t="inlineStr">
        <is>
          <t>香港</t>
        </is>
      </c>
      <c r="P799" s="3" t="inlineStr">
        <is>
          <t>香港特别行政区</t>
        </is>
      </c>
      <c r="Q799" s="3" t="n">
        <v>721442321</v>
      </c>
      <c r="R799" s="3" t="inlineStr">
        <is>
          <t>麥當勞(朗景臺)McDonalds</t>
        </is>
      </c>
      <c r="S799" s="3" t="inlineStr">
        <is>
          <t>****27927555</t>
        </is>
      </c>
      <c r="T799" s="3" t="inlineStr">
        <is>
          <t>****27927555</t>
        </is>
      </c>
      <c r="U799" s="3" t="inlineStr">
        <is>
          <t>***** 3-19號舖</t>
        </is>
      </c>
      <c r="V799" s="3" t="inlineStr">
        <is>
          <t>香港</t>
        </is>
      </c>
      <c r="W799" s="3" t="inlineStr">
        <is>
          <t>纸袋【通版】/ 箱出</t>
        </is>
      </c>
      <c r="X799" s="3" t="inlineStr">
        <is>
          <t>ESS-SFTS-OTMS</t>
        </is>
      </c>
      <c r="Y799" s="3" t="n"/>
      <c r="Z799" s="3" t="inlineStr"/>
      <c r="AA799" s="3" t="inlineStr">
        <is>
          <t>寄付月結</t>
        </is>
      </c>
      <c r="AB799">
        <f>IFERROR(VLOOKUP(Q799&amp;"",對照表!$A:$B,1,FALSE),"")</f>
        <v/>
      </c>
      <c r="AC799">
        <f>IFERROR(VLOOKUP(Q799&amp;"",對照表!$A:$B,2,FALSE),"")</f>
        <v/>
      </c>
    </row>
    <row r="800">
      <c r="A800" s="3" t="inlineStr">
        <is>
          <t>SF5119018988284</t>
        </is>
      </c>
      <c r="B800" s="3" t="n">
        <v>58426948452554</v>
      </c>
      <c r="C800" s="3" t="inlineStr">
        <is>
          <t>已簽收</t>
        </is>
      </c>
      <c r="D800" s="3" t="inlineStr">
        <is>
          <t>2026-07-03 17:30:50</t>
        </is>
      </c>
      <c r="E800" s="3" t="inlineStr">
        <is>
          <t>2026-07-04 12:20</t>
        </is>
      </c>
      <c r="F800" s="3" t="n">
        <v>4.45</v>
      </c>
      <c r="G800" s="3" t="n">
        <v>1</v>
      </c>
      <c r="H800" s="3" t="n"/>
      <c r="I800" s="3" t="inlineStr"/>
      <c r="J800" s="3" t="inlineStr">
        <is>
          <t>Keeta</t>
        </is>
      </c>
      <c r="K800" s="3" t="inlineStr">
        <is>
          <t>****9568</t>
        </is>
      </c>
      <c r="L800" s="3" t="n"/>
      <c r="M800" s="3" t="inlineStr">
        <is>
          <t>***** 物流中心5樓</t>
        </is>
      </c>
      <c r="N800" s="3" t="inlineStr">
        <is>
          <t>北区</t>
        </is>
      </c>
      <c r="O800" s="3" t="inlineStr">
        <is>
          <t>香港</t>
        </is>
      </c>
      <c r="P800" s="3" t="inlineStr">
        <is>
          <t>香港特别行政区</t>
        </is>
      </c>
      <c r="Q800" s="3" t="n">
        <v>491447</v>
      </c>
      <c r="R800" s="3" t="inlineStr">
        <is>
          <t>KFC肯德基(元朗榮光大廈)肯德基清真友善</t>
        </is>
      </c>
      <c r="S800" s="3" t="inlineStr">
        <is>
          <t>****24703872</t>
        </is>
      </c>
      <c r="T800" s="3" t="inlineStr">
        <is>
          <t>****24703872</t>
        </is>
      </c>
      <c r="U800" s="3" t="inlineStr">
        <is>
          <t>***** 7號舖及1樓</t>
        </is>
      </c>
      <c r="V800" s="3" t="inlineStr">
        <is>
          <t>香港</t>
        </is>
      </c>
      <c r="W800" s="3" t="inlineStr">
        <is>
          <t>机纸/小票纸 / 包出</t>
        </is>
      </c>
      <c r="X800" s="3" t="inlineStr">
        <is>
          <t>ESS-SFTS-OTMS</t>
        </is>
      </c>
      <c r="Y800" s="3" t="n"/>
      <c r="Z800" s="3" t="inlineStr"/>
      <c r="AA800" s="3" t="inlineStr">
        <is>
          <t>寄付月結</t>
        </is>
      </c>
      <c r="AB800">
        <f>IFERROR(VLOOKUP(Q800&amp;"",對照表!$A:$B,1,FALSE),"")</f>
        <v/>
      </c>
      <c r="AC800">
        <f>IFERROR(VLOOKUP(Q800&amp;"",對照表!$A:$B,2,FALSE),"")</f>
        <v/>
      </c>
    </row>
    <row r="801">
      <c r="A801" s="3" t="inlineStr">
        <is>
          <t>SF5119018988202</t>
        </is>
      </c>
      <c r="B801" s="3" t="n">
        <v>58426948452532</v>
      </c>
      <c r="C801" s="3" t="inlineStr">
        <is>
          <t>已簽收</t>
        </is>
      </c>
      <c r="D801" s="3" t="inlineStr">
        <is>
          <t>2026-07-03 17:30:47</t>
        </is>
      </c>
      <c r="E801" s="3" t="inlineStr">
        <is>
          <t>2026-07-04 13:42</t>
        </is>
      </c>
      <c r="F801" s="3" t="n">
        <v>4.45</v>
      </c>
      <c r="G801" s="3" t="n">
        <v>1</v>
      </c>
      <c r="H801" s="3" t="n"/>
      <c r="I801" s="3" t="inlineStr"/>
      <c r="J801" s="3" t="inlineStr">
        <is>
          <t>Keeta</t>
        </is>
      </c>
      <c r="K801" s="3" t="inlineStr">
        <is>
          <t>****9568</t>
        </is>
      </c>
      <c r="L801" s="3" t="n"/>
      <c r="M801" s="3" t="inlineStr">
        <is>
          <t>***** 物流中心5樓</t>
        </is>
      </c>
      <c r="N801" s="3" t="inlineStr">
        <is>
          <t>北区</t>
        </is>
      </c>
      <c r="O801" s="3" t="inlineStr">
        <is>
          <t>香港</t>
        </is>
      </c>
      <c r="P801" s="3" t="inlineStr">
        <is>
          <t>香港特别行政区</t>
        </is>
      </c>
      <c r="Q801" s="3" t="n">
        <v>460383</v>
      </c>
      <c r="R801" s="3" t="inlineStr">
        <is>
          <t>三津湯包（蒸飯茶點深水埗店）</t>
        </is>
      </c>
      <c r="S801" s="3" t="inlineStr">
        <is>
          <t>****65791304</t>
        </is>
      </c>
      <c r="T801" s="3" t="inlineStr">
        <is>
          <t>****65791304</t>
        </is>
      </c>
      <c r="U801" s="3" t="inlineStr">
        <is>
          <t>***** 地下B及C鋪</t>
        </is>
      </c>
      <c r="V801" s="3" t="inlineStr">
        <is>
          <t>香港</t>
        </is>
      </c>
      <c r="W801" s="3" t="inlineStr">
        <is>
          <t>机纸/小票纸 / 包出</t>
        </is>
      </c>
      <c r="X801" s="3" t="inlineStr">
        <is>
          <t>ESS-SFTS-OTMS</t>
        </is>
      </c>
      <c r="Y801" s="3" t="n"/>
      <c r="Z801" s="3" t="inlineStr"/>
      <c r="AA801" s="3" t="inlineStr">
        <is>
          <t>寄付月結</t>
        </is>
      </c>
      <c r="AB801">
        <f>IFERROR(VLOOKUP(Q801&amp;"",對照表!$A:$B,1,FALSE),"")</f>
        <v/>
      </c>
      <c r="AC801">
        <f>IFERROR(VLOOKUP(Q801&amp;"",對照表!$A:$B,2,FALSE),"")</f>
        <v/>
      </c>
    </row>
    <row r="802">
      <c r="A802" s="3" t="inlineStr">
        <is>
          <t>SF5119018987932</t>
        </is>
      </c>
      <c r="B802" s="3" t="n">
        <v>58426948452484</v>
      </c>
      <c r="C802" s="3" t="inlineStr">
        <is>
          <t>已簽收</t>
        </is>
      </c>
      <c r="D802" s="3" t="inlineStr">
        <is>
          <t>2026-07-03 18:13:11</t>
        </is>
      </c>
      <c r="E802" s="3" t="inlineStr">
        <is>
          <t>2026-07-04 09:05</t>
        </is>
      </c>
      <c r="F802" s="3" t="n">
        <v>58</v>
      </c>
      <c r="G802" s="3" t="n">
        <v>4</v>
      </c>
      <c r="H802" s="3" t="n"/>
      <c r="I802" s="3" t="inlineStr"/>
      <c r="J802" s="3" t="inlineStr">
        <is>
          <t>Keeta</t>
        </is>
      </c>
      <c r="K802" s="3" t="inlineStr">
        <is>
          <t>****9568</t>
        </is>
      </c>
      <c r="L802" s="3" t="n"/>
      <c r="M802" s="3" t="inlineStr">
        <is>
          <t>***** 物流中心5樓</t>
        </is>
      </c>
      <c r="N802" s="3" t="inlineStr">
        <is>
          <t>北区</t>
        </is>
      </c>
      <c r="O802" s="3" t="inlineStr">
        <is>
          <t>香港</t>
        </is>
      </c>
      <c r="P802" s="3" t="inlineStr">
        <is>
          <t>香港特别行政区</t>
        </is>
      </c>
      <c r="Q802" s="3" t="n">
        <v>721517367</v>
      </c>
      <c r="R802" s="3" t="inlineStr">
        <is>
          <t>麥當勞(沙咀道)McDonalds</t>
        </is>
      </c>
      <c r="S802" s="3" t="inlineStr">
        <is>
          <t>****24122134</t>
        </is>
      </c>
      <c r="T802" s="3" t="inlineStr">
        <is>
          <t>****24122134</t>
        </is>
      </c>
      <c r="U802" s="3" t="inlineStr">
        <is>
          <t>***** 廈一樓及地下</t>
        </is>
      </c>
      <c r="V802" s="3" t="inlineStr">
        <is>
          <t>香港</t>
        </is>
      </c>
      <c r="W802" s="3" t="inlineStr">
        <is>
          <t>纸袋【通版】/ 箱出</t>
        </is>
      </c>
      <c r="X802" s="3" t="inlineStr">
        <is>
          <t>ESS-SFTS-OTMS</t>
        </is>
      </c>
      <c r="Y802" s="3" t="n"/>
      <c r="Z802" s="3" t="inlineStr"/>
      <c r="AA802" s="3" t="inlineStr">
        <is>
          <t>寄付月結</t>
        </is>
      </c>
      <c r="AB802">
        <f>IFERROR(VLOOKUP(Q802&amp;"",對照表!$A:$B,1,FALSE),"")</f>
        <v/>
      </c>
      <c r="AC802">
        <f>IFERROR(VLOOKUP(Q802&amp;"",對照表!$A:$B,2,FALSE),"")</f>
        <v/>
      </c>
    </row>
    <row r="803">
      <c r="A803" s="3" t="inlineStr">
        <is>
          <t>SF5119018988017</t>
        </is>
      </c>
      <c r="B803" s="3" t="n">
        <v>58426948452497</v>
      </c>
      <c r="C803" s="3" t="inlineStr">
        <is>
          <t>已簽收</t>
        </is>
      </c>
      <c r="D803" s="3" t="inlineStr">
        <is>
          <t>2026-07-03 17:49:53</t>
        </is>
      </c>
      <c r="E803" s="3" t="inlineStr">
        <is>
          <t>2026-07-04 12:48</t>
        </is>
      </c>
      <c r="F803" s="3" t="n">
        <v>14.5</v>
      </c>
      <c r="G803" s="3" t="n">
        <v>1</v>
      </c>
      <c r="H803" s="3" t="n"/>
      <c r="I803" s="3" t="inlineStr"/>
      <c r="J803" s="3" t="inlineStr">
        <is>
          <t>Keeta</t>
        </is>
      </c>
      <c r="K803" s="3" t="inlineStr">
        <is>
          <t>****9568</t>
        </is>
      </c>
      <c r="L803" s="3" t="n"/>
      <c r="M803" s="3" t="inlineStr">
        <is>
          <t>***** 物流中心5樓</t>
        </is>
      </c>
      <c r="N803" s="3" t="inlineStr">
        <is>
          <t>北区</t>
        </is>
      </c>
      <c r="O803" s="3" t="inlineStr">
        <is>
          <t>香港</t>
        </is>
      </c>
      <c r="P803" s="3" t="inlineStr">
        <is>
          <t>香港特别行政区</t>
        </is>
      </c>
      <c r="Q803" s="3" t="n">
        <v>721540366</v>
      </c>
      <c r="R803" s="3" t="inlineStr">
        <is>
          <t>麥當勞(大埔道)McDonalds</t>
        </is>
      </c>
      <c r="S803" s="3" t="inlineStr">
        <is>
          <t>****27884876</t>
        </is>
      </c>
      <c r="T803" s="3" t="inlineStr">
        <is>
          <t>****27884876</t>
        </is>
      </c>
      <c r="U803" s="3" t="inlineStr">
        <is>
          <t>***** 康寶大廈地下</t>
        </is>
      </c>
      <c r="V803" s="3" t="inlineStr">
        <is>
          <t>香港</t>
        </is>
      </c>
      <c r="W803" s="3" t="inlineStr">
        <is>
          <t>纸袋【通版】/ 箱出</t>
        </is>
      </c>
      <c r="X803" s="3" t="inlineStr">
        <is>
          <t>ESS-SFTS-OTMS</t>
        </is>
      </c>
      <c r="Y803" s="3" t="n"/>
      <c r="Z803" s="3" t="inlineStr"/>
      <c r="AA803" s="3" t="inlineStr">
        <is>
          <t>寄付月結</t>
        </is>
      </c>
      <c r="AB803">
        <f>IFERROR(VLOOKUP(Q803&amp;"",對照表!$A:$B,1,FALSE),"")</f>
        <v/>
      </c>
      <c r="AC803">
        <f>IFERROR(VLOOKUP(Q803&amp;"",對照表!$A:$B,2,FALSE),"")</f>
        <v/>
      </c>
    </row>
    <row r="804">
      <c r="A804" s="3" t="inlineStr">
        <is>
          <t>SF5119018988132</t>
        </is>
      </c>
      <c r="B804" s="3" t="n">
        <v>58426948452521</v>
      </c>
      <c r="C804" s="3" t="inlineStr">
        <is>
          <t>已簽收</t>
        </is>
      </c>
      <c r="D804" s="3" t="inlineStr">
        <is>
          <t>2026-07-03 18:18:51</t>
        </is>
      </c>
      <c r="E804" s="3" t="inlineStr">
        <is>
          <t>2026-07-04 11:23</t>
        </is>
      </c>
      <c r="F804" s="3" t="n">
        <v>58</v>
      </c>
      <c r="G804" s="3" t="n">
        <v>4</v>
      </c>
      <c r="H804" s="3" t="n"/>
      <c r="I804" s="3" t="inlineStr"/>
      <c r="J804" s="3" t="inlineStr">
        <is>
          <t>Keeta</t>
        </is>
      </c>
      <c r="K804" s="3" t="inlineStr">
        <is>
          <t>****9568</t>
        </is>
      </c>
      <c r="L804" s="3" t="n"/>
      <c r="M804" s="3" t="inlineStr">
        <is>
          <t>***** 物流中心5樓</t>
        </is>
      </c>
      <c r="N804" s="3" t="inlineStr">
        <is>
          <t>北区</t>
        </is>
      </c>
      <c r="O804" s="3" t="inlineStr">
        <is>
          <t>香港</t>
        </is>
      </c>
      <c r="P804" s="3" t="inlineStr">
        <is>
          <t>香港特别行政区</t>
        </is>
      </c>
      <c r="Q804" s="3" t="n">
        <v>491674</v>
      </c>
      <c r="R804" s="3" t="inlineStr">
        <is>
          <t>麥當勞(長康)McDonalds</t>
        </is>
      </c>
      <c r="S804" s="3" t="inlineStr">
        <is>
          <t>****21466914</t>
        </is>
      </c>
      <c r="T804" s="3" t="inlineStr">
        <is>
          <t>****21466914</t>
        </is>
      </c>
      <c r="U804" s="3" t="inlineStr">
        <is>
          <t>***** 下101號舖</t>
        </is>
      </c>
      <c r="V804" s="3" t="inlineStr">
        <is>
          <t>香港</t>
        </is>
      </c>
      <c r="W804" s="3" t="inlineStr">
        <is>
          <t>纸袋【通版】/ 箱出</t>
        </is>
      </c>
      <c r="X804" s="3" t="inlineStr">
        <is>
          <t>ESS-SFTS-OTMS</t>
        </is>
      </c>
      <c r="Y804" s="3" t="n"/>
      <c r="Z804" s="3" t="inlineStr"/>
      <c r="AA804" s="3" t="inlineStr">
        <is>
          <t>寄付月結</t>
        </is>
      </c>
      <c r="AB804">
        <f>IFERROR(VLOOKUP(Q804&amp;"",對照表!$A:$B,1,FALSE),"")</f>
        <v/>
      </c>
      <c r="AC804">
        <f>IFERROR(VLOOKUP(Q804&amp;"",對照表!$A:$B,2,FALSE),"")</f>
        <v/>
      </c>
    </row>
    <row r="805">
      <c r="A805" s="3" t="inlineStr">
        <is>
          <t>SF5119018988345</t>
        </is>
      </c>
      <c r="B805" s="3" t="n">
        <v>58426948452569</v>
      </c>
      <c r="C805" s="3" t="inlineStr">
        <is>
          <t>已簽收</t>
        </is>
      </c>
      <c r="D805" s="3" t="inlineStr">
        <is>
          <t>2026-07-03 17:50:09</t>
        </is>
      </c>
      <c r="E805" s="3" t="inlineStr">
        <is>
          <t>2026-07-04 08:39</t>
        </is>
      </c>
      <c r="F805" s="3" t="n">
        <v>14.5</v>
      </c>
      <c r="G805" s="3" t="n">
        <v>1</v>
      </c>
      <c r="H805" s="3" t="n"/>
      <c r="I805" s="3" t="inlineStr"/>
      <c r="J805" s="3" t="inlineStr">
        <is>
          <t>Keeta</t>
        </is>
      </c>
      <c r="K805" s="3" t="inlineStr">
        <is>
          <t>****9568</t>
        </is>
      </c>
      <c r="L805" s="3" t="n"/>
      <c r="M805" s="3" t="inlineStr">
        <is>
          <t>***** 物流中心5樓</t>
        </is>
      </c>
      <c r="N805" s="3" t="inlineStr">
        <is>
          <t>北区</t>
        </is>
      </c>
      <c r="O805" s="3" t="inlineStr">
        <is>
          <t>香港</t>
        </is>
      </c>
      <c r="P805" s="3" t="inlineStr">
        <is>
          <t>香港特别行政区</t>
        </is>
      </c>
      <c r="Q805" s="3" t="n">
        <v>495029</v>
      </c>
      <c r="R805" s="3" t="inlineStr">
        <is>
          <t>PretAManger(Infinitus無限極廣場)</t>
        </is>
      </c>
      <c r="S805" s="3" t="inlineStr">
        <is>
          <t>****24652055</t>
        </is>
      </c>
      <c r="T805" s="3" t="inlineStr">
        <is>
          <t>****24652055</t>
        </is>
      </c>
      <c r="U805" s="3" t="inlineStr">
        <is>
          <t>***** -110號舖</t>
        </is>
      </c>
      <c r="V805" s="3" t="inlineStr">
        <is>
          <t>香港</t>
        </is>
      </c>
      <c r="W805" s="3" t="inlineStr">
        <is>
          <t>纸袋【通版】/ 箱出</t>
        </is>
      </c>
      <c r="X805" s="3" t="inlineStr">
        <is>
          <t>ESS-SFTS-OTMS</t>
        </is>
      </c>
      <c r="Y805" s="3" t="n"/>
      <c r="Z805" s="3" t="inlineStr"/>
      <c r="AA805" s="3" t="inlineStr">
        <is>
          <t>寄付月結</t>
        </is>
      </c>
      <c r="AB805">
        <f>IFERROR(VLOOKUP(Q805&amp;"",對照表!$A:$B,1,FALSE),"")</f>
        <v/>
      </c>
      <c r="AC805">
        <f>IFERROR(VLOOKUP(Q805&amp;"",對照表!$A:$B,2,FALSE),"")</f>
        <v/>
      </c>
    </row>
    <row r="806">
      <c r="A806" s="3" t="inlineStr">
        <is>
          <t>SF5119018987996</t>
        </is>
      </c>
      <c r="B806" s="3" t="n">
        <v>58426948452493</v>
      </c>
      <c r="C806" s="3" t="inlineStr">
        <is>
          <t>已簽收</t>
        </is>
      </c>
      <c r="D806" s="3" t="inlineStr">
        <is>
          <t>2026-07-03 17:30:54</t>
        </is>
      </c>
      <c r="E806" s="3" t="inlineStr">
        <is>
          <t>2026-07-04 11:17</t>
        </is>
      </c>
      <c r="F806" s="3" t="n">
        <v>4.45</v>
      </c>
      <c r="G806" s="3" t="n">
        <v>1</v>
      </c>
      <c r="H806" s="3" t="n"/>
      <c r="I806" s="3" t="inlineStr"/>
      <c r="J806" s="3" t="inlineStr">
        <is>
          <t>Keeta</t>
        </is>
      </c>
      <c r="K806" s="3" t="inlineStr">
        <is>
          <t>****9568</t>
        </is>
      </c>
      <c r="L806" s="3" t="n"/>
      <c r="M806" s="3" t="inlineStr">
        <is>
          <t>***** 物流中心5樓</t>
        </is>
      </c>
      <c r="N806" s="3" t="inlineStr">
        <is>
          <t>北区</t>
        </is>
      </c>
      <c r="O806" s="3" t="inlineStr">
        <is>
          <t>香港</t>
        </is>
      </c>
      <c r="P806" s="3" t="inlineStr">
        <is>
          <t>香港特别行政区</t>
        </is>
      </c>
      <c r="Q806" s="3" t="n">
        <v>493819</v>
      </c>
      <c r="R806" s="3" t="inlineStr">
        <is>
          <t>金屋泰國菜館GoldenHomeThaifood</t>
        </is>
      </c>
      <c r="S806" s="3" t="inlineStr">
        <is>
          <t>****29449128</t>
        </is>
      </c>
      <c r="T806" s="3" t="inlineStr">
        <is>
          <t>****29449128</t>
        </is>
      </c>
      <c r="U806" s="3" t="inlineStr">
        <is>
          <t>***** -71號地舖</t>
        </is>
      </c>
      <c r="V806" s="3" t="inlineStr">
        <is>
          <t>香港</t>
        </is>
      </c>
      <c r="W806" s="3" t="inlineStr">
        <is>
          <t>机纸/小票纸 / 包出</t>
        </is>
      </c>
      <c r="X806" s="3" t="inlineStr">
        <is>
          <t>ESS-SFTS-OTMS</t>
        </is>
      </c>
      <c r="Y806" s="3" t="n"/>
      <c r="Z806" s="3" t="inlineStr"/>
      <c r="AA806" s="3" t="inlineStr">
        <is>
          <t>寄付月結</t>
        </is>
      </c>
      <c r="AB806">
        <f>IFERROR(VLOOKUP(Q806&amp;"",對照表!$A:$B,1,FALSE),"")</f>
        <v/>
      </c>
      <c r="AC806">
        <f>IFERROR(VLOOKUP(Q806&amp;"",對照表!$A:$B,2,FALSE),"")</f>
        <v/>
      </c>
    </row>
    <row r="807">
      <c r="A807" s="3" t="inlineStr">
        <is>
          <t>SF5119018987950</t>
        </is>
      </c>
      <c r="B807" s="3" t="n">
        <v>58426948452489</v>
      </c>
      <c r="C807" s="3" t="inlineStr">
        <is>
          <t>已簽收</t>
        </is>
      </c>
      <c r="D807" s="3" t="inlineStr">
        <is>
          <t>2026-07-03 18:19:20</t>
        </is>
      </c>
      <c r="E807" s="3" t="inlineStr">
        <is>
          <t>2026-07-04 15:49</t>
        </is>
      </c>
      <c r="F807" s="3" t="n">
        <v>59.1</v>
      </c>
      <c r="G807" s="3" t="n">
        <v>5</v>
      </c>
      <c r="H807" s="3" t="n"/>
      <c r="I807" s="3" t="inlineStr"/>
      <c r="J807" s="3" t="inlineStr">
        <is>
          <t>Keeta</t>
        </is>
      </c>
      <c r="K807" s="3" t="inlineStr">
        <is>
          <t>****9568</t>
        </is>
      </c>
      <c r="L807" s="3" t="n"/>
      <c r="M807" s="3" t="inlineStr">
        <is>
          <t>***** 物流中心5樓</t>
        </is>
      </c>
      <c r="N807" s="3" t="inlineStr">
        <is>
          <t>北区</t>
        </is>
      </c>
      <c r="O807" s="3" t="inlineStr">
        <is>
          <t>香港</t>
        </is>
      </c>
      <c r="P807" s="3" t="inlineStr">
        <is>
          <t>香港特别行政区</t>
        </is>
      </c>
      <c r="Q807" s="3" t="n">
        <v>463442</v>
      </c>
      <c r="R807" s="3" t="inlineStr">
        <is>
          <t>麥當勞（美林）McDonalds</t>
        </is>
      </c>
      <c r="S807" s="3" t="inlineStr">
        <is>
          <t>****26975951</t>
        </is>
      </c>
      <c r="T807" s="3" t="inlineStr">
        <is>
          <t>****26975951</t>
        </is>
      </c>
      <c r="U807" s="3" t="inlineStr">
        <is>
          <t>***** 1樓96號舖</t>
        </is>
      </c>
      <c r="V807" s="3" t="inlineStr">
        <is>
          <t>香港</t>
        </is>
      </c>
      <c r="W807" s="3" t="inlineStr">
        <is>
          <t>纸袋【通版】/ 箱出, 机纸/小票纸 / 包出</t>
        </is>
      </c>
      <c r="X807" s="3" t="inlineStr">
        <is>
          <t>ESS-SFTS-OTMS</t>
        </is>
      </c>
      <c r="Y807" s="3" t="n"/>
      <c r="Z807" s="3" t="inlineStr"/>
      <c r="AA807" s="3" t="inlineStr">
        <is>
          <t>寄付月結</t>
        </is>
      </c>
      <c r="AB807">
        <f>IFERROR(VLOOKUP(Q807&amp;"",對照表!$A:$B,1,FALSE),"")</f>
        <v/>
      </c>
      <c r="AC807">
        <f>IFERROR(VLOOKUP(Q807&amp;"",對照表!$A:$B,2,FALSE),"")</f>
        <v/>
      </c>
    </row>
    <row r="808">
      <c r="A808" s="3" t="inlineStr">
        <is>
          <t>SF5119018988363</t>
        </is>
      </c>
      <c r="B808" s="3" t="n">
        <v>58426948452575</v>
      </c>
      <c r="C808" s="3" t="inlineStr">
        <is>
          <t>已簽收</t>
        </is>
      </c>
      <c r="D808" s="3" t="inlineStr">
        <is>
          <t>2026-07-03 17:47:54</t>
        </is>
      </c>
      <c r="E808" s="3" t="inlineStr">
        <is>
          <t>2026-07-04 12:43</t>
        </is>
      </c>
      <c r="F808" s="3" t="n">
        <v>1.5</v>
      </c>
      <c r="G808" s="3" t="n">
        <v>1</v>
      </c>
      <c r="H808" s="3" t="n"/>
      <c r="I808" s="3" t="inlineStr"/>
      <c r="J808" s="3" t="inlineStr">
        <is>
          <t>Keeta</t>
        </is>
      </c>
      <c r="K808" s="3" t="inlineStr">
        <is>
          <t>****9568</t>
        </is>
      </c>
      <c r="L808" s="3" t="n"/>
      <c r="M808" s="3" t="inlineStr">
        <is>
          <t>***** 物流中心5樓</t>
        </is>
      </c>
      <c r="N808" s="3" t="inlineStr">
        <is>
          <t>北区</t>
        </is>
      </c>
      <c r="O808" s="3" t="inlineStr">
        <is>
          <t>香港</t>
        </is>
      </c>
      <c r="P808" s="3" t="inlineStr">
        <is>
          <t>香港特别行政区</t>
        </is>
      </c>
      <c r="Q808" s="3" t="n">
        <v>721526397</v>
      </c>
      <c r="R808" s="3" t="inlineStr">
        <is>
          <t>津苑牛雜粉麵【25年老字號】</t>
        </is>
      </c>
      <c r="S808" s="3" t="inlineStr">
        <is>
          <t>****26821026</t>
        </is>
      </c>
      <c r="T808" s="3" t="inlineStr">
        <is>
          <t>****26821026</t>
        </is>
      </c>
      <c r="U808" s="3" t="inlineStr">
        <is>
          <t>***** 都廣場92號</t>
        </is>
      </c>
      <c r="V808" s="3" t="inlineStr">
        <is>
          <t>香港</t>
        </is>
      </c>
      <c r="W808" s="3" t="inlineStr">
        <is>
          <t>机纸/小票纸 / 包出</t>
        </is>
      </c>
      <c r="X808" s="3" t="inlineStr">
        <is>
          <t>ESS-SFTS-OTMS</t>
        </is>
      </c>
      <c r="Y808" s="3" t="n"/>
      <c r="Z808" s="3" t="inlineStr"/>
      <c r="AA808" s="3" t="inlineStr">
        <is>
          <t>寄付月結</t>
        </is>
      </c>
      <c r="AB808">
        <f>IFERROR(VLOOKUP(Q808&amp;"",對照表!$A:$B,1,FALSE),"")</f>
        <v/>
      </c>
      <c r="AC808">
        <f>IFERROR(VLOOKUP(Q808&amp;"",對照表!$A:$B,2,FALSE),"")</f>
        <v/>
      </c>
    </row>
    <row r="809">
      <c r="A809" s="3" t="inlineStr">
        <is>
          <t>SF5119018988248</t>
        </is>
      </c>
      <c r="B809" s="3" t="n">
        <v>58426948452542</v>
      </c>
      <c r="C809" s="3" t="inlineStr">
        <is>
          <t>已簽收</t>
        </is>
      </c>
      <c r="D809" s="3" t="inlineStr">
        <is>
          <t>2026-07-03 17:57:48</t>
        </is>
      </c>
      <c r="E809" s="3" t="inlineStr">
        <is>
          <t>2026-07-06 12:52</t>
        </is>
      </c>
      <c r="F809" s="3" t="n">
        <v>2.36</v>
      </c>
      <c r="G809" s="3" t="n">
        <v>1</v>
      </c>
      <c r="H809" s="3" t="n"/>
      <c r="I809" s="3" t="inlineStr"/>
      <c r="J809" s="3" t="inlineStr">
        <is>
          <t>Keeta</t>
        </is>
      </c>
      <c r="K809" s="3" t="inlineStr">
        <is>
          <t>****9568</t>
        </is>
      </c>
      <c r="L809" s="3" t="n"/>
      <c r="M809" s="3" t="inlineStr">
        <is>
          <t>***** 物流中心5樓</t>
        </is>
      </c>
      <c r="N809" s="3" t="inlineStr">
        <is>
          <t>北区</t>
        </is>
      </c>
      <c r="O809" s="3" t="inlineStr">
        <is>
          <t>香港</t>
        </is>
      </c>
      <c r="P809" s="3" t="inlineStr">
        <is>
          <t>香港特别行政区</t>
        </is>
      </c>
      <c r="Q809" s="3" t="n">
        <v>721524380</v>
      </c>
      <c r="R809" s="3" t="inlineStr">
        <is>
          <t>熊仔窩快餐小食(超高CP值絕對抵食)</t>
        </is>
      </c>
      <c r="S809" s="3" t="inlineStr">
        <is>
          <t>****98441938</t>
        </is>
      </c>
      <c r="T809" s="3" t="inlineStr">
        <is>
          <t>****98441938</t>
        </is>
      </c>
      <c r="U809" s="3" t="inlineStr">
        <is>
          <t>***** 下A52號鋪</t>
        </is>
      </c>
      <c r="V809" s="3" t="inlineStr">
        <is>
          <t>香港</t>
        </is>
      </c>
      <c r="W809" s="3" t="inlineStr">
        <is>
          <t>机纸/小票纸 / 包出</t>
        </is>
      </c>
      <c r="X809" s="3" t="inlineStr">
        <is>
          <t>ESS-SFTS-OTMS</t>
        </is>
      </c>
      <c r="Y809" s="3" t="n"/>
      <c r="Z809" s="3" t="inlineStr"/>
      <c r="AA809" s="3" t="inlineStr">
        <is>
          <t>寄付月結</t>
        </is>
      </c>
      <c r="AB809">
        <f>IFERROR(VLOOKUP(Q809&amp;"",對照表!$A:$B,1,FALSE),"")</f>
        <v/>
      </c>
      <c r="AC809">
        <f>IFERROR(VLOOKUP(Q809&amp;"",對照表!$A:$B,2,FALSE),"")</f>
        <v/>
      </c>
    </row>
    <row r="810">
      <c r="A810" s="3" t="inlineStr">
        <is>
          <t>SF5119018988257</t>
        </is>
      </c>
      <c r="B810" s="3" t="n">
        <v>58426948452546</v>
      </c>
      <c r="C810" s="3" t="inlineStr">
        <is>
          <t>已簽收</t>
        </is>
      </c>
      <c r="D810" s="3" t="inlineStr">
        <is>
          <t>2026-07-03 18:15:50</t>
        </is>
      </c>
      <c r="E810" s="3" t="inlineStr">
        <is>
          <t>2026-07-04 12:41</t>
        </is>
      </c>
      <c r="F810" s="3" t="n">
        <v>4.5</v>
      </c>
      <c r="G810" s="3" t="n">
        <v>1</v>
      </c>
      <c r="H810" s="3" t="n"/>
      <c r="I810" s="3" t="inlineStr"/>
      <c r="J810" s="3" t="inlineStr">
        <is>
          <t>Keeta</t>
        </is>
      </c>
      <c r="K810" s="3" t="inlineStr">
        <is>
          <t>****9568</t>
        </is>
      </c>
      <c r="L810" s="3" t="n"/>
      <c r="M810" s="3" t="inlineStr">
        <is>
          <t>***** 物流中心5樓</t>
        </is>
      </c>
      <c r="N810" s="3" t="inlineStr">
        <is>
          <t>北区</t>
        </is>
      </c>
      <c r="O810" s="3" t="inlineStr">
        <is>
          <t>香港</t>
        </is>
      </c>
      <c r="P810" s="3" t="inlineStr">
        <is>
          <t>香港特别行政区</t>
        </is>
      </c>
      <c r="Q810" s="3" t="n">
        <v>468652</v>
      </c>
      <c r="R810" s="3" t="inlineStr">
        <is>
          <t>MIRRORBURGER（天后）</t>
        </is>
      </c>
      <c r="S810" s="3" t="inlineStr">
        <is>
          <t>****96252052</t>
        </is>
      </c>
      <c r="T810" s="3" t="inlineStr">
        <is>
          <t>****96252052</t>
        </is>
      </c>
      <c r="U810" s="3" t="inlineStr">
        <is>
          <t>***** G KONG</t>
        </is>
      </c>
      <c r="V810" s="3" t="inlineStr">
        <is>
          <t>香港</t>
        </is>
      </c>
      <c r="W810" s="3" t="inlineStr">
        <is>
          <t>塑料袋【小】/ 扎出</t>
        </is>
      </c>
      <c r="X810" s="3" t="inlineStr">
        <is>
          <t>ESS-SFTS-OTMS</t>
        </is>
      </c>
      <c r="Y810" s="3" t="n"/>
      <c r="Z810" s="3" t="inlineStr"/>
      <c r="AA810" s="3" t="inlineStr">
        <is>
          <t>寄付月結</t>
        </is>
      </c>
      <c r="AB810">
        <f>IFERROR(VLOOKUP(Q810&amp;"",對照表!$A:$B,1,FALSE),"")</f>
        <v/>
      </c>
      <c r="AC810">
        <f>IFERROR(VLOOKUP(Q810&amp;"",對照表!$A:$B,2,FALSE),"")</f>
        <v/>
      </c>
    </row>
    <row r="811">
      <c r="A811" s="3" t="inlineStr">
        <is>
          <t>SF5119018988450</t>
        </is>
      </c>
      <c r="B811" s="3" t="n">
        <v>58426948452595</v>
      </c>
      <c r="C811" s="3" t="inlineStr">
        <is>
          <t>已簽收</t>
        </is>
      </c>
      <c r="D811" s="3" t="inlineStr">
        <is>
          <t>2026-07-03 17:58:03</t>
        </is>
      </c>
      <c r="E811" s="3" t="inlineStr">
        <is>
          <t>2026-07-04 12:20</t>
        </is>
      </c>
      <c r="F811" s="3" t="n">
        <v>4.4</v>
      </c>
      <c r="G811" s="3" t="n">
        <v>1</v>
      </c>
      <c r="H811" s="3" t="n"/>
      <c r="I811" s="3" t="inlineStr"/>
      <c r="J811" s="3" t="inlineStr">
        <is>
          <t>Keeta</t>
        </is>
      </c>
      <c r="K811" s="3" t="inlineStr">
        <is>
          <t>****9568</t>
        </is>
      </c>
      <c r="L811" s="3" t="n"/>
      <c r="M811" s="3" t="inlineStr">
        <is>
          <t>***** 物流中心5樓</t>
        </is>
      </c>
      <c r="N811" s="3" t="inlineStr">
        <is>
          <t>北区</t>
        </is>
      </c>
      <c r="O811" s="3" t="inlineStr">
        <is>
          <t>香港</t>
        </is>
      </c>
      <c r="P811" s="3" t="inlineStr">
        <is>
          <t>香港特别行政区</t>
        </is>
      </c>
      <c r="Q811" s="3" t="n">
        <v>721538412</v>
      </c>
      <c r="R811" s="3" t="inlineStr">
        <is>
          <t>大埔振興肉丸麵</t>
        </is>
      </c>
      <c r="S811" s="3" t="inlineStr">
        <is>
          <t>****68507738</t>
        </is>
      </c>
      <c r="T811" s="3" t="inlineStr">
        <is>
          <t>****68507738</t>
        </is>
      </c>
      <c r="U811" s="3" t="inlineStr">
        <is>
          <t>***** 南景樓地下A</t>
        </is>
      </c>
      <c r="V811" s="3" t="inlineStr">
        <is>
          <t>香港</t>
        </is>
      </c>
      <c r="W811" s="3" t="inlineStr">
        <is>
          <t>封签【通版】/ 扎出, 机纸/小票纸 / 包出</t>
        </is>
      </c>
      <c r="X811" s="3" t="inlineStr">
        <is>
          <t>ESS-SFTS-OTMS</t>
        </is>
      </c>
      <c r="Y811" s="3" t="n"/>
      <c r="Z811" s="3" t="inlineStr"/>
      <c r="AA811" s="3" t="inlineStr">
        <is>
          <t>寄付月結</t>
        </is>
      </c>
      <c r="AB811">
        <f>IFERROR(VLOOKUP(Q811&amp;"",對照表!$A:$B,1,FALSE),"")</f>
        <v/>
      </c>
      <c r="AC811">
        <f>IFERROR(VLOOKUP(Q811&amp;"",對照表!$A:$B,2,FALSE),"")</f>
        <v/>
      </c>
    </row>
    <row r="812">
      <c r="A812" s="3" t="inlineStr">
        <is>
          <t>SF5116616188054</t>
        </is>
      </c>
      <c r="B812" s="3" t="n">
        <v>58424825741322</v>
      </c>
      <c r="C812" s="3" t="inlineStr">
        <is>
          <t>已簽收</t>
        </is>
      </c>
      <c r="D812" s="3" t="inlineStr">
        <is>
          <t>2026-07-03 15:33:06</t>
        </is>
      </c>
      <c r="E812" s="3" t="inlineStr">
        <is>
          <t>2026-07-04 18:53</t>
        </is>
      </c>
      <c r="F812" s="3" t="n">
        <v>43.4</v>
      </c>
      <c r="G812" s="3" t="n">
        <v>4</v>
      </c>
      <c r="H812" s="3" t="n"/>
      <c r="I812" s="3" t="inlineStr"/>
      <c r="J812" s="3" t="inlineStr">
        <is>
          <t>Keeta</t>
        </is>
      </c>
      <c r="K812" s="3" t="inlineStr">
        <is>
          <t>****9568</t>
        </is>
      </c>
      <c r="L812" s="3" t="n"/>
      <c r="M812" s="3" t="inlineStr">
        <is>
          <t>***** 物流中心5樓</t>
        </is>
      </c>
      <c r="N812" s="3" t="inlineStr">
        <is>
          <t>北区</t>
        </is>
      </c>
      <c r="O812" s="3" t="inlineStr">
        <is>
          <t>香港</t>
        </is>
      </c>
      <c r="P812" s="3" t="inlineStr">
        <is>
          <t>香港特别行政区</t>
        </is>
      </c>
      <c r="Q812" s="3" t="n">
        <v>721429401</v>
      </c>
      <c r="R812" s="3" t="inlineStr">
        <is>
          <t>食棧</t>
        </is>
      </c>
      <c r="S812" s="3" t="inlineStr">
        <is>
          <t>****23370294</t>
        </is>
      </c>
      <c r="T812" s="3" t="inlineStr">
        <is>
          <t>****23370294</t>
        </is>
      </c>
      <c r="U812" s="3" t="inlineStr">
        <is>
          <t>***** 金國大廈地鋪</t>
        </is>
      </c>
      <c r="V812" s="3" t="inlineStr">
        <is>
          <t>香港</t>
        </is>
      </c>
      <c r="W812" s="3" t="inlineStr">
        <is>
          <t>无纺布【规格三中号】/ 箱出, 无纺布【规格四大号】/ 箱出</t>
        </is>
      </c>
      <c r="X812" s="3" t="inlineStr">
        <is>
          <t>ESS-SFTS-OTMS</t>
        </is>
      </c>
      <c r="Y812" s="3" t="n"/>
      <c r="Z812" s="3" t="inlineStr"/>
      <c r="AA812" s="3" t="inlineStr">
        <is>
          <t>寄付月結</t>
        </is>
      </c>
      <c r="AB812">
        <f>IFERROR(VLOOKUP(Q812&amp;"",對照表!$A:$B,1,FALSE),"")</f>
        <v/>
      </c>
      <c r="AC812">
        <f>IFERROR(VLOOKUP(Q812&amp;"",對照表!$A:$B,2,FALSE),"")</f>
        <v/>
      </c>
    </row>
    <row r="813">
      <c r="A813" s="3" t="inlineStr">
        <is>
          <t>SF5119018988469</t>
        </is>
      </c>
      <c r="B813" s="3" t="n">
        <v>58426948452598</v>
      </c>
      <c r="C813" s="3" t="inlineStr">
        <is>
          <t>已簽收</t>
        </is>
      </c>
      <c r="D813" s="3" t="inlineStr">
        <is>
          <t>2026-07-03 17:50:10</t>
        </is>
      </c>
      <c r="E813" s="3" t="inlineStr">
        <is>
          <t>2026-07-04 16:16</t>
        </is>
      </c>
      <c r="F813" s="3" t="n">
        <v>14.5</v>
      </c>
      <c r="G813" s="3" t="n">
        <v>1</v>
      </c>
      <c r="H813" s="3" t="n"/>
      <c r="I813" s="3" t="inlineStr"/>
      <c r="J813" s="3" t="inlineStr">
        <is>
          <t>Keeta</t>
        </is>
      </c>
      <c r="K813" s="3" t="inlineStr">
        <is>
          <t>****9568</t>
        </is>
      </c>
      <c r="L813" s="3" t="n"/>
      <c r="M813" s="3" t="inlineStr">
        <is>
          <t>***** 物流中心5樓</t>
        </is>
      </c>
      <c r="N813" s="3" t="inlineStr">
        <is>
          <t>北区</t>
        </is>
      </c>
      <c r="O813" s="3" t="inlineStr">
        <is>
          <t>香港</t>
        </is>
      </c>
      <c r="P813" s="3" t="inlineStr">
        <is>
          <t>香港特别行政区</t>
        </is>
      </c>
      <c r="Q813" s="3" t="n">
        <v>721518384</v>
      </c>
      <c r="R813" s="3" t="inlineStr">
        <is>
          <t>華記粉麵雲餃店</t>
        </is>
      </c>
      <c r="S813" s="3" t="inlineStr">
        <is>
          <t>****0999</t>
        </is>
      </c>
      <c r="T813" s="3" t="inlineStr">
        <is>
          <t>****0999</t>
        </is>
      </c>
      <c r="U813" s="3" t="inlineStr">
        <is>
          <t>***** 街22號地下</t>
        </is>
      </c>
      <c r="V813" s="3" t="inlineStr">
        <is>
          <t>香港</t>
        </is>
      </c>
      <c r="W813" s="3" t="inlineStr">
        <is>
          <t>纸袋【通版】/ 箱出</t>
        </is>
      </c>
      <c r="X813" s="3" t="inlineStr">
        <is>
          <t>ESS-SFTS-OTMS</t>
        </is>
      </c>
      <c r="Y813" s="3" t="n"/>
      <c r="Z813" s="3" t="inlineStr"/>
      <c r="AA813" s="3" t="inlineStr">
        <is>
          <t>寄付月結</t>
        </is>
      </c>
      <c r="AB813">
        <f>IFERROR(VLOOKUP(Q813&amp;"",對照表!$A:$B,1,FALSE),"")</f>
        <v/>
      </c>
      <c r="AC813">
        <f>IFERROR(VLOOKUP(Q813&amp;"",對照表!$A:$B,2,FALSE),"")</f>
        <v/>
      </c>
    </row>
    <row r="814">
      <c r="A814" s="3" t="inlineStr">
        <is>
          <t>SF5119018988309</t>
        </is>
      </c>
      <c r="B814" s="3" t="n">
        <v>58426948452560</v>
      </c>
      <c r="C814" s="3" t="inlineStr">
        <is>
          <t>已簽收</t>
        </is>
      </c>
      <c r="D814" s="3" t="inlineStr">
        <is>
          <t>2026-07-03 18:02:22</t>
        </is>
      </c>
      <c r="E814" s="3" t="inlineStr">
        <is>
          <t>2026-07-04 15:06</t>
        </is>
      </c>
      <c r="F814" s="3" t="n">
        <v>30</v>
      </c>
      <c r="G814" s="3" t="n">
        <v>2</v>
      </c>
      <c r="H814" s="3" t="n"/>
      <c r="I814" s="3" t="inlineStr"/>
      <c r="J814" s="3" t="inlineStr">
        <is>
          <t>Keeta</t>
        </is>
      </c>
      <c r="K814" s="3" t="inlineStr">
        <is>
          <t>****9568</t>
        </is>
      </c>
      <c r="L814" s="3" t="n"/>
      <c r="M814" s="3" t="inlineStr">
        <is>
          <t>***** 物流中心5樓</t>
        </is>
      </c>
      <c r="N814" s="3" t="inlineStr">
        <is>
          <t>北区</t>
        </is>
      </c>
      <c r="O814" s="3" t="inlineStr">
        <is>
          <t>香港</t>
        </is>
      </c>
      <c r="P814" s="3" t="inlineStr">
        <is>
          <t>香港特别行政区</t>
        </is>
      </c>
      <c r="Q814" s="3" t="n">
        <v>488206</v>
      </c>
      <c r="R814" s="3" t="inlineStr">
        <is>
          <t>麥當勞(廣福)McDonalds</t>
        </is>
      </c>
      <c r="S814" s="3" t="inlineStr">
        <is>
          <t>****26535348</t>
        </is>
      </c>
      <c r="T814" s="3" t="inlineStr">
        <is>
          <t>****26535348</t>
        </is>
      </c>
      <c r="U814" s="3" t="inlineStr">
        <is>
          <t>***** P316號舖</t>
        </is>
      </c>
      <c r="V814" s="3" t="inlineStr">
        <is>
          <t>香港</t>
        </is>
      </c>
      <c r="W814" s="3" t="inlineStr">
        <is>
          <t>纸袋【通版】/ 箱出</t>
        </is>
      </c>
      <c r="X814" s="3" t="inlineStr">
        <is>
          <t>ESS-SFTS-OTMS</t>
        </is>
      </c>
      <c r="Y814" s="3" t="n"/>
      <c r="Z814" s="3" t="inlineStr"/>
      <c r="AA814" s="3" t="inlineStr">
        <is>
          <t>寄付月結</t>
        </is>
      </c>
      <c r="AB814">
        <f>IFERROR(VLOOKUP(Q814&amp;"",對照表!$A:$B,1,FALSE),"")</f>
        <v/>
      </c>
      <c r="AC814">
        <f>IFERROR(VLOOKUP(Q814&amp;"",對照表!$A:$B,2,FALSE),"")</f>
        <v/>
      </c>
    </row>
    <row r="815">
      <c r="A815" s="3" t="inlineStr">
        <is>
          <t>SF5119018988150</t>
        </is>
      </c>
      <c r="B815" s="3" t="n">
        <v>58426948452524</v>
      </c>
      <c r="C815" s="3" t="inlineStr">
        <is>
          <t>已簽收</t>
        </is>
      </c>
      <c r="D815" s="3" t="inlineStr">
        <is>
          <t>2026-07-03 18:19:29</t>
        </is>
      </c>
      <c r="E815" s="3" t="inlineStr">
        <is>
          <t>2026-07-04 17:34</t>
        </is>
      </c>
      <c r="F815" s="3" t="n">
        <v>30.9</v>
      </c>
      <c r="G815" s="3" t="n">
        <v>3</v>
      </c>
      <c r="H815" s="3" t="n"/>
      <c r="I815" s="3" t="inlineStr"/>
      <c r="J815" s="3" t="inlineStr">
        <is>
          <t>Keeta</t>
        </is>
      </c>
      <c r="K815" s="3" t="inlineStr">
        <is>
          <t>****9568</t>
        </is>
      </c>
      <c r="L815" s="3" t="n"/>
      <c r="M815" s="3" t="inlineStr">
        <is>
          <t>***** 物流中心5樓</t>
        </is>
      </c>
      <c r="N815" s="3" t="inlineStr">
        <is>
          <t>北区</t>
        </is>
      </c>
      <c r="O815" s="3" t="inlineStr">
        <is>
          <t>香港</t>
        </is>
      </c>
      <c r="P815" s="3" t="inlineStr">
        <is>
          <t>香港特别行政区</t>
        </is>
      </c>
      <c r="Q815" s="3" t="n">
        <v>482751</v>
      </c>
      <c r="R815" s="3" t="inlineStr">
        <is>
          <t>PokeHeartBuildyourownBowl</t>
        </is>
      </c>
      <c r="S815" s="3" t="inlineStr">
        <is>
          <t>****59268562</t>
        </is>
      </c>
      <c r="T815" s="3" t="inlineStr">
        <is>
          <t>****59268562</t>
        </is>
      </c>
      <c r="U815" s="3" t="inlineStr">
        <is>
          <t>***** 大廈地下G鋪</t>
        </is>
      </c>
      <c r="V815" s="3" t="inlineStr">
        <is>
          <t>香港</t>
        </is>
      </c>
      <c r="W815" s="3" t="inlineStr">
        <is>
          <t>纸袋【通版】/ 箱出, 机纸/小票纸 / 包出</t>
        </is>
      </c>
      <c r="X815" s="3" t="inlineStr">
        <is>
          <t>ESS-SFTS-OTMS</t>
        </is>
      </c>
      <c r="Y815" s="3" t="n"/>
      <c r="Z815" s="3" t="inlineStr"/>
      <c r="AA815" s="3" t="inlineStr">
        <is>
          <t>寄付月結</t>
        </is>
      </c>
      <c r="AB815">
        <f>IFERROR(VLOOKUP(Q815&amp;"",對照表!$A:$B,1,FALSE),"")</f>
        <v/>
      </c>
      <c r="AC815">
        <f>IFERROR(VLOOKUP(Q815&amp;"",對照表!$A:$B,2,FALSE),"")</f>
        <v/>
      </c>
    </row>
    <row r="816">
      <c r="A816" s="3" t="inlineStr">
        <is>
          <t>SF5119018988414</t>
        </is>
      </c>
      <c r="B816" s="3" t="n">
        <v>58426948452583</v>
      </c>
      <c r="C816" s="3" t="inlineStr">
        <is>
          <t>已簽收</t>
        </is>
      </c>
      <c r="D816" s="3" t="inlineStr">
        <is>
          <t>2026-07-03 17:30:48</t>
        </is>
      </c>
      <c r="E816" s="3" t="inlineStr">
        <is>
          <t>2026-07-04 10:33</t>
        </is>
      </c>
      <c r="F816" s="3" t="n">
        <v>4.45</v>
      </c>
      <c r="G816" s="3" t="n">
        <v>1</v>
      </c>
      <c r="H816" s="3" t="n"/>
      <c r="I816" s="3" t="inlineStr"/>
      <c r="J816" s="3" t="inlineStr">
        <is>
          <t>Keeta</t>
        </is>
      </c>
      <c r="K816" s="3" t="inlineStr">
        <is>
          <t>****9568</t>
        </is>
      </c>
      <c r="L816" s="3" t="n"/>
      <c r="M816" s="3" t="inlineStr">
        <is>
          <t>***** 物流中心5樓</t>
        </is>
      </c>
      <c r="N816" s="3" t="inlineStr">
        <is>
          <t>北区</t>
        </is>
      </c>
      <c r="O816" s="3" t="inlineStr">
        <is>
          <t>香港</t>
        </is>
      </c>
      <c r="P816" s="3" t="inlineStr">
        <is>
          <t>香港特别行政区</t>
        </is>
      </c>
      <c r="Q816" s="3" t="n">
        <v>449043</v>
      </c>
      <c r="R816" s="3" t="inlineStr">
        <is>
          <t>翠華餐廳(欣翠)</t>
        </is>
      </c>
      <c r="S816" s="3" t="inlineStr">
        <is>
          <t>****27609828</t>
        </is>
      </c>
      <c r="T816" s="3" t="inlineStr">
        <is>
          <t>****27609828</t>
        </is>
      </c>
      <c r="U816" s="3" t="inlineStr">
        <is>
          <t>***** 欣榮花園地下</t>
        </is>
      </c>
      <c r="V816" s="3" t="inlineStr">
        <is>
          <t>香港</t>
        </is>
      </c>
      <c r="W816" s="3" t="inlineStr">
        <is>
          <t>机纸/小票纸 / 包出</t>
        </is>
      </c>
      <c r="X816" s="3" t="inlineStr">
        <is>
          <t>ESS-SFTS-OTMS</t>
        </is>
      </c>
      <c r="Y816" s="3" t="n"/>
      <c r="Z816" s="3" t="inlineStr"/>
      <c r="AA816" s="3" t="inlineStr">
        <is>
          <t>寄付月結</t>
        </is>
      </c>
      <c r="AB816">
        <f>IFERROR(VLOOKUP(Q816&amp;"",對照表!$A:$B,1,FALSE),"")</f>
        <v/>
      </c>
      <c r="AC816">
        <f>IFERROR(VLOOKUP(Q816&amp;"",對照表!$A:$B,2,FALSE),"")</f>
        <v/>
      </c>
    </row>
    <row r="817">
      <c r="A817" s="3" t="inlineStr">
        <is>
          <t>SF5119018988566</t>
        </is>
      </c>
      <c r="B817" s="3" t="n">
        <v>58426948452621</v>
      </c>
      <c r="C817" s="3" t="inlineStr">
        <is>
          <t>已簽收</t>
        </is>
      </c>
      <c r="D817" s="3" t="inlineStr">
        <is>
          <t>2026-07-03 17:50:26</t>
        </is>
      </c>
      <c r="E817" s="3" t="inlineStr">
        <is>
          <t>2026-07-04 10:44</t>
        </is>
      </c>
      <c r="F817" s="3" t="n">
        <v>14.5</v>
      </c>
      <c r="G817" s="3" t="n">
        <v>1</v>
      </c>
      <c r="H817" s="3" t="n"/>
      <c r="I817" s="3" t="inlineStr"/>
      <c r="J817" s="3" t="inlineStr">
        <is>
          <t>Keeta</t>
        </is>
      </c>
      <c r="K817" s="3" t="inlineStr">
        <is>
          <t>****9568</t>
        </is>
      </c>
      <c r="L817" s="3" t="n"/>
      <c r="M817" s="3" t="inlineStr">
        <is>
          <t>***** 物流中心5樓</t>
        </is>
      </c>
      <c r="N817" s="3" t="inlineStr">
        <is>
          <t>北区</t>
        </is>
      </c>
      <c r="O817" s="3" t="inlineStr">
        <is>
          <t>香港</t>
        </is>
      </c>
      <c r="P817" s="3" t="inlineStr">
        <is>
          <t>香港特别行政区</t>
        </is>
      </c>
      <c r="Q817" s="3" t="n">
        <v>721514395</v>
      </c>
      <c r="R817" s="3" t="inlineStr">
        <is>
          <t>大丼食堂</t>
        </is>
      </c>
      <c r="S817" s="3" t="inlineStr">
        <is>
          <t>****8861001</t>
        </is>
      </c>
      <c r="T817" s="3" t="inlineStr">
        <is>
          <t>****8861001</t>
        </is>
      </c>
      <c r="U817" s="3" t="inlineStr">
        <is>
          <t>***** 6A G/F</t>
        </is>
      </c>
      <c r="V817" s="3" t="inlineStr">
        <is>
          <t>香港</t>
        </is>
      </c>
      <c r="W817" s="3" t="inlineStr">
        <is>
          <t>纸袋【通版】/ 箱出</t>
        </is>
      </c>
      <c r="X817" s="3" t="inlineStr">
        <is>
          <t>ESS-SFTS-OTMS</t>
        </is>
      </c>
      <c r="Y817" s="3" t="n"/>
      <c r="Z817" s="3" t="inlineStr"/>
      <c r="AA817" s="3" t="inlineStr">
        <is>
          <t>寄付月結</t>
        </is>
      </c>
      <c r="AB817">
        <f>IFERROR(VLOOKUP(Q817&amp;"",對照表!$A:$B,1,FALSE),"")</f>
        <v/>
      </c>
      <c r="AC817">
        <f>IFERROR(VLOOKUP(Q817&amp;"",對照表!$A:$B,2,FALSE),"")</f>
        <v/>
      </c>
    </row>
    <row r="818">
      <c r="A818" s="3" t="inlineStr">
        <is>
          <t>SF5119018988423</t>
        </is>
      </c>
      <c r="B818" s="3" t="n">
        <v>58426948452588</v>
      </c>
      <c r="C818" s="3" t="inlineStr">
        <is>
          <t>已簽收</t>
        </is>
      </c>
      <c r="D818" s="3" t="inlineStr">
        <is>
          <t>2026-07-03 18:19:04</t>
        </is>
      </c>
      <c r="E818" s="3" t="inlineStr">
        <is>
          <t>2026-07-04 10:30</t>
        </is>
      </c>
      <c r="F818" s="3" t="n">
        <v>1.14</v>
      </c>
      <c r="G818" s="3" t="n">
        <v>1</v>
      </c>
      <c r="H818" s="3" t="n"/>
      <c r="I818" s="3" t="inlineStr"/>
      <c r="J818" s="3" t="inlineStr">
        <is>
          <t>Keeta</t>
        </is>
      </c>
      <c r="K818" s="3" t="inlineStr">
        <is>
          <t>****9568</t>
        </is>
      </c>
      <c r="L818" s="3" t="n"/>
      <c r="M818" s="3" t="inlineStr">
        <is>
          <t>***** 物流中心5樓</t>
        </is>
      </c>
      <c r="N818" s="3" t="inlineStr">
        <is>
          <t>北区</t>
        </is>
      </c>
      <c r="O818" s="3" t="inlineStr">
        <is>
          <t>香港</t>
        </is>
      </c>
      <c r="P818" s="3" t="inlineStr">
        <is>
          <t>香港特别行政区</t>
        </is>
      </c>
      <c r="Q818" s="3" t="n">
        <v>721540375</v>
      </c>
      <c r="R818" s="3" t="inlineStr">
        <is>
          <t>Kitchen99(港式冰室優惠客飯)</t>
        </is>
      </c>
      <c r="S818" s="3" t="inlineStr">
        <is>
          <t>****96784048</t>
        </is>
      </c>
      <c r="T818" s="3" t="inlineStr">
        <is>
          <t>****96784048</t>
        </is>
      </c>
      <c r="U818" s="3" t="inlineStr">
        <is>
          <t>***** 樓地下5號舖</t>
        </is>
      </c>
      <c r="V818" s="3" t="inlineStr">
        <is>
          <t>香港</t>
        </is>
      </c>
      <c r="W818" s="3" t="inlineStr">
        <is>
          <t>塑料袋【大】/ 扎出</t>
        </is>
      </c>
      <c r="X818" s="3" t="inlineStr">
        <is>
          <t>ESS-SFTS-OTMS</t>
        </is>
      </c>
      <c r="Y818" s="3" t="n"/>
      <c r="Z818" s="3" t="inlineStr"/>
      <c r="AA818" s="3" t="inlineStr">
        <is>
          <t>寄付月結</t>
        </is>
      </c>
      <c r="AB818">
        <f>IFERROR(VLOOKUP(Q818&amp;"",對照表!$A:$B,1,FALSE),"")</f>
        <v/>
      </c>
      <c r="AC818">
        <f>IFERROR(VLOOKUP(Q818&amp;"",對照表!$A:$B,2,FALSE),"")</f>
        <v/>
      </c>
    </row>
    <row r="819">
      <c r="A819" s="3" t="inlineStr">
        <is>
          <t>SF5119018988187</t>
        </is>
      </c>
      <c r="B819" s="3" t="n">
        <v>58426948452531</v>
      </c>
      <c r="C819" s="3" t="inlineStr">
        <is>
          <t>已簽收</t>
        </is>
      </c>
      <c r="D819" s="3" t="inlineStr">
        <is>
          <t>2026-07-03 18:20:37</t>
        </is>
      </c>
      <c r="E819" s="3" t="inlineStr">
        <is>
          <t>2026-07-04 15:09</t>
        </is>
      </c>
      <c r="F819" s="3" t="n">
        <v>16.09</v>
      </c>
      <c r="G819" s="3" t="n">
        <v>2</v>
      </c>
      <c r="H819" s="3" t="n"/>
      <c r="I819" s="3" t="inlineStr"/>
      <c r="J819" s="3" t="inlineStr">
        <is>
          <t>Keeta</t>
        </is>
      </c>
      <c r="K819" s="3" t="inlineStr">
        <is>
          <t>****9568</t>
        </is>
      </c>
      <c r="L819" s="3" t="n"/>
      <c r="M819" s="3" t="inlineStr">
        <is>
          <t>***** 物流中心5樓</t>
        </is>
      </c>
      <c r="N819" s="3" t="inlineStr">
        <is>
          <t>北区</t>
        </is>
      </c>
      <c r="O819" s="3" t="inlineStr">
        <is>
          <t>香港</t>
        </is>
      </c>
      <c r="P819" s="3" t="inlineStr">
        <is>
          <t>香港特别行政区</t>
        </is>
      </c>
      <c r="Q819" s="3" t="n">
        <v>721429406</v>
      </c>
      <c r="R819" s="3" t="inlineStr">
        <is>
          <t>呂錦記手撕雞（葵芳店）</t>
        </is>
      </c>
      <c r="S819" s="3" t="inlineStr">
        <is>
          <t>****67621138</t>
        </is>
      </c>
      <c r="T819" s="3" t="inlineStr">
        <is>
          <t>****67621138</t>
        </is>
      </c>
      <c r="U819" s="3" t="inlineStr">
        <is>
          <t>***** 下11號A舖</t>
        </is>
      </c>
      <c r="V819" s="3" t="inlineStr">
        <is>
          <t>香港</t>
        </is>
      </c>
      <c r="W819" s="3" t="inlineStr">
        <is>
          <t>机纸/小票纸 / 包出, 无纺布【规格四大号】/ 箱出</t>
        </is>
      </c>
      <c r="X819" s="3" t="inlineStr">
        <is>
          <t>ESS-SFTS-OTMS</t>
        </is>
      </c>
      <c r="Y819" s="3" t="n"/>
      <c r="Z819" s="3" t="inlineStr"/>
      <c r="AA819" s="3" t="inlineStr">
        <is>
          <t>寄付月結</t>
        </is>
      </c>
      <c r="AB819">
        <f>IFERROR(VLOOKUP(Q819&amp;"",對照表!$A:$B,1,FALSE),"")</f>
        <v/>
      </c>
      <c r="AC819">
        <f>IFERROR(VLOOKUP(Q819&amp;"",對照表!$A:$B,2,FALSE),"")</f>
        <v/>
      </c>
    </row>
    <row r="820">
      <c r="A820" s="3" t="inlineStr">
        <is>
          <t>SF5119018988196</t>
        </is>
      </c>
      <c r="B820" s="3" t="n">
        <v>58426948452535</v>
      </c>
      <c r="C820" s="3" t="inlineStr">
        <is>
          <t>已簽收</t>
        </is>
      </c>
      <c r="D820" s="3" t="inlineStr">
        <is>
          <t>2026-07-03 17:57:41</t>
        </is>
      </c>
      <c r="E820" s="3" t="inlineStr">
        <is>
          <t>2026-07-04 16:07</t>
        </is>
      </c>
      <c r="F820" s="3" t="n">
        <v>2.36</v>
      </c>
      <c r="G820" s="3" t="n">
        <v>1</v>
      </c>
      <c r="H820" s="3" t="n"/>
      <c r="I820" s="3" t="inlineStr"/>
      <c r="J820" s="3" t="inlineStr">
        <is>
          <t>Keeta</t>
        </is>
      </c>
      <c r="K820" s="3" t="inlineStr">
        <is>
          <t>****9568</t>
        </is>
      </c>
      <c r="L820" s="3" t="n"/>
      <c r="M820" s="3" t="inlineStr">
        <is>
          <t>***** 物流中心5樓</t>
        </is>
      </c>
      <c r="N820" s="3" t="inlineStr">
        <is>
          <t>北区</t>
        </is>
      </c>
      <c r="O820" s="3" t="inlineStr">
        <is>
          <t>香港</t>
        </is>
      </c>
      <c r="P820" s="3" t="inlineStr">
        <is>
          <t>香港特别行政区</t>
        </is>
      </c>
      <c r="Q820" s="3" t="n">
        <v>461983</v>
      </c>
      <c r="R820" s="3" t="inlineStr">
        <is>
          <t>翠苑餐廳</t>
        </is>
      </c>
      <c r="S820" s="3" t="inlineStr">
        <is>
          <t>****91031380</t>
        </is>
      </c>
      <c r="T820" s="3" t="inlineStr">
        <is>
          <t>****91031380</t>
        </is>
      </c>
      <c r="U820" s="3" t="inlineStr">
        <is>
          <t>***** -116號舖</t>
        </is>
      </c>
      <c r="V820" s="3" t="inlineStr">
        <is>
          <t>香港</t>
        </is>
      </c>
      <c r="W820" s="3" t="inlineStr">
        <is>
          <t>机纸/小票纸 / 包出</t>
        </is>
      </c>
      <c r="X820" s="3" t="inlineStr">
        <is>
          <t>ESS-SFTS-OTMS</t>
        </is>
      </c>
      <c r="Y820" s="3" t="n"/>
      <c r="Z820" s="3" t="inlineStr"/>
      <c r="AA820" s="3" t="inlineStr">
        <is>
          <t>寄付月結</t>
        </is>
      </c>
      <c r="AB820">
        <f>IFERROR(VLOOKUP(Q820&amp;"",對照表!$A:$B,1,FALSE),"")</f>
        <v/>
      </c>
      <c r="AC820">
        <f>IFERROR(VLOOKUP(Q820&amp;"",對照表!$A:$B,2,FALSE),"")</f>
        <v/>
      </c>
    </row>
    <row r="821">
      <c r="A821" s="3" t="inlineStr">
        <is>
          <t>SF5119018988062</t>
        </is>
      </c>
      <c r="B821" s="3" t="n">
        <v>58426948452506</v>
      </c>
      <c r="C821" s="3" t="inlineStr">
        <is>
          <t>已簽收</t>
        </is>
      </c>
      <c r="D821" s="3" t="inlineStr">
        <is>
          <t>2026-07-03 17:48:38</t>
        </is>
      </c>
      <c r="E821" s="3" t="inlineStr">
        <is>
          <t>2026-07-04 13:22</t>
        </is>
      </c>
      <c r="F821" s="3" t="n">
        <v>1.5</v>
      </c>
      <c r="G821" s="3" t="n">
        <v>1</v>
      </c>
      <c r="H821" s="3" t="n"/>
      <c r="I821" s="3" t="inlineStr"/>
      <c r="J821" s="3" t="inlineStr">
        <is>
          <t>Keeta</t>
        </is>
      </c>
      <c r="K821" s="3" t="inlineStr">
        <is>
          <t>****9568</t>
        </is>
      </c>
      <c r="L821" s="3" t="n"/>
      <c r="M821" s="3" t="inlineStr">
        <is>
          <t>***** 物流中心5樓</t>
        </is>
      </c>
      <c r="N821" s="3" t="inlineStr">
        <is>
          <t>北区</t>
        </is>
      </c>
      <c r="O821" s="3" t="inlineStr">
        <is>
          <t>香港</t>
        </is>
      </c>
      <c r="P821" s="3" t="inlineStr">
        <is>
          <t>香港特别行政区</t>
        </is>
      </c>
      <c r="Q821" s="3" t="n">
        <v>465409</v>
      </c>
      <c r="R821" s="3" t="inlineStr">
        <is>
          <t>月半魚兩口子用心製作</t>
        </is>
      </c>
      <c r="S821" s="3" t="inlineStr">
        <is>
          <t>****95446265</t>
        </is>
      </c>
      <c r="T821" s="3" t="inlineStr">
        <is>
          <t>****95446265</t>
        </is>
      </c>
      <c r="U821" s="3" t="inlineStr">
        <is>
          <t>***** 樓3室F單位</t>
        </is>
      </c>
      <c r="V821" s="3" t="inlineStr">
        <is>
          <t>香港</t>
        </is>
      </c>
      <c r="W821" s="3" t="inlineStr">
        <is>
          <t>机纸/小票纸 / 包出</t>
        </is>
      </c>
      <c r="X821" s="3" t="inlineStr">
        <is>
          <t>ESS-SFTS-OTMS</t>
        </is>
      </c>
      <c r="Y821" s="3" t="n"/>
      <c r="Z821" s="3" t="inlineStr"/>
      <c r="AA821" s="3" t="inlineStr">
        <is>
          <t>寄付月結</t>
        </is>
      </c>
      <c r="AB821">
        <f>IFERROR(VLOOKUP(Q821&amp;"",對照表!$A:$B,1,FALSE),"")</f>
        <v/>
      </c>
      <c r="AC821">
        <f>IFERROR(VLOOKUP(Q821&amp;"",對照表!$A:$B,2,FALSE),"")</f>
        <v/>
      </c>
    </row>
    <row r="822">
      <c r="A822" s="3" t="inlineStr">
        <is>
          <t>SF5119018988502</t>
        </is>
      </c>
      <c r="B822" s="3" t="n">
        <v>58426948452606</v>
      </c>
      <c r="C822" s="3" t="inlineStr">
        <is>
          <t>已簽收</t>
        </is>
      </c>
      <c r="D822" s="3" t="inlineStr">
        <is>
          <t>2026-07-03 18:02:33</t>
        </is>
      </c>
      <c r="E822" s="3" t="inlineStr">
        <is>
          <t>2026-07-04 15:53</t>
        </is>
      </c>
      <c r="F822" s="3" t="n">
        <v>72.5</v>
      </c>
      <c r="G822" s="3" t="n">
        <v>5</v>
      </c>
      <c r="H822" s="3" t="n"/>
      <c r="I822" s="3" t="inlineStr"/>
      <c r="J822" s="3" t="inlineStr">
        <is>
          <t>Keeta</t>
        </is>
      </c>
      <c r="K822" s="3" t="inlineStr">
        <is>
          <t>****9568</t>
        </is>
      </c>
      <c r="L822" s="3" t="n"/>
      <c r="M822" s="3" t="inlineStr">
        <is>
          <t>***** 物流中心5樓</t>
        </is>
      </c>
      <c r="N822" s="3" t="inlineStr">
        <is>
          <t>北区</t>
        </is>
      </c>
      <c r="O822" s="3" t="inlineStr">
        <is>
          <t>香港</t>
        </is>
      </c>
      <c r="P822" s="3" t="inlineStr">
        <is>
          <t>香港特别行政区</t>
        </is>
      </c>
      <c r="Q822" s="3" t="n">
        <v>721534385</v>
      </c>
      <c r="R822" s="3" t="inlineStr">
        <is>
          <t>麥當勞(海之戀商場)McDonalds</t>
        </is>
      </c>
      <c r="S822" s="3" t="inlineStr">
        <is>
          <t>****24675221</t>
        </is>
      </c>
      <c r="T822" s="3" t="inlineStr">
        <is>
          <t>****24675221</t>
        </is>
      </c>
      <c r="U822" s="3" t="inlineStr">
        <is>
          <t>***** 2029號舖</t>
        </is>
      </c>
      <c r="V822" s="3" t="inlineStr">
        <is>
          <t>香港</t>
        </is>
      </c>
      <c r="W822" s="3" t="inlineStr">
        <is>
          <t>纸袋【通版】/ 箱出</t>
        </is>
      </c>
      <c r="X822" s="3" t="inlineStr">
        <is>
          <t>ESS-SFTS-OTMS</t>
        </is>
      </c>
      <c r="Y822" s="3" t="n"/>
      <c r="Z822" s="3" t="inlineStr"/>
      <c r="AA822" s="3" t="inlineStr">
        <is>
          <t>寄付月結</t>
        </is>
      </c>
      <c r="AB822">
        <f>IFERROR(VLOOKUP(Q822&amp;"",對照表!$A:$B,1,FALSE),"")</f>
        <v/>
      </c>
      <c r="AC822">
        <f>IFERROR(VLOOKUP(Q822&amp;"",對照表!$A:$B,2,FALSE),"")</f>
        <v/>
      </c>
    </row>
    <row r="823">
      <c r="A823" s="3" t="inlineStr">
        <is>
          <t>SF5119018988405</t>
        </is>
      </c>
      <c r="B823" s="3" t="n">
        <v>58426948452587</v>
      </c>
      <c r="C823" s="3" t="inlineStr">
        <is>
          <t>已簽收</t>
        </is>
      </c>
      <c r="D823" s="3" t="inlineStr">
        <is>
          <t>2026-07-03 17:30:46</t>
        </is>
      </c>
      <c r="E823" s="3" t="inlineStr">
        <is>
          <t>2026-07-04 12:26</t>
        </is>
      </c>
      <c r="F823" s="3" t="n">
        <v>4.45</v>
      </c>
      <c r="G823" s="3" t="n">
        <v>1</v>
      </c>
      <c r="H823" s="3" t="n"/>
      <c r="I823" s="3" t="inlineStr"/>
      <c r="J823" s="3" t="inlineStr">
        <is>
          <t>Keeta</t>
        </is>
      </c>
      <c r="K823" s="3" t="inlineStr">
        <is>
          <t>****9568</t>
        </is>
      </c>
      <c r="L823" s="3" t="n"/>
      <c r="M823" s="3" t="inlineStr">
        <is>
          <t>***** 物流中心5樓</t>
        </is>
      </c>
      <c r="N823" s="3" t="inlineStr">
        <is>
          <t>北区</t>
        </is>
      </c>
      <c r="O823" s="3" t="inlineStr">
        <is>
          <t>香港</t>
        </is>
      </c>
      <c r="P823" s="3" t="inlineStr">
        <is>
          <t>香港特别行政区</t>
        </is>
      </c>
      <c r="Q823" s="3" t="n">
        <v>721442361</v>
      </c>
      <c r="R823" s="3" t="inlineStr">
        <is>
          <t>滿載靚扒專門店</t>
        </is>
      </c>
      <c r="S823" s="3" t="inlineStr">
        <is>
          <t>****59190910</t>
        </is>
      </c>
      <c r="T823" s="3" t="inlineStr">
        <is>
          <t>****59190910</t>
        </is>
      </c>
      <c r="U823" s="3" t="inlineStr">
        <is>
          <t>***** 閣地下1號舖</t>
        </is>
      </c>
      <c r="V823" s="3" t="inlineStr">
        <is>
          <t>香港</t>
        </is>
      </c>
      <c r="W823" s="3" t="inlineStr">
        <is>
          <t>机纸/小票纸 / 包出</t>
        </is>
      </c>
      <c r="X823" s="3" t="inlineStr">
        <is>
          <t>ESS-SFTS-OTMS</t>
        </is>
      </c>
      <c r="Y823" s="3" t="n"/>
      <c r="Z823" s="3" t="inlineStr"/>
      <c r="AA823" s="3" t="inlineStr">
        <is>
          <t>寄付月結</t>
        </is>
      </c>
      <c r="AB823">
        <f>IFERROR(VLOOKUP(Q823&amp;"",對照表!$A:$B,1,FALSE),"")</f>
        <v/>
      </c>
      <c r="AC823">
        <f>IFERROR(VLOOKUP(Q823&amp;"",對照表!$A:$B,2,FALSE),"")</f>
        <v/>
      </c>
    </row>
    <row r="824">
      <c r="A824" s="3" t="inlineStr">
        <is>
          <t>SF5119018988114</t>
        </is>
      </c>
      <c r="B824" s="3" t="n">
        <v>58426948452517</v>
      </c>
      <c r="C824" s="3" t="inlineStr">
        <is>
          <t>已簽收</t>
        </is>
      </c>
      <c r="D824" s="3" t="inlineStr">
        <is>
          <t>2026-07-03 17:30:53</t>
        </is>
      </c>
      <c r="E824" s="3" t="inlineStr">
        <is>
          <t>2026-07-06 18:09</t>
        </is>
      </c>
      <c r="F824" s="3" t="n">
        <v>4.45</v>
      </c>
      <c r="G824" s="3" t="n">
        <v>1</v>
      </c>
      <c r="H824" s="3" t="n"/>
      <c r="I824" s="3" t="inlineStr"/>
      <c r="J824" s="3" t="inlineStr">
        <is>
          <t>Keeta</t>
        </is>
      </c>
      <c r="K824" s="3" t="inlineStr">
        <is>
          <t>****9568</t>
        </is>
      </c>
      <c r="L824" s="3" t="n"/>
      <c r="M824" s="3" t="inlineStr">
        <is>
          <t>***** 物流中心5樓</t>
        </is>
      </c>
      <c r="N824" s="3" t="inlineStr">
        <is>
          <t>北区</t>
        </is>
      </c>
      <c r="O824" s="3" t="inlineStr">
        <is>
          <t>香港</t>
        </is>
      </c>
      <c r="P824" s="3" t="inlineStr">
        <is>
          <t>香港特别行政区</t>
        </is>
      </c>
      <c r="Q824" s="3" t="n">
        <v>494908</v>
      </c>
      <c r="R824" s="3" t="inlineStr">
        <is>
          <t>檸檬冰室高質冰室首選（葵興商場)</t>
        </is>
      </c>
      <c r="S824" s="3" t="inlineStr">
        <is>
          <t>****26388700</t>
        </is>
      </c>
      <c r="T824" s="3" t="inlineStr">
        <is>
          <t>****26388700</t>
        </is>
      </c>
      <c r="U824" s="3" t="inlineStr">
        <is>
          <t>***** 0-12號舖</t>
        </is>
      </c>
      <c r="V824" s="3" t="inlineStr">
        <is>
          <t>香港</t>
        </is>
      </c>
      <c r="W824" s="3" t="inlineStr">
        <is>
          <t>机纸/小票纸 / 包出</t>
        </is>
      </c>
      <c r="X824" s="3" t="inlineStr">
        <is>
          <t>ESS-SFTS-OTMS</t>
        </is>
      </c>
      <c r="Y824" s="3" t="n"/>
      <c r="Z824" s="3" t="inlineStr"/>
      <c r="AA824" s="3" t="inlineStr">
        <is>
          <t>寄付月結</t>
        </is>
      </c>
      <c r="AB824">
        <f>IFERROR(VLOOKUP(Q824&amp;"",對照表!$A:$B,1,FALSE),"")</f>
        <v/>
      </c>
      <c r="AC824">
        <f>IFERROR(VLOOKUP(Q824&amp;"",對照表!$A:$B,2,FALSE),"")</f>
        <v/>
      </c>
    </row>
    <row r="825">
      <c r="A825" s="3" t="inlineStr">
        <is>
          <t>SF5119018988220</t>
        </is>
      </c>
      <c r="B825" s="3" t="n">
        <v>58426948452538</v>
      </c>
      <c r="C825" s="3" t="inlineStr">
        <is>
          <t>已簽收</t>
        </is>
      </c>
      <c r="D825" s="3" t="inlineStr">
        <is>
          <t>2026-07-03 18:19:03</t>
        </is>
      </c>
      <c r="E825" s="3" t="inlineStr">
        <is>
          <t>2026-07-04 12:49</t>
        </is>
      </c>
      <c r="F825" s="3" t="n">
        <v>75.02</v>
      </c>
      <c r="G825" s="3" t="n">
        <v>6</v>
      </c>
      <c r="H825" s="3" t="n"/>
      <c r="I825" s="3" t="inlineStr"/>
      <c r="J825" s="3" t="inlineStr">
        <is>
          <t>Keeta</t>
        </is>
      </c>
      <c r="K825" s="3" t="inlineStr">
        <is>
          <t>****9568</t>
        </is>
      </c>
      <c r="L825" s="3" t="n"/>
      <c r="M825" s="3" t="inlineStr">
        <is>
          <t>***** 物流中心5樓</t>
        </is>
      </c>
      <c r="N825" s="3" t="inlineStr">
        <is>
          <t>北区</t>
        </is>
      </c>
      <c r="O825" s="3" t="inlineStr">
        <is>
          <t>香港</t>
        </is>
      </c>
      <c r="P825" s="3" t="inlineStr">
        <is>
          <t>香港特别行政区</t>
        </is>
      </c>
      <c r="Q825" s="3" t="n">
        <v>489523</v>
      </c>
      <c r="R825" s="3" t="inlineStr">
        <is>
          <t>simplylife(中環)</t>
        </is>
      </c>
      <c r="S825" s="3" t="inlineStr">
        <is>
          <t>****25379190</t>
        </is>
      </c>
      <c r="T825" s="3" t="inlineStr">
        <is>
          <t>****25379190</t>
        </is>
      </c>
      <c r="U825" s="3" t="inlineStr">
        <is>
          <t>***** LG樓6號舖</t>
        </is>
      </c>
      <c r="V825" s="3" t="inlineStr">
        <is>
          <t>香港</t>
        </is>
      </c>
      <c r="W825" s="3" t="inlineStr">
        <is>
          <t>塑料袋【小】/ 扎出, 纸袋【通版】/ 箱出</t>
        </is>
      </c>
      <c r="X825" s="3" t="inlineStr">
        <is>
          <t>ESS-SFTS-OTMS</t>
        </is>
      </c>
      <c r="Y825" s="3" t="n"/>
      <c r="Z825" s="3" t="inlineStr"/>
      <c r="AA825" s="3" t="inlineStr">
        <is>
          <t>寄付月結</t>
        </is>
      </c>
      <c r="AB825">
        <f>IFERROR(VLOOKUP(Q825&amp;"",對照表!$A:$B,1,FALSE),"")</f>
        <v/>
      </c>
      <c r="AC825">
        <f>IFERROR(VLOOKUP(Q825&amp;"",對照表!$A:$B,2,FALSE),"")</f>
        <v/>
      </c>
    </row>
    <row r="826">
      <c r="A826" s="3" t="inlineStr">
        <is>
          <t>SF5119018988672</t>
        </is>
      </c>
      <c r="B826" s="3" t="n">
        <v>58426948452646</v>
      </c>
      <c r="C826" s="3" t="inlineStr">
        <is>
          <t>已簽收</t>
        </is>
      </c>
      <c r="D826" s="3" t="inlineStr">
        <is>
          <t>2026-07-03 17:57:49</t>
        </is>
      </c>
      <c r="E826" s="3" t="inlineStr">
        <is>
          <t>2026-07-04 13:48</t>
        </is>
      </c>
      <c r="F826" s="3" t="n">
        <v>2.36</v>
      </c>
      <c r="G826" s="3" t="n">
        <v>1</v>
      </c>
      <c r="H826" s="3" t="n"/>
      <c r="I826" s="3" t="inlineStr"/>
      <c r="J826" s="3" t="inlineStr">
        <is>
          <t>Keeta</t>
        </is>
      </c>
      <c r="K826" s="3" t="inlineStr">
        <is>
          <t>****9568</t>
        </is>
      </c>
      <c r="L826" s="3" t="n"/>
      <c r="M826" s="3" t="inlineStr">
        <is>
          <t>***** 物流中心5樓</t>
        </is>
      </c>
      <c r="N826" s="3" t="inlineStr">
        <is>
          <t>北区</t>
        </is>
      </c>
      <c r="O826" s="3" t="inlineStr">
        <is>
          <t>香港</t>
        </is>
      </c>
      <c r="P826" s="3" t="inlineStr">
        <is>
          <t>香港特别行政区</t>
        </is>
      </c>
      <c r="Q826" s="3" t="n">
        <v>721425361</v>
      </c>
      <c r="R826" s="3" t="inlineStr">
        <is>
          <t>麻辣香鍋(福榮街)100即炒鑊氣十足</t>
        </is>
      </c>
      <c r="S826" s="3" t="inlineStr">
        <is>
          <t>****51990388</t>
        </is>
      </c>
      <c r="T826" s="3" t="inlineStr">
        <is>
          <t>****51990388</t>
        </is>
      </c>
      <c r="U826" s="3" t="inlineStr">
        <is>
          <t>***** HUI PO</t>
        </is>
      </c>
      <c r="V826" s="3" t="inlineStr">
        <is>
          <t>香港</t>
        </is>
      </c>
      <c r="W826" s="3" t="inlineStr">
        <is>
          <t>机纸/小票纸 / 包出</t>
        </is>
      </c>
      <c r="X826" s="3" t="inlineStr">
        <is>
          <t>ESS-SFTS-OTMS</t>
        </is>
      </c>
      <c r="Y826" s="3" t="n"/>
      <c r="Z826" s="3" t="inlineStr"/>
      <c r="AA826" s="3" t="inlineStr">
        <is>
          <t>寄付月結</t>
        </is>
      </c>
      <c r="AB826">
        <f>IFERROR(VLOOKUP(Q826&amp;"",對照表!$A:$B,1,FALSE),"")</f>
        <v/>
      </c>
      <c r="AC826">
        <f>IFERROR(VLOOKUP(Q826&amp;"",對照表!$A:$B,2,FALSE),"")</f>
        <v/>
      </c>
    </row>
    <row r="827">
      <c r="A827" s="3" t="inlineStr">
        <is>
          <t>SF5119018988318</t>
        </is>
      </c>
      <c r="B827" s="3" t="n">
        <v>58426948452563</v>
      </c>
      <c r="C827" s="3" t="inlineStr">
        <is>
          <t>已簽收</t>
        </is>
      </c>
      <c r="D827" s="3" t="inlineStr">
        <is>
          <t>2026-07-03 17:30:51</t>
        </is>
      </c>
      <c r="E827" s="3" t="inlineStr">
        <is>
          <t>2026-07-04 14:07</t>
        </is>
      </c>
      <c r="F827" s="3" t="n">
        <v>4.45</v>
      </c>
      <c r="G827" s="3" t="n">
        <v>1</v>
      </c>
      <c r="H827" s="3" t="n"/>
      <c r="I827" s="3" t="inlineStr"/>
      <c r="J827" s="3" t="inlineStr">
        <is>
          <t>Keeta</t>
        </is>
      </c>
      <c r="K827" s="3" t="inlineStr">
        <is>
          <t>****9568</t>
        </is>
      </c>
      <c r="L827" s="3" t="n"/>
      <c r="M827" s="3" t="inlineStr">
        <is>
          <t>***** 物流中心5樓</t>
        </is>
      </c>
      <c r="N827" s="3" t="inlineStr">
        <is>
          <t>北区</t>
        </is>
      </c>
      <c r="O827" s="3" t="inlineStr">
        <is>
          <t>香港</t>
        </is>
      </c>
      <c r="P827" s="3" t="inlineStr">
        <is>
          <t>香港特别行政区</t>
        </is>
      </c>
      <c r="Q827" s="3" t="n">
        <v>487770</v>
      </c>
      <c r="R827" s="3" t="inlineStr">
        <is>
          <t>冒喜紅磡店冒菜人氣王正宗好風味</t>
        </is>
      </c>
      <c r="S827" s="3" t="inlineStr">
        <is>
          <t>****95388978</t>
        </is>
      </c>
      <c r="T827" s="3" t="inlineStr">
        <is>
          <t>****95388978</t>
        </is>
      </c>
      <c r="U827" s="3" t="inlineStr">
        <is>
          <t>***** G05A號舖</t>
        </is>
      </c>
      <c r="V827" s="3" t="inlineStr">
        <is>
          <t>香港</t>
        </is>
      </c>
      <c r="W827" s="3" t="inlineStr">
        <is>
          <t>机纸/小票纸 / 包出</t>
        </is>
      </c>
      <c r="X827" s="3" t="inlineStr">
        <is>
          <t>ESS-SFTS-OTMS</t>
        </is>
      </c>
      <c r="Y827" s="3" t="n"/>
      <c r="Z827" s="3" t="inlineStr"/>
      <c r="AA827" s="3" t="inlineStr">
        <is>
          <t>寄付月結</t>
        </is>
      </c>
      <c r="AB827">
        <f>IFERROR(VLOOKUP(Q827&amp;"",對照表!$A:$B,1,FALSE),"")</f>
        <v/>
      </c>
      <c r="AC827">
        <f>IFERROR(VLOOKUP(Q827&amp;"",對照表!$A:$B,2,FALSE),"")</f>
        <v/>
      </c>
    </row>
    <row r="828">
      <c r="A828" s="3" t="inlineStr">
        <is>
          <t>SF5119018988627</t>
        </is>
      </c>
      <c r="B828" s="3" t="n">
        <v>58426948452641</v>
      </c>
      <c r="C828" s="3" t="inlineStr">
        <is>
          <t>已簽收</t>
        </is>
      </c>
      <c r="D828" s="3" t="inlineStr">
        <is>
          <t>2026-07-03 18:18:44</t>
        </is>
      </c>
      <c r="E828" s="3" t="inlineStr">
        <is>
          <t>2026-07-04 12:02</t>
        </is>
      </c>
      <c r="F828" s="3" t="n">
        <v>4.46</v>
      </c>
      <c r="G828" s="3" t="n">
        <v>2</v>
      </c>
      <c r="H828" s="3" t="n"/>
      <c r="I828" s="3" t="inlineStr"/>
      <c r="J828" s="3" t="inlineStr">
        <is>
          <t>Keeta</t>
        </is>
      </c>
      <c r="K828" s="3" t="inlineStr">
        <is>
          <t>****9568</t>
        </is>
      </c>
      <c r="L828" s="3" t="n"/>
      <c r="M828" s="3" t="inlineStr">
        <is>
          <t>***** 物流中心5樓</t>
        </is>
      </c>
      <c r="N828" s="3" t="inlineStr">
        <is>
          <t>北区</t>
        </is>
      </c>
      <c r="O828" s="3" t="inlineStr">
        <is>
          <t>香港</t>
        </is>
      </c>
      <c r="P828" s="3" t="inlineStr">
        <is>
          <t>香港特别行政区</t>
        </is>
      </c>
      <c r="Q828" s="3" t="n">
        <v>408910</v>
      </c>
      <c r="R828" s="3" t="inlineStr">
        <is>
          <t>CrispiBun</t>
        </is>
      </c>
      <c r="S828" s="3" t="inlineStr">
        <is>
          <t>****62000151</t>
        </is>
      </c>
      <c r="T828" s="3" t="inlineStr">
        <is>
          <t>****62000151</t>
        </is>
      </c>
      <c r="U828" s="3" t="inlineStr">
        <is>
          <t>***** 地12A號舖</t>
        </is>
      </c>
      <c r="V828" s="3" t="inlineStr">
        <is>
          <t>香港</t>
        </is>
      </c>
      <c r="W828" s="3" t="inlineStr">
        <is>
          <t>塑料袋【小】/ 扎出, 机纸/小票纸 / 包出</t>
        </is>
      </c>
      <c r="X828" s="3" t="inlineStr">
        <is>
          <t>ESS-SFTS-OTMS</t>
        </is>
      </c>
      <c r="Y828" s="3" t="n"/>
      <c r="Z828" s="3" t="inlineStr"/>
      <c r="AA828" s="3" t="inlineStr">
        <is>
          <t>寄付月結</t>
        </is>
      </c>
      <c r="AB828">
        <f>IFERROR(VLOOKUP(Q828&amp;"",對照表!$A:$B,1,FALSE),"")</f>
        <v/>
      </c>
      <c r="AC828">
        <f>IFERROR(VLOOKUP(Q828&amp;"",對照表!$A:$B,2,FALSE),"")</f>
        <v/>
      </c>
    </row>
    <row r="829">
      <c r="A829" s="3" t="inlineStr">
        <is>
          <t>SF5119018988636</t>
        </is>
      </c>
      <c r="B829" s="3" t="n">
        <v>58426948452639</v>
      </c>
      <c r="C829" s="3" t="inlineStr">
        <is>
          <t>已簽收</t>
        </is>
      </c>
      <c r="D829" s="3" t="inlineStr">
        <is>
          <t>2026-07-03 18:02:15</t>
        </is>
      </c>
      <c r="E829" s="3" t="inlineStr">
        <is>
          <t>2026-07-04 11:13</t>
        </is>
      </c>
      <c r="F829" s="3" t="n">
        <v>30</v>
      </c>
      <c r="G829" s="3" t="n">
        <v>2</v>
      </c>
      <c r="H829" s="3" t="n"/>
      <c r="I829" s="3" t="inlineStr"/>
      <c r="J829" s="3" t="inlineStr">
        <is>
          <t>Keeta</t>
        </is>
      </c>
      <c r="K829" s="3" t="inlineStr">
        <is>
          <t>****9568</t>
        </is>
      </c>
      <c r="L829" s="3" t="n"/>
      <c r="M829" s="3" t="inlineStr">
        <is>
          <t>***** 物流中心5樓</t>
        </is>
      </c>
      <c r="N829" s="3" t="inlineStr">
        <is>
          <t>北区</t>
        </is>
      </c>
      <c r="O829" s="3" t="inlineStr">
        <is>
          <t>香港</t>
        </is>
      </c>
      <c r="P829" s="3" t="inlineStr">
        <is>
          <t>香港特别行政区</t>
        </is>
      </c>
      <c r="Q829" s="3" t="n">
        <v>455433</v>
      </c>
      <c r="R829" s="3" t="inlineStr">
        <is>
          <t>麥當勞(置富花園)McDonalds</t>
        </is>
      </c>
      <c r="S829" s="3" t="inlineStr">
        <is>
          <t>****28753720</t>
        </is>
      </c>
      <c r="T829" s="3" t="inlineStr">
        <is>
          <t>****28753720</t>
        </is>
      </c>
      <c r="U829" s="3" t="inlineStr">
        <is>
          <t>***** -432號舖</t>
        </is>
      </c>
      <c r="V829" s="3" t="inlineStr">
        <is>
          <t>香港</t>
        </is>
      </c>
      <c r="W829" s="3" t="inlineStr">
        <is>
          <t>纸袋【通版】/ 箱出</t>
        </is>
      </c>
      <c r="X829" s="3" t="inlineStr">
        <is>
          <t>ESS-SFTS-OTMS</t>
        </is>
      </c>
      <c r="Y829" s="3" t="n"/>
      <c r="Z829" s="3" t="inlineStr"/>
      <c r="AA829" s="3" t="inlineStr">
        <is>
          <t>寄付月結</t>
        </is>
      </c>
      <c r="AB829">
        <f>IFERROR(VLOOKUP(Q829&amp;"",對照表!$A:$B,1,FALSE),"")</f>
        <v/>
      </c>
      <c r="AC829">
        <f>IFERROR(VLOOKUP(Q829&amp;"",對照表!$A:$B,2,FALSE),"")</f>
        <v/>
      </c>
    </row>
    <row r="830">
      <c r="A830" s="3" t="inlineStr">
        <is>
          <t>SF5119018988723</t>
        </is>
      </c>
      <c r="B830" s="3" t="n">
        <v>58426948452656</v>
      </c>
      <c r="C830" s="3" t="inlineStr">
        <is>
          <t>已簽收</t>
        </is>
      </c>
      <c r="D830" s="3" t="inlineStr">
        <is>
          <t>2026-07-03 17:49:14</t>
        </is>
      </c>
      <c r="E830" s="3" t="inlineStr">
        <is>
          <t>2026-07-04 11:44</t>
        </is>
      </c>
      <c r="F830" s="3" t="n">
        <v>1.9</v>
      </c>
      <c r="G830" s="3" t="n">
        <v>1</v>
      </c>
      <c r="H830" s="3" t="n"/>
      <c r="I830" s="3" t="inlineStr"/>
      <c r="J830" s="3" t="inlineStr">
        <is>
          <t>Keeta</t>
        </is>
      </c>
      <c r="K830" s="3" t="inlineStr">
        <is>
          <t>****9568</t>
        </is>
      </c>
      <c r="L830" s="3" t="n"/>
      <c r="M830" s="3" t="inlineStr">
        <is>
          <t>***** 物流中心5樓</t>
        </is>
      </c>
      <c r="N830" s="3" t="inlineStr">
        <is>
          <t>北区</t>
        </is>
      </c>
      <c r="O830" s="3" t="inlineStr">
        <is>
          <t>香港</t>
        </is>
      </c>
      <c r="P830" s="3" t="inlineStr">
        <is>
          <t>香港特别行政区</t>
        </is>
      </c>
      <c r="Q830" s="3" t="n">
        <v>453324</v>
      </c>
      <c r="R830" s="3" t="inlineStr">
        <is>
          <t>FoodLab食物實驗室(慶祝一週年新品肉燥飯上市）</t>
        </is>
      </c>
      <c r="S830" s="3" t="inlineStr">
        <is>
          <t>****60373395</t>
        </is>
      </c>
      <c r="T830" s="3" t="inlineStr">
        <is>
          <t>****60373395</t>
        </is>
      </c>
      <c r="U830" s="3" t="inlineStr">
        <is>
          <t>***** 地下M11號</t>
        </is>
      </c>
      <c r="V830" s="3" t="inlineStr">
        <is>
          <t>香港</t>
        </is>
      </c>
      <c r="W830" s="3" t="inlineStr">
        <is>
          <t>机纸/小票纸 / 包出</t>
        </is>
      </c>
      <c r="X830" s="3" t="inlineStr">
        <is>
          <t>ESS-SFTS-OTMS</t>
        </is>
      </c>
      <c r="Y830" s="3" t="n"/>
      <c r="Z830" s="3" t="inlineStr"/>
      <c r="AA830" s="3" t="inlineStr">
        <is>
          <t>寄付月結</t>
        </is>
      </c>
      <c r="AB830">
        <f>IFERROR(VLOOKUP(Q830&amp;"",對照表!$A:$B,1,FALSE),"")</f>
        <v/>
      </c>
      <c r="AC830">
        <f>IFERROR(VLOOKUP(Q830&amp;"",對照表!$A:$B,2,FALSE),"")</f>
        <v/>
      </c>
    </row>
    <row r="831">
      <c r="A831" s="3" t="inlineStr">
        <is>
          <t>SF5119018988354</t>
        </is>
      </c>
      <c r="B831" s="3" t="n">
        <v>58426948452571</v>
      </c>
      <c r="C831" s="3" t="inlineStr">
        <is>
          <t>已簽收</t>
        </is>
      </c>
      <c r="D831" s="3" t="inlineStr">
        <is>
          <t>2026-07-03 18:20:40</t>
        </is>
      </c>
      <c r="E831" s="3" t="inlineStr">
        <is>
          <t>2026-07-04 12:54</t>
        </is>
      </c>
      <c r="F831" s="3" t="n">
        <v>25.54</v>
      </c>
      <c r="G831" s="3" t="n">
        <v>3</v>
      </c>
      <c r="H831" s="3" t="n"/>
      <c r="I831" s="3" t="inlineStr"/>
      <c r="J831" s="3" t="inlineStr">
        <is>
          <t>Keeta</t>
        </is>
      </c>
      <c r="K831" s="3" t="inlineStr">
        <is>
          <t>****9568</t>
        </is>
      </c>
      <c r="L831" s="3" t="n"/>
      <c r="M831" s="3" t="inlineStr">
        <is>
          <t>***** 物流中心5樓</t>
        </is>
      </c>
      <c r="N831" s="3" t="inlineStr">
        <is>
          <t>北区</t>
        </is>
      </c>
      <c r="O831" s="3" t="inlineStr">
        <is>
          <t>香港</t>
        </is>
      </c>
      <c r="P831" s="3" t="inlineStr">
        <is>
          <t>香港特别行政区</t>
        </is>
      </c>
      <c r="Q831" s="3" t="n">
        <v>576559</v>
      </c>
      <c r="R831" s="3" t="inlineStr">
        <is>
          <t>柞木炭家(旺角）</t>
        </is>
      </c>
      <c r="S831" s="3" t="inlineStr">
        <is>
          <t>****52999023</t>
        </is>
      </c>
      <c r="T831" s="3" t="inlineStr">
        <is>
          <t>****52999023</t>
        </is>
      </c>
      <c r="U831" s="3" t="inlineStr">
        <is>
          <t>***** 樓501號舖</t>
        </is>
      </c>
      <c r="V831" s="3" t="inlineStr">
        <is>
          <t>香港</t>
        </is>
      </c>
      <c r="W831" s="3" t="inlineStr">
        <is>
          <t>机纸/小票纸 / 包出, 无纺布【规格四大号】/ 箱出</t>
        </is>
      </c>
      <c r="X831" s="3" t="inlineStr">
        <is>
          <t>ESS-SFTS-OTMS</t>
        </is>
      </c>
      <c r="Y831" s="3" t="n"/>
      <c r="Z831" s="3" t="inlineStr"/>
      <c r="AA831" s="3" t="inlineStr">
        <is>
          <t>寄付月結</t>
        </is>
      </c>
      <c r="AB831">
        <f>IFERROR(VLOOKUP(Q831&amp;"",對照表!$A:$B,1,FALSE),"")</f>
        <v/>
      </c>
      <c r="AC831">
        <f>IFERROR(VLOOKUP(Q831&amp;"",對照表!$A:$B,2,FALSE),"")</f>
        <v/>
      </c>
    </row>
    <row r="832">
      <c r="A832" s="3" t="inlineStr">
        <is>
          <t>SF5119018988750</t>
        </is>
      </c>
      <c r="B832" s="3" t="n">
        <v>58426948452662</v>
      </c>
      <c r="C832" s="3" t="inlineStr">
        <is>
          <t>已簽收</t>
        </is>
      </c>
      <c r="D832" s="3" t="inlineStr">
        <is>
          <t>2026-07-03 17:30:02</t>
        </is>
      </c>
      <c r="E832" s="3" t="inlineStr">
        <is>
          <t>2026-07-04 12:50</t>
        </is>
      </c>
      <c r="F832" s="3" t="n">
        <v>4.45</v>
      </c>
      <c r="G832" s="3" t="n">
        <v>1</v>
      </c>
      <c r="H832" s="3" t="n"/>
      <c r="I832" s="3" t="inlineStr"/>
      <c r="J832" s="3" t="inlineStr">
        <is>
          <t>Keeta</t>
        </is>
      </c>
      <c r="K832" s="3" t="inlineStr">
        <is>
          <t>****9568</t>
        </is>
      </c>
      <c r="L832" s="3" t="n"/>
      <c r="M832" s="3" t="inlineStr">
        <is>
          <t>***** 物流中心5樓</t>
        </is>
      </c>
      <c r="N832" s="3" t="inlineStr">
        <is>
          <t>北区</t>
        </is>
      </c>
      <c r="O832" s="3" t="inlineStr">
        <is>
          <t>香港</t>
        </is>
      </c>
      <c r="P832" s="3" t="inlineStr">
        <is>
          <t>香港特别行政区</t>
        </is>
      </c>
      <c r="Q832" s="3" t="n">
        <v>474928</v>
      </c>
      <c r="R832" s="3" t="inlineStr">
        <is>
          <t>譚仔三哥米線（旺角登打士街）</t>
        </is>
      </c>
      <c r="S832" s="3" t="inlineStr">
        <is>
          <t>****26431088</t>
        </is>
      </c>
      <c r="T832" s="3" t="inlineStr">
        <is>
          <t>****26431088</t>
        </is>
      </c>
      <c r="U832" s="3" t="inlineStr">
        <is>
          <t>***** 廈地下及一樓</t>
        </is>
      </c>
      <c r="V832" s="3" t="inlineStr">
        <is>
          <t>香港</t>
        </is>
      </c>
      <c r="W832" s="3" t="inlineStr">
        <is>
          <t>机纸/小票纸 / 包出</t>
        </is>
      </c>
      <c r="X832" s="3" t="inlineStr">
        <is>
          <t>ESS-SFTS-OTMS</t>
        </is>
      </c>
      <c r="Y832" s="3" t="n"/>
      <c r="Z832" s="3" t="inlineStr"/>
      <c r="AA832" s="3" t="inlineStr">
        <is>
          <t>寄付月結</t>
        </is>
      </c>
      <c r="AB832">
        <f>IFERROR(VLOOKUP(Q832&amp;"",對照表!$A:$B,1,FALSE),"")</f>
        <v/>
      </c>
      <c r="AC832">
        <f>IFERROR(VLOOKUP(Q832&amp;"",對照表!$A:$B,2,FALSE),"")</f>
        <v/>
      </c>
    </row>
    <row r="833">
      <c r="A833" s="3" t="inlineStr">
        <is>
          <t>SF5119018988381</t>
        </is>
      </c>
      <c r="B833" s="3" t="n">
        <v>58426948452581</v>
      </c>
      <c r="C833" s="3" t="inlineStr">
        <is>
          <t>已簽收</t>
        </is>
      </c>
      <c r="D833" s="3" t="inlineStr">
        <is>
          <t>2026-07-03 18:02:21</t>
        </is>
      </c>
      <c r="E833" s="3" t="inlineStr">
        <is>
          <t>2026-07-04 16:10</t>
        </is>
      </c>
      <c r="F833" s="3" t="n">
        <v>30</v>
      </c>
      <c r="G833" s="3" t="n">
        <v>2</v>
      </c>
      <c r="H833" s="3" t="n"/>
      <c r="I833" s="3" t="inlineStr"/>
      <c r="J833" s="3" t="inlineStr">
        <is>
          <t>Keeta</t>
        </is>
      </c>
      <c r="K833" s="3" t="inlineStr">
        <is>
          <t>****9568</t>
        </is>
      </c>
      <c r="L833" s="3" t="n"/>
      <c r="M833" s="3" t="inlineStr">
        <is>
          <t>***** 物流中心5樓</t>
        </is>
      </c>
      <c r="N833" s="3" t="inlineStr">
        <is>
          <t>北区</t>
        </is>
      </c>
      <c r="O833" s="3" t="inlineStr">
        <is>
          <t>香港</t>
        </is>
      </c>
      <c r="P833" s="3" t="inlineStr">
        <is>
          <t>香港特别行政区</t>
        </is>
      </c>
      <c r="Q833" s="3" t="n">
        <v>714605</v>
      </c>
      <c r="R833" s="3" t="inlineStr">
        <is>
          <t>添好運（沙田新城市）</t>
        </is>
      </c>
      <c r="S833" s="3" t="inlineStr">
        <is>
          <t>****23850955</t>
        </is>
      </c>
      <c r="T833" s="3" t="inlineStr">
        <is>
          <t>****23850955</t>
        </is>
      </c>
      <c r="U833" s="3" t="inlineStr">
        <is>
          <t>***** 樓455號舖</t>
        </is>
      </c>
      <c r="V833" s="3" t="inlineStr">
        <is>
          <t>香港</t>
        </is>
      </c>
      <c r="W833" s="3" t="inlineStr">
        <is>
          <t>纸袋【通版】/ 箱出</t>
        </is>
      </c>
      <c r="X833" s="3" t="inlineStr">
        <is>
          <t>ESS-SFTS-OTMS</t>
        </is>
      </c>
      <c r="Y833" s="3" t="n"/>
      <c r="Z833" s="3" t="inlineStr"/>
      <c r="AA833" s="3" t="inlineStr">
        <is>
          <t>寄付月結</t>
        </is>
      </c>
      <c r="AB833">
        <f>IFERROR(VLOOKUP(Q833&amp;"",對照表!$A:$B,1,FALSE),"")</f>
        <v/>
      </c>
      <c r="AC833">
        <f>IFERROR(VLOOKUP(Q833&amp;"",對照表!$A:$B,2,FALSE),"")</f>
        <v/>
      </c>
    </row>
    <row r="834">
      <c r="A834" s="3" t="inlineStr">
        <is>
          <t>SF5119018988618</t>
        </is>
      </c>
      <c r="B834" s="3" t="n">
        <v>58426948452635</v>
      </c>
      <c r="C834" s="3" t="inlineStr">
        <is>
          <t>已簽收</t>
        </is>
      </c>
      <c r="D834" s="3" t="inlineStr">
        <is>
          <t>2026-07-03 17:57:51</t>
        </is>
      </c>
      <c r="E834" s="3" t="inlineStr">
        <is>
          <t>2026-07-04 11:12</t>
        </is>
      </c>
      <c r="F834" s="3" t="n">
        <v>2.36</v>
      </c>
      <c r="G834" s="3" t="n">
        <v>1</v>
      </c>
      <c r="H834" s="3" t="n"/>
      <c r="I834" s="3" t="inlineStr"/>
      <c r="J834" s="3" t="inlineStr">
        <is>
          <t>Keeta</t>
        </is>
      </c>
      <c r="K834" s="3" t="inlineStr">
        <is>
          <t>****9568</t>
        </is>
      </c>
      <c r="L834" s="3" t="n"/>
      <c r="M834" s="3" t="inlineStr">
        <is>
          <t>***** 物流中心5樓</t>
        </is>
      </c>
      <c r="N834" s="3" t="inlineStr">
        <is>
          <t>北区</t>
        </is>
      </c>
      <c r="O834" s="3" t="inlineStr">
        <is>
          <t>香港</t>
        </is>
      </c>
      <c r="P834" s="3" t="inlineStr">
        <is>
          <t>香港特别行政区</t>
        </is>
      </c>
      <c r="Q834" s="3" t="n">
        <v>448702</v>
      </c>
      <c r="R834" s="3" t="inlineStr">
        <is>
          <t>大和堂咖啡店</t>
        </is>
      </c>
      <c r="S834" s="3" t="inlineStr">
        <is>
          <t>****25588335</t>
        </is>
      </c>
      <c r="T834" s="3" t="inlineStr">
        <is>
          <t>****25588335</t>
        </is>
      </c>
      <c r="U834" s="3" t="inlineStr">
        <is>
          <t>***** 道24號地舖</t>
        </is>
      </c>
      <c r="V834" s="3" t="inlineStr">
        <is>
          <t>香港</t>
        </is>
      </c>
      <c r="W834" s="3" t="inlineStr">
        <is>
          <t>机纸/小票纸 / 包出</t>
        </is>
      </c>
      <c r="X834" s="3" t="inlineStr">
        <is>
          <t>ESS-SFTS-OTMS</t>
        </is>
      </c>
      <c r="Y834" s="3" t="n"/>
      <c r="Z834" s="3" t="inlineStr"/>
      <c r="AA834" s="3" t="inlineStr">
        <is>
          <t>寄付月結</t>
        </is>
      </c>
      <c r="AB834">
        <f>IFERROR(VLOOKUP(Q834&amp;"",對照表!$A:$B,1,FALSE),"")</f>
        <v/>
      </c>
      <c r="AC834">
        <f>IFERROR(VLOOKUP(Q834&amp;"",對照表!$A:$B,2,FALSE),"")</f>
        <v/>
      </c>
    </row>
    <row r="835">
      <c r="A835" s="3" t="inlineStr">
        <is>
          <t>SF5119018988593</t>
        </is>
      </c>
      <c r="B835" s="3" t="n">
        <v>58426948452631</v>
      </c>
      <c r="C835" s="3" t="inlineStr">
        <is>
          <t>已簽收</t>
        </is>
      </c>
      <c r="D835" s="3" t="inlineStr">
        <is>
          <t>2026-07-03 17:30:03</t>
        </is>
      </c>
      <c r="E835" s="3" t="inlineStr">
        <is>
          <t>2026-07-04 09:55</t>
        </is>
      </c>
      <c r="F835" s="3" t="n">
        <v>4.45</v>
      </c>
      <c r="G835" s="3" t="n">
        <v>1</v>
      </c>
      <c r="H835" s="3" t="n"/>
      <c r="I835" s="3" t="inlineStr"/>
      <c r="J835" s="3" t="inlineStr">
        <is>
          <t>Keeta</t>
        </is>
      </c>
      <c r="K835" s="3" t="inlineStr">
        <is>
          <t>****9568</t>
        </is>
      </c>
      <c r="L835" s="3" t="n"/>
      <c r="M835" s="3" t="inlineStr">
        <is>
          <t>***** 物流中心5樓</t>
        </is>
      </c>
      <c r="N835" s="3" t="inlineStr">
        <is>
          <t>北区</t>
        </is>
      </c>
      <c r="O835" s="3" t="inlineStr">
        <is>
          <t>香港</t>
        </is>
      </c>
      <c r="P835" s="3" t="inlineStr">
        <is>
          <t>香港特别行政区</t>
        </is>
      </c>
      <c r="Q835" s="3" t="n">
        <v>395722</v>
      </c>
      <c r="R835" s="3" t="inlineStr">
        <is>
          <t>大師傅粥品（大角咀）MasterCongee</t>
        </is>
      </c>
      <c r="S835" s="3" t="inlineStr">
        <is>
          <t>****23920938</t>
        </is>
      </c>
      <c r="T835" s="3" t="inlineStr">
        <is>
          <t>****23920938</t>
        </is>
      </c>
      <c r="U835" s="3" t="inlineStr">
        <is>
          <t>***** 號鋪內A單位</t>
        </is>
      </c>
      <c r="V835" s="3" t="inlineStr">
        <is>
          <t>香港</t>
        </is>
      </c>
      <c r="W835" s="3" t="inlineStr">
        <is>
          <t>机纸/小票纸 / 包出</t>
        </is>
      </c>
      <c r="X835" s="3" t="inlineStr">
        <is>
          <t>ESS-SFTS-OTMS</t>
        </is>
      </c>
      <c r="Y835" s="3" t="n"/>
      <c r="Z835" s="3" t="inlineStr"/>
      <c r="AA835" s="3" t="inlineStr">
        <is>
          <t>寄付月結</t>
        </is>
      </c>
      <c r="AB835">
        <f>IFERROR(VLOOKUP(Q835&amp;"",對照表!$A:$B,1,FALSE),"")</f>
        <v/>
      </c>
      <c r="AC835">
        <f>IFERROR(VLOOKUP(Q835&amp;"",對照表!$A:$B,2,FALSE),"")</f>
        <v/>
      </c>
    </row>
    <row r="836">
      <c r="A836" s="3" t="inlineStr">
        <is>
          <t>SF5119018988327</t>
        </is>
      </c>
      <c r="B836" s="3" t="n">
        <v>58426948452564</v>
      </c>
      <c r="C836" s="3" t="inlineStr">
        <is>
          <t>已簽收</t>
        </is>
      </c>
      <c r="D836" s="3" t="inlineStr">
        <is>
          <t>2026-07-03 17:49:21</t>
        </is>
      </c>
      <c r="E836" s="3" t="inlineStr">
        <is>
          <t>2026-07-06 11:43</t>
        </is>
      </c>
      <c r="F836" s="3" t="n">
        <v>2.36</v>
      </c>
      <c r="G836" s="3" t="n">
        <v>1</v>
      </c>
      <c r="H836" s="3" t="n"/>
      <c r="I836" s="3" t="inlineStr"/>
      <c r="J836" s="3" t="inlineStr">
        <is>
          <t>Keeta</t>
        </is>
      </c>
      <c r="K836" s="3" t="inlineStr">
        <is>
          <t>****9568</t>
        </is>
      </c>
      <c r="L836" s="3" t="n"/>
      <c r="M836" s="3" t="inlineStr">
        <is>
          <t>***** 物流中心5樓</t>
        </is>
      </c>
      <c r="N836" s="3" t="inlineStr">
        <is>
          <t>北区</t>
        </is>
      </c>
      <c r="O836" s="3" t="inlineStr">
        <is>
          <t>香港</t>
        </is>
      </c>
      <c r="P836" s="3" t="inlineStr">
        <is>
          <t>香港特别行政区</t>
        </is>
      </c>
      <c r="Q836" s="3" t="n">
        <v>461738</v>
      </c>
      <c r="R836" s="3" t="inlineStr">
        <is>
          <t>和味餐室(啟田)星級老字號冰室宵夜陪你到12AM</t>
        </is>
      </c>
      <c r="S836" s="3" t="inlineStr">
        <is>
          <t>****29402066</t>
        </is>
      </c>
      <c r="T836" s="3" t="inlineStr">
        <is>
          <t>****29402066</t>
        </is>
      </c>
      <c r="U836" s="3" t="inlineStr">
        <is>
          <t>***** 啓田商場地下</t>
        </is>
      </c>
      <c r="V836" s="3" t="inlineStr">
        <is>
          <t>香港</t>
        </is>
      </c>
      <c r="W836" s="3" t="inlineStr">
        <is>
          <t>机纸/小票纸 / 包出</t>
        </is>
      </c>
      <c r="X836" s="3" t="inlineStr">
        <is>
          <t>ESS-SFTS-OTMS</t>
        </is>
      </c>
      <c r="Y836" s="3" t="n"/>
      <c r="Z836" s="3" t="inlineStr"/>
      <c r="AA836" s="3" t="inlineStr">
        <is>
          <t>寄付月結</t>
        </is>
      </c>
      <c r="AB836">
        <f>IFERROR(VLOOKUP(Q836&amp;"",對照表!$A:$B,1,FALSE),"")</f>
        <v/>
      </c>
      <c r="AC836">
        <f>IFERROR(VLOOKUP(Q836&amp;"",對照表!$A:$B,2,FALSE),"")</f>
        <v/>
      </c>
    </row>
    <row r="837">
      <c r="A837" s="3" t="inlineStr">
        <is>
          <t>SF5119018988511</t>
        </is>
      </c>
      <c r="B837" s="3" t="n">
        <v>58426948452608</v>
      </c>
      <c r="C837" s="3" t="inlineStr">
        <is>
          <t>已簽收</t>
        </is>
      </c>
      <c r="D837" s="3" t="inlineStr">
        <is>
          <t>2026-07-03 17:50:13</t>
        </is>
      </c>
      <c r="E837" s="3" t="inlineStr">
        <is>
          <t>2026-07-04 10:01</t>
        </is>
      </c>
      <c r="F837" s="3" t="n">
        <v>14.5</v>
      </c>
      <c r="G837" s="3" t="n">
        <v>1</v>
      </c>
      <c r="H837" s="3" t="n"/>
      <c r="I837" s="3" t="inlineStr"/>
      <c r="J837" s="3" t="inlineStr">
        <is>
          <t>Keeta</t>
        </is>
      </c>
      <c r="K837" s="3" t="inlineStr">
        <is>
          <t>****9568</t>
        </is>
      </c>
      <c r="L837" s="3" t="n"/>
      <c r="M837" s="3" t="inlineStr">
        <is>
          <t>***** 物流中心5樓</t>
        </is>
      </c>
      <c r="N837" s="3" t="inlineStr">
        <is>
          <t>北区</t>
        </is>
      </c>
      <c r="O837" s="3" t="inlineStr">
        <is>
          <t>香港</t>
        </is>
      </c>
      <c r="P837" s="3" t="inlineStr">
        <is>
          <t>香港特别行政区</t>
        </is>
      </c>
      <c r="Q837" s="3" t="n">
        <v>450880</v>
      </c>
      <c r="R837" s="3" t="inlineStr">
        <is>
          <t>SheerCoffee(必試單品咖啡吐司小吃)</t>
        </is>
      </c>
      <c r="S837" s="3" t="inlineStr">
        <is>
          <t>****55436943</t>
        </is>
      </c>
      <c r="T837" s="3" t="inlineStr">
        <is>
          <t>****55436943</t>
        </is>
      </c>
      <c r="U837" s="3" t="inlineStr">
        <is>
          <t>***** 利街18b號</t>
        </is>
      </c>
      <c r="V837" s="3" t="inlineStr">
        <is>
          <t>香港</t>
        </is>
      </c>
      <c r="W837" s="3" t="inlineStr">
        <is>
          <t>纸袋【通版】/ 箱出</t>
        </is>
      </c>
      <c r="X837" s="3" t="inlineStr">
        <is>
          <t>ESS-SFTS-OTMS</t>
        </is>
      </c>
      <c r="Y837" s="3" t="n"/>
      <c r="Z837" s="3" t="inlineStr"/>
      <c r="AA837" s="3" t="inlineStr">
        <is>
          <t>寄付月結</t>
        </is>
      </c>
      <c r="AB837">
        <f>IFERROR(VLOOKUP(Q837&amp;"",對照表!$A:$B,1,FALSE),"")</f>
        <v/>
      </c>
      <c r="AC837">
        <f>IFERROR(VLOOKUP(Q837&amp;"",對照表!$A:$B,2,FALSE),"")</f>
        <v/>
      </c>
    </row>
    <row r="838">
      <c r="A838" s="3" t="inlineStr">
        <is>
          <t>SF5119018988802</t>
        </is>
      </c>
      <c r="B838" s="3" t="n">
        <v>58426948452673</v>
      </c>
      <c r="C838" s="3" t="inlineStr">
        <is>
          <t>已簽收</t>
        </is>
      </c>
      <c r="D838" s="3" t="inlineStr">
        <is>
          <t>2026-07-03 17:30:01</t>
        </is>
      </c>
      <c r="E838" s="3" t="inlineStr">
        <is>
          <t>2026-07-04 10:44</t>
        </is>
      </c>
      <c r="F838" s="3" t="n">
        <v>4.45</v>
      </c>
      <c r="G838" s="3" t="n">
        <v>1</v>
      </c>
      <c r="H838" s="3" t="n"/>
      <c r="I838" s="3" t="inlineStr"/>
      <c r="J838" s="3" t="inlineStr">
        <is>
          <t>Keeta</t>
        </is>
      </c>
      <c r="K838" s="3" t="inlineStr">
        <is>
          <t>****9568</t>
        </is>
      </c>
      <c r="L838" s="3" t="n"/>
      <c r="M838" s="3" t="inlineStr">
        <is>
          <t>***** 物流中心5樓</t>
        </is>
      </c>
      <c r="N838" s="3" t="inlineStr">
        <is>
          <t>北区</t>
        </is>
      </c>
      <c r="O838" s="3" t="inlineStr">
        <is>
          <t>香港</t>
        </is>
      </c>
      <c r="P838" s="3" t="inlineStr">
        <is>
          <t>香港特别行政区</t>
        </is>
      </c>
      <c r="Q838" s="3" t="n">
        <v>472019</v>
      </c>
      <c r="R838" s="3" t="inlineStr">
        <is>
          <t>爭鮮外帶壽司（大窩口）</t>
        </is>
      </c>
      <c r="S838" s="3" t="inlineStr">
        <is>
          <t>****23031528</t>
        </is>
      </c>
      <c r="T838" s="3" t="inlineStr">
        <is>
          <t>****23031528</t>
        </is>
      </c>
      <c r="U838" s="3" t="inlineStr">
        <is>
          <t>***** C06A號舖</t>
        </is>
      </c>
      <c r="V838" s="3" t="inlineStr">
        <is>
          <t>香港</t>
        </is>
      </c>
      <c r="W838" s="3" t="inlineStr">
        <is>
          <t>机纸/小票纸 / 包出</t>
        </is>
      </c>
      <c r="X838" s="3" t="inlineStr">
        <is>
          <t>ESS-SFTS-OTMS</t>
        </is>
      </c>
      <c r="Y838" s="3" t="n"/>
      <c r="Z838" s="3" t="inlineStr"/>
      <c r="AA838" s="3" t="inlineStr">
        <is>
          <t>寄付月結</t>
        </is>
      </c>
      <c r="AB838">
        <f>IFERROR(VLOOKUP(Q838&amp;"",對照表!$A:$B,1,FALSE),"")</f>
        <v/>
      </c>
      <c r="AC838">
        <f>IFERROR(VLOOKUP(Q838&amp;"",對照表!$A:$B,2,FALSE),"")</f>
        <v/>
      </c>
    </row>
    <row r="839">
      <c r="A839" s="3" t="inlineStr">
        <is>
          <t>SF5119018988239</t>
        </is>
      </c>
      <c r="B839" s="3" t="n">
        <v>58426948452540</v>
      </c>
      <c r="C839" s="3" t="inlineStr">
        <is>
          <t>已簽收</t>
        </is>
      </c>
      <c r="D839" s="3" t="inlineStr">
        <is>
          <t>2026-07-03 18:18:57</t>
        </is>
      </c>
      <c r="E839" s="3" t="inlineStr">
        <is>
          <t>2026-07-04 09:38</t>
        </is>
      </c>
      <c r="F839" s="3" t="n">
        <v>2.85</v>
      </c>
      <c r="G839" s="3" t="n">
        <v>1</v>
      </c>
      <c r="H839" s="3" t="n"/>
      <c r="I839" s="3" t="inlineStr"/>
      <c r="J839" s="3" t="inlineStr">
        <is>
          <t>Keeta</t>
        </is>
      </c>
      <c r="K839" s="3" t="inlineStr">
        <is>
          <t>****9568</t>
        </is>
      </c>
      <c r="L839" s="3" t="n"/>
      <c r="M839" s="3" t="inlineStr">
        <is>
          <t>***** 物流中心5樓</t>
        </is>
      </c>
      <c r="N839" s="3" t="inlineStr">
        <is>
          <t>北区</t>
        </is>
      </c>
      <c r="O839" s="3" t="inlineStr">
        <is>
          <t>香港</t>
        </is>
      </c>
      <c r="P839" s="3" t="inlineStr">
        <is>
          <t>香港特别行政区</t>
        </is>
      </c>
      <c r="Q839" s="3" t="n">
        <v>721540368</v>
      </c>
      <c r="R839" s="3" t="inlineStr">
        <is>
          <t>晉利新店早餐多選擇街坊小菜美食沙漠嘅綠洲</t>
        </is>
      </c>
      <c r="S839" s="3" t="inlineStr">
        <is>
          <t>****61786265</t>
        </is>
      </c>
      <c r="T839" s="3" t="inlineStr">
        <is>
          <t>****61786265</t>
        </is>
      </c>
      <c r="U839" s="3" t="inlineStr">
        <is>
          <t>***** 2及15號鋪</t>
        </is>
      </c>
      <c r="V839" s="3" t="inlineStr">
        <is>
          <t>香港</t>
        </is>
      </c>
      <c r="W839" s="3" t="inlineStr">
        <is>
          <t>塑料袋【大】/ 扎出</t>
        </is>
      </c>
      <c r="X839" s="3" t="inlineStr">
        <is>
          <t>ESS-SFTS-OTMS</t>
        </is>
      </c>
      <c r="Y839" s="3" t="n"/>
      <c r="Z839" s="3" t="inlineStr"/>
      <c r="AA839" s="3" t="inlineStr">
        <is>
          <t>寄付月結</t>
        </is>
      </c>
      <c r="AB839">
        <f>IFERROR(VLOOKUP(Q839&amp;"",對照表!$A:$B,1,FALSE),"")</f>
        <v/>
      </c>
      <c r="AC839">
        <f>IFERROR(VLOOKUP(Q839&amp;"",對照表!$A:$B,2,FALSE),"")</f>
        <v/>
      </c>
    </row>
    <row r="840">
      <c r="A840" s="3" t="inlineStr">
        <is>
          <t>SF5119018988169</t>
        </is>
      </c>
      <c r="B840" s="3" t="n">
        <v>58426948452526</v>
      </c>
      <c r="C840" s="3" t="inlineStr">
        <is>
          <t>已簽收</t>
        </is>
      </c>
      <c r="D840" s="3" t="inlineStr">
        <is>
          <t>2026-07-03 18:02:49</t>
        </is>
      </c>
      <c r="E840" s="3" t="inlineStr">
        <is>
          <t>2026-07-04 13:26</t>
        </is>
      </c>
      <c r="F840" s="3" t="n">
        <v>30</v>
      </c>
      <c r="G840" s="3" t="n">
        <v>2</v>
      </c>
      <c r="H840" s="3" t="n"/>
      <c r="I840" s="3" t="inlineStr"/>
      <c r="J840" s="3" t="inlineStr">
        <is>
          <t>Keeta</t>
        </is>
      </c>
      <c r="K840" s="3" t="inlineStr">
        <is>
          <t>****9568</t>
        </is>
      </c>
      <c r="L840" s="3" t="n"/>
      <c r="M840" s="3" t="inlineStr">
        <is>
          <t>***** 物流中心5樓</t>
        </is>
      </c>
      <c r="N840" s="3" t="inlineStr">
        <is>
          <t>北区</t>
        </is>
      </c>
      <c r="O840" s="3" t="inlineStr">
        <is>
          <t>香港</t>
        </is>
      </c>
      <c r="P840" s="3" t="inlineStr">
        <is>
          <t>香港特别行政区</t>
        </is>
      </c>
      <c r="Q840" s="3" t="n">
        <v>475056</v>
      </c>
      <c r="R840" s="3" t="inlineStr">
        <is>
          <t>麥當勞(荃灣廣場II)McDonalds</t>
        </is>
      </c>
      <c r="S840" s="3" t="inlineStr">
        <is>
          <t>****24115973</t>
        </is>
      </c>
      <c r="T840" s="3" t="inlineStr">
        <is>
          <t>****24115973</t>
        </is>
      </c>
      <c r="U840" s="3" t="inlineStr">
        <is>
          <t>***** 512A號舖</t>
        </is>
      </c>
      <c r="V840" s="3" t="inlineStr">
        <is>
          <t>香港</t>
        </is>
      </c>
      <c r="W840" s="3" t="inlineStr">
        <is>
          <t>纸袋【通版】/ 箱出</t>
        </is>
      </c>
      <c r="X840" s="3" t="inlineStr">
        <is>
          <t>ESS-SFTS-OTMS</t>
        </is>
      </c>
      <c r="Y840" s="3" t="n"/>
      <c r="Z840" s="3" t="inlineStr"/>
      <c r="AA840" s="3" t="inlineStr">
        <is>
          <t>寄付月結</t>
        </is>
      </c>
      <c r="AB840">
        <f>IFERROR(VLOOKUP(Q840&amp;"",對照表!$A:$B,1,FALSE),"")</f>
        <v/>
      </c>
      <c r="AC840">
        <f>IFERROR(VLOOKUP(Q840&amp;"",對照表!$A:$B,2,FALSE),"")</f>
        <v/>
      </c>
    </row>
    <row r="841">
      <c r="A841" s="3" t="inlineStr">
        <is>
          <t>SF5119018988539</t>
        </is>
      </c>
      <c r="B841" s="3" t="n">
        <v>58426948452614</v>
      </c>
      <c r="C841" s="3" t="inlineStr">
        <is>
          <t>已簽收</t>
        </is>
      </c>
      <c r="D841" s="3" t="inlineStr">
        <is>
          <t>2026-07-03 18:16:05</t>
        </is>
      </c>
      <c r="E841" s="3" t="inlineStr">
        <is>
          <t>2026-07-04 17:59</t>
        </is>
      </c>
      <c r="F841" s="3" t="n">
        <v>11</v>
      </c>
      <c r="G841" s="3" t="n">
        <v>2</v>
      </c>
      <c r="H841" s="3" t="n"/>
      <c r="I841" s="3" t="inlineStr"/>
      <c r="J841" s="3" t="inlineStr">
        <is>
          <t>Keeta</t>
        </is>
      </c>
      <c r="K841" s="3" t="inlineStr">
        <is>
          <t>****9568</t>
        </is>
      </c>
      <c r="L841" s="3" t="n"/>
      <c r="M841" s="3" t="inlineStr">
        <is>
          <t>***** 物流中心5樓</t>
        </is>
      </c>
      <c r="N841" s="3" t="inlineStr">
        <is>
          <t>北区</t>
        </is>
      </c>
      <c r="O841" s="3" t="inlineStr">
        <is>
          <t>香港</t>
        </is>
      </c>
      <c r="P841" s="3" t="inlineStr">
        <is>
          <t>香港特别行政区</t>
        </is>
      </c>
      <c r="Q841" s="3" t="n">
        <v>589645</v>
      </c>
      <c r="R841" s="3" t="inlineStr">
        <is>
          <t>十勝牛和食料理(濕地公園)</t>
        </is>
      </c>
      <c r="S841" s="3" t="inlineStr">
        <is>
          <t>****24139288</t>
        </is>
      </c>
      <c r="T841" s="3" t="inlineStr">
        <is>
          <t>****24139288</t>
        </is>
      </c>
      <c r="U841" s="3" t="inlineStr">
        <is>
          <t>***** 地下8A號舖</t>
        </is>
      </c>
      <c r="V841" s="3" t="inlineStr">
        <is>
          <t>香港</t>
        </is>
      </c>
      <c r="W841" s="3" t="inlineStr">
        <is>
          <t>塑料袋【大】/ 扎出, 塑料袋【小】/ 扎出</t>
        </is>
      </c>
      <c r="X841" s="3" t="inlineStr">
        <is>
          <t>ESS-SFTS-OTMS</t>
        </is>
      </c>
      <c r="Y841" s="3" t="n"/>
      <c r="Z841" s="3" t="inlineStr"/>
      <c r="AA841" s="3" t="inlineStr">
        <is>
          <t>寄付月結</t>
        </is>
      </c>
      <c r="AB841">
        <f>IFERROR(VLOOKUP(Q841&amp;"",對照表!$A:$B,1,FALSE),"")</f>
        <v/>
      </c>
      <c r="AC841">
        <f>IFERROR(VLOOKUP(Q841&amp;"",對照表!$A:$B,2,FALSE),"")</f>
        <v/>
      </c>
    </row>
    <row r="842">
      <c r="A842" s="3" t="inlineStr">
        <is>
          <t>SF5119018988441</t>
        </is>
      </c>
      <c r="B842" s="3" t="n">
        <v>58426948452593</v>
      </c>
      <c r="C842" s="3" t="inlineStr">
        <is>
          <t>已簽收</t>
        </is>
      </c>
      <c r="D842" s="3" t="inlineStr">
        <is>
          <t>2026-07-03 18:18:53</t>
        </is>
      </c>
      <c r="E842" s="3" t="inlineStr">
        <is>
          <t>2026-07-04 16:05</t>
        </is>
      </c>
      <c r="F842" s="3" t="n">
        <v>15.64</v>
      </c>
      <c r="G842" s="3" t="n">
        <v>2</v>
      </c>
      <c r="H842" s="3" t="n"/>
      <c r="I842" s="3" t="inlineStr"/>
      <c r="J842" s="3" t="inlineStr">
        <is>
          <t>Keeta</t>
        </is>
      </c>
      <c r="K842" s="3" t="inlineStr">
        <is>
          <t>****9568</t>
        </is>
      </c>
      <c r="L842" s="3" t="n"/>
      <c r="M842" s="3" t="inlineStr">
        <is>
          <t>***** 物流中心5樓</t>
        </is>
      </c>
      <c r="N842" s="3" t="inlineStr">
        <is>
          <t>北区</t>
        </is>
      </c>
      <c r="O842" s="3" t="inlineStr">
        <is>
          <t>香港</t>
        </is>
      </c>
      <c r="P842" s="3" t="inlineStr">
        <is>
          <t>香港特别行政区</t>
        </is>
      </c>
      <c r="Q842" s="3" t="n">
        <v>721520320</v>
      </c>
      <c r="R842" s="3" t="inlineStr">
        <is>
          <t>ItalianCorner東涌即製手工意粉超值全日套餐仲有超正Tiramisu</t>
        </is>
      </c>
      <c r="S842" s="3" t="inlineStr">
        <is>
          <t>****64055606</t>
        </is>
      </c>
      <c r="T842" s="3" t="inlineStr">
        <is>
          <t>****64055606</t>
        </is>
      </c>
      <c r="U842" s="3" t="inlineStr">
        <is>
          <t>***** 8及8A號檔</t>
        </is>
      </c>
      <c r="V842" s="3" t="inlineStr">
        <is>
          <t>香港</t>
        </is>
      </c>
      <c r="W842" s="3" t="inlineStr">
        <is>
          <t>纸袋【通版】/ 箱出, 塑料袋【大】/ 扎出</t>
        </is>
      </c>
      <c r="X842" s="3" t="inlineStr">
        <is>
          <t>ESS-SFTS-OTMS</t>
        </is>
      </c>
      <c r="Y842" s="3" t="n"/>
      <c r="Z842" s="3" t="inlineStr"/>
      <c r="AA842" s="3" t="inlineStr">
        <is>
          <t>寄付月結</t>
        </is>
      </c>
      <c r="AB842">
        <f>IFERROR(VLOOKUP(Q842&amp;"",對照表!$A:$B,1,FALSE),"")</f>
        <v/>
      </c>
      <c r="AC842">
        <f>IFERROR(VLOOKUP(Q842&amp;"",對照表!$A:$B,2,FALSE),"")</f>
        <v/>
      </c>
    </row>
    <row r="843">
      <c r="A843" s="3" t="inlineStr">
        <is>
          <t>SF5119018988487</t>
        </is>
      </c>
      <c r="B843" s="3" t="n">
        <v>58426948452602</v>
      </c>
      <c r="C843" s="3" t="inlineStr">
        <is>
          <t>已簽收</t>
        </is>
      </c>
      <c r="D843" s="3" t="inlineStr">
        <is>
          <t>2026-07-03 17:50:14</t>
        </is>
      </c>
      <c r="E843" s="3" t="inlineStr">
        <is>
          <t>2026-07-04 11:05</t>
        </is>
      </c>
      <c r="F843" s="3" t="n">
        <v>14.5</v>
      </c>
      <c r="G843" s="3" t="n">
        <v>1</v>
      </c>
      <c r="H843" s="3" t="n"/>
      <c r="I843" s="3" t="inlineStr"/>
      <c r="J843" s="3" t="inlineStr">
        <is>
          <t>Keeta</t>
        </is>
      </c>
      <c r="K843" s="3" t="inlineStr">
        <is>
          <t>****9568</t>
        </is>
      </c>
      <c r="L843" s="3" t="n"/>
      <c r="M843" s="3" t="inlineStr">
        <is>
          <t>***** 物流中心5樓</t>
        </is>
      </c>
      <c r="N843" s="3" t="inlineStr">
        <is>
          <t>北区</t>
        </is>
      </c>
      <c r="O843" s="3" t="inlineStr">
        <is>
          <t>香港</t>
        </is>
      </c>
      <c r="P843" s="3" t="inlineStr">
        <is>
          <t>香港特别行政区</t>
        </is>
      </c>
      <c r="Q843" s="3" t="n">
        <v>495025</v>
      </c>
      <c r="R843" s="3" t="inlineStr">
        <is>
          <t>NoodFood(中國工商銀行大廈)</t>
        </is>
      </c>
      <c r="S843" s="3" t="inlineStr">
        <is>
          <t>****36913983</t>
        </is>
      </c>
      <c r="T843" s="3" t="inlineStr">
        <is>
          <t>****36913983</t>
        </is>
      </c>
      <c r="U843" s="3" t="inlineStr">
        <is>
          <t>***** 銀行大廈3樓</t>
        </is>
      </c>
      <c r="V843" s="3" t="inlineStr">
        <is>
          <t>香港</t>
        </is>
      </c>
      <c r="W843" s="3" t="inlineStr">
        <is>
          <t>纸袋【通版】/ 箱出</t>
        </is>
      </c>
      <c r="X843" s="3" t="inlineStr">
        <is>
          <t>ESS-SFTS-OTMS</t>
        </is>
      </c>
      <c r="Y843" s="3" t="n"/>
      <c r="Z843" s="3" t="inlineStr"/>
      <c r="AA843" s="3" t="inlineStr">
        <is>
          <t>寄付月結</t>
        </is>
      </c>
      <c r="AB843">
        <f>IFERROR(VLOOKUP(Q843&amp;"",對照表!$A:$B,1,FALSE),"")</f>
        <v/>
      </c>
      <c r="AC843">
        <f>IFERROR(VLOOKUP(Q843&amp;"",對照表!$A:$B,2,FALSE),"")</f>
        <v/>
      </c>
    </row>
    <row r="844">
      <c r="A844" s="3" t="inlineStr">
        <is>
          <t>SF5119018988520</t>
        </is>
      </c>
      <c r="B844" s="3" t="n">
        <v>58426948452612</v>
      </c>
      <c r="C844" s="3" t="inlineStr">
        <is>
          <t>已簽收</t>
        </is>
      </c>
      <c r="D844" s="3" t="inlineStr">
        <is>
          <t>2026-07-03 17:30:49</t>
        </is>
      </c>
      <c r="E844" s="3" t="inlineStr">
        <is>
          <t>2026-07-04 11:46</t>
        </is>
      </c>
      <c r="F844" s="3" t="n">
        <v>4.45</v>
      </c>
      <c r="G844" s="3" t="n">
        <v>1</v>
      </c>
      <c r="H844" s="3" t="n"/>
      <c r="I844" s="3" t="inlineStr"/>
      <c r="J844" s="3" t="inlineStr">
        <is>
          <t>Keeta</t>
        </is>
      </c>
      <c r="K844" s="3" t="inlineStr">
        <is>
          <t>****9568</t>
        </is>
      </c>
      <c r="L844" s="3" t="n"/>
      <c r="M844" s="3" t="inlineStr">
        <is>
          <t>***** 物流中心5樓</t>
        </is>
      </c>
      <c r="N844" s="3" t="inlineStr">
        <is>
          <t>北区</t>
        </is>
      </c>
      <c r="O844" s="3" t="inlineStr">
        <is>
          <t>香港</t>
        </is>
      </c>
      <c r="P844" s="3" t="inlineStr">
        <is>
          <t>香港特别行政区</t>
        </is>
      </c>
      <c r="Q844" s="3" t="n">
        <v>458558</v>
      </c>
      <c r="R844" s="3" t="inlineStr">
        <is>
          <t>馬六(元朗)招牌海南雞喇沙肉骨茶</t>
        </is>
      </c>
      <c r="S844" s="3" t="inlineStr">
        <is>
          <t>****25112899</t>
        </is>
      </c>
      <c r="T844" s="3" t="inlineStr">
        <is>
          <t>****25112899</t>
        </is>
      </c>
      <c r="U844" s="3" t="inlineStr">
        <is>
          <t>***** 下G24號舖</t>
        </is>
      </c>
      <c r="V844" s="3" t="inlineStr">
        <is>
          <t>香港</t>
        </is>
      </c>
      <c r="W844" s="3" t="inlineStr">
        <is>
          <t>机纸/小票纸 / 包出</t>
        </is>
      </c>
      <c r="X844" s="3" t="inlineStr">
        <is>
          <t>ESS-SFTS-OTMS</t>
        </is>
      </c>
      <c r="Y844" s="3" t="n"/>
      <c r="Z844" s="3" t="inlineStr"/>
      <c r="AA844" s="3" t="inlineStr">
        <is>
          <t>寄付月結</t>
        </is>
      </c>
      <c r="AB844">
        <f>IFERROR(VLOOKUP(Q844&amp;"",對照表!$A:$B,1,FALSE),"")</f>
        <v/>
      </c>
      <c r="AC844">
        <f>IFERROR(VLOOKUP(Q844&amp;"",對照表!$A:$B,2,FALSE),"")</f>
        <v/>
      </c>
    </row>
    <row r="845">
      <c r="A845" s="3" t="inlineStr">
        <is>
          <t>SF5119018988372</t>
        </is>
      </c>
      <c r="B845" s="3" t="n">
        <v>58426948452577</v>
      </c>
      <c r="C845" s="3" t="inlineStr">
        <is>
          <t>已簽收</t>
        </is>
      </c>
      <c r="D845" s="3" t="inlineStr">
        <is>
          <t>2026-07-03 17:50:11</t>
        </is>
      </c>
      <c r="E845" s="3" t="inlineStr">
        <is>
          <t>2026-07-04 10:55</t>
        </is>
      </c>
      <c r="F845" s="3" t="n">
        <v>14.5</v>
      </c>
      <c r="G845" s="3" t="n">
        <v>1</v>
      </c>
      <c r="H845" s="3" t="n"/>
      <c r="I845" s="3" t="inlineStr"/>
      <c r="J845" s="3" t="inlineStr">
        <is>
          <t>Keeta</t>
        </is>
      </c>
      <c r="K845" s="3" t="inlineStr">
        <is>
          <t>****9568</t>
        </is>
      </c>
      <c r="L845" s="3" t="n"/>
      <c r="M845" s="3" t="inlineStr">
        <is>
          <t>***** 物流中心5樓</t>
        </is>
      </c>
      <c r="N845" s="3" t="inlineStr">
        <is>
          <t>北区</t>
        </is>
      </c>
      <c r="O845" s="3" t="inlineStr">
        <is>
          <t>香港</t>
        </is>
      </c>
      <c r="P845" s="3" t="inlineStr">
        <is>
          <t>香港特别行政区</t>
        </is>
      </c>
      <c r="Q845" s="3" t="n">
        <v>579787</v>
      </c>
      <c r="R845" s="3" t="inlineStr">
        <is>
          <t>NoodFood(太古坊)</t>
        </is>
      </c>
      <c r="S845" s="3" t="inlineStr">
        <is>
          <t>****36913965</t>
        </is>
      </c>
      <c r="T845" s="3" t="inlineStr">
        <is>
          <t>****36913965</t>
        </is>
      </c>
      <c r="U845" s="3" t="inlineStr">
        <is>
          <t>***** 盈科中心5樓</t>
        </is>
      </c>
      <c r="V845" s="3" t="inlineStr">
        <is>
          <t>香港</t>
        </is>
      </c>
      <c r="W845" s="3" t="inlineStr">
        <is>
          <t>纸袋【通版】/ 箱出</t>
        </is>
      </c>
      <c r="X845" s="3" t="inlineStr">
        <is>
          <t>ESS-SFTS-OTMS</t>
        </is>
      </c>
      <c r="Y845" s="3" t="n"/>
      <c r="Z845" s="3" t="inlineStr"/>
      <c r="AA845" s="3" t="inlineStr">
        <is>
          <t>寄付月結</t>
        </is>
      </c>
      <c r="AB845">
        <f>IFERROR(VLOOKUP(Q845&amp;"",對照表!$A:$B,1,FALSE),"")</f>
        <v/>
      </c>
      <c r="AC845">
        <f>IFERROR(VLOOKUP(Q845&amp;"",對照表!$A:$B,2,FALSE),"")</f>
        <v/>
      </c>
    </row>
    <row r="846">
      <c r="A846" s="3" t="inlineStr">
        <is>
          <t>SF5119018988857</t>
        </is>
      </c>
      <c r="B846" s="3" t="n">
        <v>58426948452682</v>
      </c>
      <c r="C846" s="3" t="inlineStr">
        <is>
          <t>已簽收</t>
        </is>
      </c>
      <c r="D846" s="3" t="inlineStr">
        <is>
          <t>2026-07-03 17:22:43</t>
        </is>
      </c>
      <c r="E846" s="3" t="inlineStr">
        <is>
          <t>2026-07-04 11:38</t>
        </is>
      </c>
      <c r="F846" s="3" t="n">
        <v>1</v>
      </c>
      <c r="G846" s="3" t="n">
        <v>1</v>
      </c>
      <c r="H846" s="3" t="n"/>
      <c r="I846" s="3" t="inlineStr"/>
      <c r="J846" s="3" t="inlineStr">
        <is>
          <t>Keeta</t>
        </is>
      </c>
      <c r="K846" s="3" t="inlineStr">
        <is>
          <t>****9568</t>
        </is>
      </c>
      <c r="L846" s="3" t="n"/>
      <c r="M846" s="3" t="inlineStr">
        <is>
          <t>***** 物流中心5樓</t>
        </is>
      </c>
      <c r="N846" s="3" t="inlineStr">
        <is>
          <t>北区</t>
        </is>
      </c>
      <c r="O846" s="3" t="inlineStr">
        <is>
          <t>香港</t>
        </is>
      </c>
      <c r="P846" s="3" t="inlineStr">
        <is>
          <t>香港特别行政区</t>
        </is>
      </c>
      <c r="Q846" s="3" t="n">
        <v>458864</v>
      </c>
      <c r="R846" s="3" t="inlineStr">
        <is>
          <t>聚星源特色車仔麵香港地道小食</t>
        </is>
      </c>
      <c r="S846" s="3" t="inlineStr">
        <is>
          <t>****69947270</t>
        </is>
      </c>
      <c r="T846" s="3" t="inlineStr">
        <is>
          <t>****69947270</t>
        </is>
      </c>
      <c r="U846" s="3" t="inlineStr">
        <is>
          <t>***** 市地下37號</t>
        </is>
      </c>
      <c r="V846" s="3" t="inlineStr">
        <is>
          <t>香港</t>
        </is>
      </c>
      <c r="W846" s="3" t="inlineStr">
        <is>
          <t>翻新POS机【真唯】/ 件出</t>
        </is>
      </c>
      <c r="X846" s="3" t="inlineStr">
        <is>
          <t>ESS-SFTS-OTMS</t>
        </is>
      </c>
      <c r="Y846" s="3" t="n"/>
      <c r="Z846" s="3" t="inlineStr"/>
      <c r="AA846" s="3" t="inlineStr">
        <is>
          <t>寄付月結</t>
        </is>
      </c>
      <c r="AB846">
        <f>IFERROR(VLOOKUP(Q846&amp;"",對照表!$A:$B,1,FALSE),"")</f>
        <v/>
      </c>
      <c r="AC846">
        <f>IFERROR(VLOOKUP(Q846&amp;"",對照表!$A:$B,2,FALSE),"")</f>
        <v/>
      </c>
    </row>
    <row r="847">
      <c r="A847" s="3" t="inlineStr">
        <is>
          <t>SF5119018988663</t>
        </is>
      </c>
      <c r="B847" s="3" t="n">
        <v>58426948452645</v>
      </c>
      <c r="C847" s="3" t="inlineStr">
        <is>
          <t>已簽收</t>
        </is>
      </c>
      <c r="D847" s="3" t="inlineStr">
        <is>
          <t>2026-07-03 17:30:05</t>
        </is>
      </c>
      <c r="E847" s="3" t="inlineStr">
        <is>
          <t>2026-07-04 13:32</t>
        </is>
      </c>
      <c r="F847" s="3" t="n">
        <v>4.45</v>
      </c>
      <c r="G847" s="3" t="n">
        <v>1</v>
      </c>
      <c r="H847" s="3" t="n"/>
      <c r="I847" s="3" t="inlineStr"/>
      <c r="J847" s="3" t="inlineStr">
        <is>
          <t>Keeta</t>
        </is>
      </c>
      <c r="K847" s="3" t="inlineStr">
        <is>
          <t>****9568</t>
        </is>
      </c>
      <c r="L847" s="3" t="n"/>
      <c r="M847" s="3" t="inlineStr">
        <is>
          <t>***** 物流中心5樓</t>
        </is>
      </c>
      <c r="N847" s="3" t="inlineStr">
        <is>
          <t>北区</t>
        </is>
      </c>
      <c r="O847" s="3" t="inlineStr">
        <is>
          <t>香港</t>
        </is>
      </c>
      <c r="P847" s="3" t="inlineStr">
        <is>
          <t>香港特别行政区</t>
        </is>
      </c>
      <c r="Q847" s="3" t="n">
        <v>577326</v>
      </c>
      <c r="R847" s="3" t="inlineStr">
        <is>
          <t>小魚鴨子FishDuck</t>
        </is>
      </c>
      <c r="S847" s="3" t="inlineStr">
        <is>
          <t>****26037188</t>
        </is>
      </c>
      <c r="T847" s="3" t="inlineStr">
        <is>
          <t>****26037188</t>
        </is>
      </c>
      <c r="U847" s="3" t="inlineStr">
        <is>
          <t>***** 132C號舖</t>
        </is>
      </c>
      <c r="V847" s="3" t="inlineStr">
        <is>
          <t>香港</t>
        </is>
      </c>
      <c r="W847" s="3" t="inlineStr">
        <is>
          <t>机纸/小票纸 / 包出</t>
        </is>
      </c>
      <c r="X847" s="3" t="inlineStr">
        <is>
          <t>ESS-SFTS-OTMS</t>
        </is>
      </c>
      <c r="Y847" s="3" t="n"/>
      <c r="Z847" s="3" t="inlineStr"/>
      <c r="AA847" s="3" t="inlineStr">
        <is>
          <t>寄付月結</t>
        </is>
      </c>
      <c r="AB847">
        <f>IFERROR(VLOOKUP(Q847&amp;"",對照表!$A:$B,1,FALSE),"")</f>
        <v/>
      </c>
      <c r="AC847">
        <f>IFERROR(VLOOKUP(Q847&amp;"",對照表!$A:$B,2,FALSE),"")</f>
        <v/>
      </c>
    </row>
    <row r="848">
      <c r="A848" s="3" t="inlineStr">
        <is>
          <t>SF5119018988875</t>
        </is>
      </c>
      <c r="B848" s="3" t="n">
        <v>58426948485122</v>
      </c>
      <c r="C848" s="3" t="inlineStr">
        <is>
          <t>已簽收</t>
        </is>
      </c>
      <c r="D848" s="3" t="inlineStr">
        <is>
          <t>2026-07-03 17:50:37</t>
        </is>
      </c>
      <c r="E848" s="3" t="inlineStr">
        <is>
          <t>2026-07-04 13:32</t>
        </is>
      </c>
      <c r="F848" s="3" t="n">
        <v>14.5</v>
      </c>
      <c r="G848" s="3" t="n">
        <v>1</v>
      </c>
      <c r="H848" s="3" t="n"/>
      <c r="I848" s="3" t="inlineStr"/>
      <c r="J848" s="3" t="inlineStr">
        <is>
          <t>Keeta</t>
        </is>
      </c>
      <c r="K848" s="3" t="inlineStr">
        <is>
          <t>****9568</t>
        </is>
      </c>
      <c r="L848" s="3" t="n"/>
      <c r="M848" s="3" t="inlineStr">
        <is>
          <t>***** 物流中心5樓</t>
        </is>
      </c>
      <c r="N848" s="3" t="inlineStr">
        <is>
          <t>北区</t>
        </is>
      </c>
      <c r="O848" s="3" t="inlineStr">
        <is>
          <t>香港</t>
        </is>
      </c>
      <c r="P848" s="3" t="inlineStr">
        <is>
          <t>香港特别行政区</t>
        </is>
      </c>
      <c r="Q848" s="3" t="n">
        <v>575001</v>
      </c>
      <c r="R848" s="3" t="inlineStr">
        <is>
          <t>翠園(葵青劇院)</t>
        </is>
      </c>
      <c r="S848" s="3" t="inlineStr">
        <is>
          <t>****26186887</t>
        </is>
      </c>
      <c r="T848" s="3" t="inlineStr">
        <is>
          <t>****26186887</t>
        </is>
      </c>
      <c r="U848" s="3" t="inlineStr">
        <is>
          <t>***** 院地下1號舖</t>
        </is>
      </c>
      <c r="V848" s="3" t="inlineStr">
        <is>
          <t>香港</t>
        </is>
      </c>
      <c r="W848" s="3" t="inlineStr">
        <is>
          <t>纸袋【通版】/ 箱出</t>
        </is>
      </c>
      <c r="X848" s="3" t="inlineStr">
        <is>
          <t>ESS-SFTS-OTMS</t>
        </is>
      </c>
      <c r="Y848" s="3" t="n"/>
      <c r="Z848" s="3" t="inlineStr"/>
      <c r="AA848" s="3" t="inlineStr">
        <is>
          <t>寄付月結</t>
        </is>
      </c>
      <c r="AB848">
        <f>IFERROR(VLOOKUP(Q848&amp;"",對照表!$A:$B,1,FALSE),"")</f>
        <v/>
      </c>
      <c r="AC848">
        <f>IFERROR(VLOOKUP(Q848&amp;"",對照表!$A:$B,2,FALSE),"")</f>
        <v/>
      </c>
    </row>
    <row r="849">
      <c r="A849" s="3" t="inlineStr">
        <is>
          <t>SF5119018988954</t>
        </is>
      </c>
      <c r="B849" s="3" t="n">
        <v>58426948485147</v>
      </c>
      <c r="C849" s="3" t="inlineStr">
        <is>
          <t>已簽收</t>
        </is>
      </c>
      <c r="D849" s="3" t="inlineStr">
        <is>
          <t>2026-07-03 17:24:48</t>
        </is>
      </c>
      <c r="E849" s="3" t="inlineStr">
        <is>
          <t>2026-07-04 13:42</t>
        </is>
      </c>
      <c r="F849" s="3" t="n">
        <v>1</v>
      </c>
      <c r="G849" s="3" t="n">
        <v>1</v>
      </c>
      <c r="H849" s="3" t="n"/>
      <c r="I849" s="3" t="inlineStr"/>
      <c r="J849" s="3" t="inlineStr">
        <is>
          <t>Keeta</t>
        </is>
      </c>
      <c r="K849" s="3" t="inlineStr">
        <is>
          <t>****9568</t>
        </is>
      </c>
      <c r="L849" s="3" t="n"/>
      <c r="M849" s="3" t="inlineStr">
        <is>
          <t>***** 物流中心5樓</t>
        </is>
      </c>
      <c r="N849" s="3" t="inlineStr">
        <is>
          <t>北区</t>
        </is>
      </c>
      <c r="O849" s="3" t="inlineStr">
        <is>
          <t>香港</t>
        </is>
      </c>
      <c r="P849" s="3" t="inlineStr">
        <is>
          <t>香港特别行政区</t>
        </is>
      </c>
      <c r="Q849" s="3" t="n">
        <v>583989</v>
      </c>
      <c r="R849" s="3" t="inlineStr">
        <is>
          <t>半斤餃子</t>
        </is>
      </c>
      <c r="S849" s="3" t="inlineStr">
        <is>
          <t>****68515777</t>
        </is>
      </c>
      <c r="T849" s="3" t="inlineStr">
        <is>
          <t>****68515777</t>
        </is>
      </c>
      <c r="U849" s="3" t="inlineStr">
        <is>
          <t>***** 根地下D及P</t>
        </is>
      </c>
      <c r="V849" s="3" t="inlineStr">
        <is>
          <t>香港</t>
        </is>
      </c>
      <c r="W849" s="3" t="inlineStr">
        <is>
          <t>翻新POS机【真唯】/ 件出</t>
        </is>
      </c>
      <c r="X849" s="3" t="inlineStr">
        <is>
          <t>ESS-SFTS-OTMS</t>
        </is>
      </c>
      <c r="Y849" s="3" t="n"/>
      <c r="Z849" s="3" t="inlineStr"/>
      <c r="AA849" s="3" t="inlineStr">
        <is>
          <t>寄付月結</t>
        </is>
      </c>
      <c r="AB849">
        <f>IFERROR(VLOOKUP(Q849&amp;"",對照表!$A:$B,1,FALSE),"")</f>
        <v/>
      </c>
      <c r="AC849">
        <f>IFERROR(VLOOKUP(Q849&amp;"",對照表!$A:$B,2,FALSE),"")</f>
        <v/>
      </c>
    </row>
    <row r="850">
      <c r="A850" s="3" t="inlineStr">
        <is>
          <t>SF5119018988390</t>
        </is>
      </c>
      <c r="B850" s="3" t="n">
        <v>58426948452585</v>
      </c>
      <c r="C850" s="3" t="inlineStr">
        <is>
          <t>已簽收</t>
        </is>
      </c>
      <c r="D850" s="3" t="inlineStr">
        <is>
          <t>2026-07-03 18:11:26</t>
        </is>
      </c>
      <c r="E850" s="3" t="inlineStr">
        <is>
          <t>2026-07-04 16:09</t>
        </is>
      </c>
      <c r="F850" s="3" t="n">
        <v>43.5</v>
      </c>
      <c r="G850" s="3" t="n">
        <v>3</v>
      </c>
      <c r="H850" s="3" t="n"/>
      <c r="I850" s="3" t="inlineStr"/>
      <c r="J850" s="3" t="inlineStr">
        <is>
          <t>Keeta</t>
        </is>
      </c>
      <c r="K850" s="3" t="inlineStr">
        <is>
          <t>****9568</t>
        </is>
      </c>
      <c r="L850" s="3" t="n"/>
      <c r="M850" s="3" t="inlineStr">
        <is>
          <t>***** 物流中心5樓</t>
        </is>
      </c>
      <c r="N850" s="3" t="inlineStr">
        <is>
          <t>北区</t>
        </is>
      </c>
      <c r="O850" s="3" t="inlineStr">
        <is>
          <t>香港</t>
        </is>
      </c>
      <c r="P850" s="3" t="inlineStr">
        <is>
          <t>香港特别行政区</t>
        </is>
      </c>
      <c r="Q850" s="3" t="n">
        <v>721536377</v>
      </c>
      <c r="R850" s="3" t="inlineStr">
        <is>
          <t>麥當勞(藍田)McDonalds</t>
        </is>
      </c>
      <c r="S850" s="3" t="inlineStr">
        <is>
          <t>****23795337</t>
        </is>
      </c>
      <c r="T850" s="3" t="inlineStr">
        <is>
          <t>****23795337</t>
        </is>
      </c>
      <c r="U850" s="3" t="inlineStr">
        <is>
          <t>***** 26號1號舖</t>
        </is>
      </c>
      <c r="V850" s="3" t="inlineStr">
        <is>
          <t>香港</t>
        </is>
      </c>
      <c r="W850" s="3" t="inlineStr">
        <is>
          <t>纸袋【通版】/ 箱出</t>
        </is>
      </c>
      <c r="X850" s="3" t="inlineStr">
        <is>
          <t>ESS-SFTS-OTMS</t>
        </is>
      </c>
      <c r="Y850" s="3" t="n"/>
      <c r="Z850" s="3" t="inlineStr"/>
      <c r="AA850" s="3" t="inlineStr">
        <is>
          <t>寄付月結</t>
        </is>
      </c>
      <c r="AB850">
        <f>IFERROR(VLOOKUP(Q850&amp;"",對照表!$A:$B,1,FALSE),"")</f>
        <v/>
      </c>
      <c r="AC850">
        <f>IFERROR(VLOOKUP(Q850&amp;"",對照表!$A:$B,2,FALSE),"")</f>
        <v/>
      </c>
    </row>
    <row r="851">
      <c r="A851" s="3" t="inlineStr">
        <is>
          <t>SF5119018988918</t>
        </is>
      </c>
      <c r="B851" s="3" t="n">
        <v>58426948485131</v>
      </c>
      <c r="C851" s="3" t="inlineStr">
        <is>
          <t>已簽收</t>
        </is>
      </c>
      <c r="D851" s="3" t="inlineStr">
        <is>
          <t>2026-07-03 17:29:58</t>
        </is>
      </c>
      <c r="E851" s="3" t="inlineStr">
        <is>
          <t>2026-07-04 10:47</t>
        </is>
      </c>
      <c r="F851" s="3" t="n">
        <v>4.45</v>
      </c>
      <c r="G851" s="3" t="n">
        <v>1</v>
      </c>
      <c r="H851" s="3" t="n"/>
      <c r="I851" s="3" t="inlineStr"/>
      <c r="J851" s="3" t="inlineStr">
        <is>
          <t>Keeta</t>
        </is>
      </c>
      <c r="K851" s="3" t="inlineStr">
        <is>
          <t>****9568</t>
        </is>
      </c>
      <c r="L851" s="3" t="n"/>
      <c r="M851" s="3" t="inlineStr">
        <is>
          <t>***** 物流中心5樓</t>
        </is>
      </c>
      <c r="N851" s="3" t="inlineStr">
        <is>
          <t>北区</t>
        </is>
      </c>
      <c r="O851" s="3" t="inlineStr">
        <is>
          <t>香港</t>
        </is>
      </c>
      <c r="P851" s="3" t="inlineStr">
        <is>
          <t>香港特别行政区</t>
        </is>
      </c>
      <c r="Q851" s="3" t="n">
        <v>451939</v>
      </c>
      <c r="R851" s="3" t="inlineStr">
        <is>
          <t>傷心酸辣粉(新蒲崗)</t>
        </is>
      </c>
      <c r="S851" s="3" t="inlineStr">
        <is>
          <t>****26178038</t>
        </is>
      </c>
      <c r="T851" s="3" t="inlineStr">
        <is>
          <t>****26178038</t>
        </is>
      </c>
      <c r="U851" s="3" t="inlineStr">
        <is>
          <t>***** -G11號舖</t>
        </is>
      </c>
      <c r="V851" s="3" t="inlineStr">
        <is>
          <t>香港</t>
        </is>
      </c>
      <c r="W851" s="3" t="inlineStr">
        <is>
          <t>机纸/小票纸 / 包出</t>
        </is>
      </c>
      <c r="X851" s="3" t="inlineStr">
        <is>
          <t>ESS-SFTS-OTMS</t>
        </is>
      </c>
      <c r="Y851" s="3" t="n"/>
      <c r="Z851" s="3" t="inlineStr"/>
      <c r="AA851" s="3" t="inlineStr">
        <is>
          <t>寄付月結</t>
        </is>
      </c>
      <c r="AB851">
        <f>IFERROR(VLOOKUP(Q851&amp;"",對照表!$A:$B,1,FALSE),"")</f>
        <v/>
      </c>
      <c r="AC851">
        <f>IFERROR(VLOOKUP(Q851&amp;"",對照表!$A:$B,2,FALSE),"")</f>
        <v/>
      </c>
    </row>
    <row r="852">
      <c r="A852" s="3" t="inlineStr">
        <is>
          <t>SF5119018988645</t>
        </is>
      </c>
      <c r="B852" s="3" t="n">
        <v>58426948452636</v>
      </c>
      <c r="C852" s="3" t="inlineStr">
        <is>
          <t>已簽收</t>
        </is>
      </c>
      <c r="D852" s="3" t="inlineStr">
        <is>
          <t>2026-07-03 17:30:02</t>
        </is>
      </c>
      <c r="E852" s="3" t="inlineStr">
        <is>
          <t>2026-07-04 17:38</t>
        </is>
      </c>
      <c r="F852" s="3" t="n">
        <v>4.45</v>
      </c>
      <c r="G852" s="3" t="n">
        <v>1</v>
      </c>
      <c r="H852" s="3" t="n"/>
      <c r="I852" s="3" t="inlineStr"/>
      <c r="J852" s="3" t="inlineStr">
        <is>
          <t>Keeta</t>
        </is>
      </c>
      <c r="K852" s="3" t="inlineStr">
        <is>
          <t>****9568</t>
        </is>
      </c>
      <c r="L852" s="3" t="n"/>
      <c r="M852" s="3" t="inlineStr">
        <is>
          <t>***** 物流中心5樓</t>
        </is>
      </c>
      <c r="N852" s="3" t="inlineStr">
        <is>
          <t>北区</t>
        </is>
      </c>
      <c r="O852" s="3" t="inlineStr">
        <is>
          <t>香港</t>
        </is>
      </c>
      <c r="P852" s="3" t="inlineStr">
        <is>
          <t>香港特别行政区</t>
        </is>
      </c>
      <c r="Q852" s="3" t="n">
        <v>606148</v>
      </c>
      <c r="R852" s="3" t="inlineStr">
        <is>
          <t>PizzaHut必勝客(荷里活廣場)</t>
        </is>
      </c>
      <c r="S852" s="3" t="inlineStr">
        <is>
          <t>****23300000</t>
        </is>
      </c>
      <c r="T852" s="3" t="inlineStr">
        <is>
          <t>****23300000</t>
        </is>
      </c>
      <c r="U852" s="3" t="inlineStr">
        <is>
          <t>***** 樓321號舖</t>
        </is>
      </c>
      <c r="V852" s="3" t="inlineStr">
        <is>
          <t>香港</t>
        </is>
      </c>
      <c r="W852" s="3" t="inlineStr">
        <is>
          <t>机纸/小票纸 / 包出</t>
        </is>
      </c>
      <c r="X852" s="3" t="inlineStr">
        <is>
          <t>ESS-SFTS-OTMS</t>
        </is>
      </c>
      <c r="Y852" s="3" t="n"/>
      <c r="Z852" s="3" t="inlineStr"/>
      <c r="AA852" s="3" t="inlineStr">
        <is>
          <t>寄付月結</t>
        </is>
      </c>
      <c r="AB852">
        <f>IFERROR(VLOOKUP(Q852&amp;"",對照表!$A:$B,1,FALSE),"")</f>
        <v/>
      </c>
      <c r="AC852">
        <f>IFERROR(VLOOKUP(Q852&amp;"",對照表!$A:$B,2,FALSE),"")</f>
        <v/>
      </c>
    </row>
    <row r="853">
      <c r="A853" s="3" t="inlineStr">
        <is>
          <t>SF5119018988705</t>
        </is>
      </c>
      <c r="B853" s="3" t="n">
        <v>58426948452653</v>
      </c>
      <c r="C853" s="3" t="inlineStr">
        <is>
          <t>已簽收</t>
        </is>
      </c>
      <c r="D853" s="3" t="inlineStr">
        <is>
          <t>2026-07-03 17:50:32</t>
        </is>
      </c>
      <c r="E853" s="3" t="inlineStr">
        <is>
          <t>2026-07-04 18:41</t>
        </is>
      </c>
      <c r="F853" s="3" t="n">
        <v>14.5</v>
      </c>
      <c r="G853" s="3" t="n">
        <v>1</v>
      </c>
      <c r="H853" s="3" t="n"/>
      <c r="I853" s="3" t="inlineStr"/>
      <c r="J853" s="3" t="inlineStr">
        <is>
          <t>Keeta</t>
        </is>
      </c>
      <c r="K853" s="3" t="inlineStr">
        <is>
          <t>****9568</t>
        </is>
      </c>
      <c r="L853" s="3" t="n"/>
      <c r="M853" s="3" t="inlineStr">
        <is>
          <t>***** 物流中心5樓</t>
        </is>
      </c>
      <c r="N853" s="3" t="inlineStr">
        <is>
          <t>北区</t>
        </is>
      </c>
      <c r="O853" s="3" t="inlineStr">
        <is>
          <t>香港</t>
        </is>
      </c>
      <c r="P853" s="3" t="inlineStr">
        <is>
          <t>香港特别行政区</t>
        </is>
      </c>
      <c r="Q853" s="3" t="n">
        <v>721529394</v>
      </c>
      <c r="R853" s="3" t="inlineStr">
        <is>
          <t>好撈得</t>
        </is>
      </c>
      <c r="S853" s="3" t="inlineStr">
        <is>
          <t>****61595188</t>
        </is>
      </c>
      <c r="T853" s="3" t="inlineStr">
        <is>
          <t>****61595188</t>
        </is>
      </c>
      <c r="U853" s="3" t="inlineStr">
        <is>
          <t>***** 地下12號鋪</t>
        </is>
      </c>
      <c r="V853" s="3" t="inlineStr">
        <is>
          <t>香港</t>
        </is>
      </c>
      <c r="W853" s="3" t="inlineStr">
        <is>
          <t>纸袋【通版】/ 箱出</t>
        </is>
      </c>
      <c r="X853" s="3" t="inlineStr">
        <is>
          <t>ESS-SFTS-OTMS</t>
        </is>
      </c>
      <c r="Y853" s="3" t="n"/>
      <c r="Z853" s="3" t="inlineStr"/>
      <c r="AA853" s="3" t="inlineStr">
        <is>
          <t>寄付月結</t>
        </is>
      </c>
      <c r="AB853">
        <f>IFERROR(VLOOKUP(Q853&amp;"",對照表!$A:$B,1,FALSE),"")</f>
        <v/>
      </c>
      <c r="AC853">
        <f>IFERROR(VLOOKUP(Q853&amp;"",對照表!$A:$B,2,FALSE),"")</f>
        <v/>
      </c>
    </row>
    <row r="854">
      <c r="A854" s="3" t="inlineStr">
        <is>
          <t>SF5119018988769</t>
        </is>
      </c>
      <c r="B854" s="3" t="n">
        <v>58426948452664</v>
      </c>
      <c r="C854" s="3" t="inlineStr">
        <is>
          <t>已簽收</t>
        </is>
      </c>
      <c r="D854" s="3" t="inlineStr">
        <is>
          <t>2026-07-03 17:30:04</t>
        </is>
      </c>
      <c r="E854" s="3" t="inlineStr">
        <is>
          <t>2026-07-04 10:24</t>
        </is>
      </c>
      <c r="F854" s="3" t="n">
        <v>4.45</v>
      </c>
      <c r="G854" s="3" t="n">
        <v>1</v>
      </c>
      <c r="H854" s="3" t="n"/>
      <c r="I854" s="3" t="inlineStr"/>
      <c r="J854" s="3" t="inlineStr">
        <is>
          <t>Keeta</t>
        </is>
      </c>
      <c r="K854" s="3" t="inlineStr">
        <is>
          <t>****9568</t>
        </is>
      </c>
      <c r="L854" s="3" t="n"/>
      <c r="M854" s="3" t="inlineStr">
        <is>
          <t>***** 物流中心5樓</t>
        </is>
      </c>
      <c r="N854" s="3" t="inlineStr">
        <is>
          <t>北区</t>
        </is>
      </c>
      <c r="O854" s="3" t="inlineStr">
        <is>
          <t>香港</t>
        </is>
      </c>
      <c r="P854" s="3" t="inlineStr">
        <is>
          <t>香港特别行政区</t>
        </is>
      </c>
      <c r="Q854" s="3" t="n">
        <v>721443345</v>
      </c>
      <c r="R854" s="3" t="inlineStr">
        <is>
          <t>山田和食屋(翠怡花園)</t>
        </is>
      </c>
      <c r="S854" s="3" t="inlineStr">
        <is>
          <t>****44020728</t>
        </is>
      </c>
      <c r="T854" s="3" t="inlineStr">
        <is>
          <t>****44020728</t>
        </is>
      </c>
      <c r="U854" s="3" t="inlineStr">
        <is>
          <t>***** 座地下9A1</t>
        </is>
      </c>
      <c r="V854" s="3" t="inlineStr">
        <is>
          <t>香港</t>
        </is>
      </c>
      <c r="W854" s="3" t="inlineStr">
        <is>
          <t>机纸/小票纸 / 包出</t>
        </is>
      </c>
      <c r="X854" s="3" t="inlineStr">
        <is>
          <t>ESS-SFTS-OTMS</t>
        </is>
      </c>
      <c r="Y854" s="3" t="n"/>
      <c r="Z854" s="3" t="inlineStr"/>
      <c r="AA854" s="3" t="inlineStr">
        <is>
          <t>寄付月結</t>
        </is>
      </c>
      <c r="AB854">
        <f>IFERROR(VLOOKUP(Q854&amp;"",對照表!$A:$B,1,FALSE),"")</f>
        <v/>
      </c>
      <c r="AC854">
        <f>IFERROR(VLOOKUP(Q854&amp;"",對照表!$A:$B,2,FALSE),"")</f>
        <v/>
      </c>
    </row>
    <row r="855">
      <c r="A855" s="3" t="inlineStr">
        <is>
          <t>SF5119018988681</t>
        </is>
      </c>
      <c r="B855" s="3" t="n">
        <v>58426948452651</v>
      </c>
      <c r="C855" s="3" t="inlineStr">
        <is>
          <t>已簽收</t>
        </is>
      </c>
      <c r="D855" s="3" t="inlineStr">
        <is>
          <t>2026-07-03 17:50:34</t>
        </is>
      </c>
      <c r="E855" s="3" t="inlineStr">
        <is>
          <t>2026-07-04 13:47</t>
        </is>
      </c>
      <c r="F855" s="3" t="n">
        <v>14.5</v>
      </c>
      <c r="G855" s="3" t="n">
        <v>1</v>
      </c>
      <c r="H855" s="3" t="n"/>
      <c r="I855" s="3" t="inlineStr"/>
      <c r="J855" s="3" t="inlineStr">
        <is>
          <t>Keeta</t>
        </is>
      </c>
      <c r="K855" s="3" t="inlineStr">
        <is>
          <t>****9568</t>
        </is>
      </c>
      <c r="L855" s="3" t="n"/>
      <c r="M855" s="3" t="inlineStr">
        <is>
          <t>***** 物流中心5樓</t>
        </is>
      </c>
      <c r="N855" s="3" t="inlineStr">
        <is>
          <t>北区</t>
        </is>
      </c>
      <c r="O855" s="3" t="inlineStr">
        <is>
          <t>香港</t>
        </is>
      </c>
      <c r="P855" s="3" t="inlineStr">
        <is>
          <t>香港特别行政区</t>
        </is>
      </c>
      <c r="Q855" s="3" t="n">
        <v>721518386</v>
      </c>
      <c r="R855" s="3" t="inlineStr">
        <is>
          <t>幸福煎餃子【中環】【地道街頭小食cctv 美食中國推介 沙溪蘆兜粽】</t>
        </is>
      </c>
      <c r="S855" s="3" t="inlineStr">
        <is>
          <t>****1136614</t>
        </is>
      </c>
      <c r="T855" s="3" t="inlineStr">
        <is>
          <t>****1136614</t>
        </is>
      </c>
      <c r="U855" s="3" t="inlineStr">
        <is>
          <t>***** 層地下5A舖</t>
        </is>
      </c>
      <c r="V855" s="3" t="inlineStr">
        <is>
          <t>香港</t>
        </is>
      </c>
      <c r="W855" s="3" t="inlineStr">
        <is>
          <t>纸袋【通版】/ 箱出</t>
        </is>
      </c>
      <c r="X855" s="3" t="inlineStr">
        <is>
          <t>ESS-SFTS-OTMS</t>
        </is>
      </c>
      <c r="Y855" s="3" t="n"/>
      <c r="Z855" s="3" t="inlineStr"/>
      <c r="AA855" s="3" t="inlineStr">
        <is>
          <t>寄付月結</t>
        </is>
      </c>
      <c r="AB855">
        <f>IFERROR(VLOOKUP(Q855&amp;"",對照表!$A:$B,1,FALSE),"")</f>
        <v/>
      </c>
      <c r="AC855">
        <f>IFERROR(VLOOKUP(Q855&amp;"",對照表!$A:$B,2,FALSE),"")</f>
        <v/>
      </c>
    </row>
    <row r="856">
      <c r="A856" s="3" t="inlineStr">
        <is>
          <t>SF5119018988609</t>
        </is>
      </c>
      <c r="B856" s="3" t="n">
        <v>58426948452633</v>
      </c>
      <c r="C856" s="3" t="inlineStr">
        <is>
          <t>已簽收</t>
        </is>
      </c>
      <c r="D856" s="3" t="inlineStr">
        <is>
          <t>2026-07-03 17:50:31</t>
        </is>
      </c>
      <c r="E856" s="3" t="inlineStr">
        <is>
          <t>2026-07-04 13:47</t>
        </is>
      </c>
      <c r="F856" s="3" t="n">
        <v>14.5</v>
      </c>
      <c r="G856" s="3" t="n">
        <v>1</v>
      </c>
      <c r="H856" s="3" t="n"/>
      <c r="I856" s="3" t="inlineStr"/>
      <c r="J856" s="3" t="inlineStr">
        <is>
          <t>Keeta</t>
        </is>
      </c>
      <c r="K856" s="3" t="inlineStr">
        <is>
          <t>****9568</t>
        </is>
      </c>
      <c r="L856" s="3" t="n"/>
      <c r="M856" s="3" t="inlineStr">
        <is>
          <t>***** 物流中心5樓</t>
        </is>
      </c>
      <c r="N856" s="3" t="inlineStr">
        <is>
          <t>北区</t>
        </is>
      </c>
      <c r="O856" s="3" t="inlineStr">
        <is>
          <t>香港</t>
        </is>
      </c>
      <c r="P856" s="3" t="inlineStr">
        <is>
          <t>香港特别行政区</t>
        </is>
      </c>
      <c r="Q856" s="3" t="n">
        <v>600404</v>
      </c>
      <c r="R856" s="3" t="inlineStr">
        <is>
          <t>CheekyBuns(中環)</t>
        </is>
      </c>
      <c r="S856" s="3" t="inlineStr">
        <is>
          <t>****25812128</t>
        </is>
      </c>
      <c r="T856" s="3" t="inlineStr">
        <is>
          <t>****25812128</t>
        </is>
      </c>
      <c r="U856" s="3" t="inlineStr">
        <is>
          <t>***** 大廈5B地舖</t>
        </is>
      </c>
      <c r="V856" s="3" t="inlineStr">
        <is>
          <t>香港</t>
        </is>
      </c>
      <c r="W856" s="3" t="inlineStr">
        <is>
          <t>纸袋【通版】/ 箱出</t>
        </is>
      </c>
      <c r="X856" s="3" t="inlineStr">
        <is>
          <t>ESS-SFTS-OTMS</t>
        </is>
      </c>
      <c r="Y856" s="3" t="n"/>
      <c r="Z856" s="3" t="inlineStr"/>
      <c r="AA856" s="3" t="inlineStr">
        <is>
          <t>寄付月結</t>
        </is>
      </c>
      <c r="AB856">
        <f>IFERROR(VLOOKUP(Q856&amp;"",對照表!$A:$B,1,FALSE),"")</f>
        <v/>
      </c>
      <c r="AC856">
        <f>IFERROR(VLOOKUP(Q856&amp;"",對照表!$A:$B,2,FALSE),"")</f>
        <v/>
      </c>
    </row>
    <row r="857">
      <c r="A857" s="3" t="inlineStr">
        <is>
          <t>SF5119018988478</t>
        </is>
      </c>
      <c r="B857" s="3" t="n">
        <v>58426948452601</v>
      </c>
      <c r="C857" s="3" t="inlineStr">
        <is>
          <t>已簽收</t>
        </is>
      </c>
      <c r="D857" s="3" t="inlineStr">
        <is>
          <t>2026-07-03 17:57:59</t>
        </is>
      </c>
      <c r="E857" s="3" t="inlineStr">
        <is>
          <t>2026-07-04 14:10</t>
        </is>
      </c>
      <c r="F857" s="3" t="n">
        <v>3.36</v>
      </c>
      <c r="G857" s="3" t="n">
        <v>1</v>
      </c>
      <c r="H857" s="3" t="n"/>
      <c r="I857" s="3" t="inlineStr"/>
      <c r="J857" s="3" t="inlineStr">
        <is>
          <t>Keeta</t>
        </is>
      </c>
      <c r="K857" s="3" t="inlineStr">
        <is>
          <t>****9568</t>
        </is>
      </c>
      <c r="L857" s="3" t="n"/>
      <c r="M857" s="3" t="inlineStr">
        <is>
          <t>***** 物流中心5樓</t>
        </is>
      </c>
      <c r="N857" s="3" t="inlineStr">
        <is>
          <t>北区</t>
        </is>
      </c>
      <c r="O857" s="3" t="inlineStr">
        <is>
          <t>香港</t>
        </is>
      </c>
      <c r="P857" s="3" t="inlineStr">
        <is>
          <t>香港特别行政区</t>
        </is>
      </c>
      <c r="Q857" s="3" t="n">
        <v>721516293</v>
      </c>
      <c r="R857" s="3" t="inlineStr">
        <is>
          <t>舍廊坊SaLangBang韓國人主理地道韓國料理</t>
        </is>
      </c>
      <c r="S857" s="3" t="inlineStr">
        <is>
          <t>****70998062</t>
        </is>
      </c>
      <c r="T857" s="3" t="inlineStr">
        <is>
          <t>****70998062</t>
        </is>
      </c>
      <c r="U857" s="3" t="inlineStr">
        <is>
          <t>***** 層地下2號舖</t>
        </is>
      </c>
      <c r="V857" s="3" t="inlineStr">
        <is>
          <t>香港</t>
        </is>
      </c>
      <c r="W857" s="3" t="inlineStr">
        <is>
          <t>封签【通版】/ 扎出, 机纸/小票纸 / 包出</t>
        </is>
      </c>
      <c r="X857" s="3" t="inlineStr">
        <is>
          <t>ESS-SFTS-OTMS</t>
        </is>
      </c>
      <c r="Y857" s="3" t="n"/>
      <c r="Z857" s="3" t="inlineStr"/>
      <c r="AA857" s="3" t="inlineStr">
        <is>
          <t>寄付月結</t>
        </is>
      </c>
      <c r="AB857">
        <f>IFERROR(VLOOKUP(Q857&amp;"",對照表!$A:$B,1,FALSE),"")</f>
        <v/>
      </c>
      <c r="AC857">
        <f>IFERROR(VLOOKUP(Q857&amp;"",對照表!$A:$B,2,FALSE),"")</f>
        <v/>
      </c>
    </row>
    <row r="858">
      <c r="A858" s="3" t="inlineStr">
        <is>
          <t>SF5119018988557</t>
        </is>
      </c>
      <c r="B858" s="3" t="n">
        <v>58426948452619</v>
      </c>
      <c r="C858" s="3" t="inlineStr">
        <is>
          <t>已簽收</t>
        </is>
      </c>
      <c r="D858" s="3" t="inlineStr">
        <is>
          <t>2026-07-03 18:02:24</t>
        </is>
      </c>
      <c r="E858" s="3" t="inlineStr">
        <is>
          <t>2026-07-04 11:54</t>
        </is>
      </c>
      <c r="F858" s="3" t="n">
        <v>30</v>
      </c>
      <c r="G858" s="3" t="n">
        <v>2</v>
      </c>
      <c r="H858" s="3" t="n"/>
      <c r="I858" s="3" t="inlineStr"/>
      <c r="J858" s="3" t="inlineStr">
        <is>
          <t>Keeta</t>
        </is>
      </c>
      <c r="K858" s="3" t="inlineStr">
        <is>
          <t>****9568</t>
        </is>
      </c>
      <c r="L858" s="3" t="n"/>
      <c r="M858" s="3" t="inlineStr">
        <is>
          <t>***** 物流中心5樓</t>
        </is>
      </c>
      <c r="N858" s="3" t="inlineStr">
        <is>
          <t>北区</t>
        </is>
      </c>
      <c r="O858" s="3" t="inlineStr">
        <is>
          <t>香港</t>
        </is>
      </c>
      <c r="P858" s="3" t="inlineStr">
        <is>
          <t>香港特别行政区</t>
        </is>
      </c>
      <c r="Q858" s="3" t="n">
        <v>721426291</v>
      </c>
      <c r="R858" s="3" t="inlineStr">
        <is>
          <t>営丼Eidon</t>
        </is>
      </c>
      <c r="S858" s="3" t="inlineStr">
        <is>
          <t>****31881019</t>
        </is>
      </c>
      <c r="T858" s="3" t="inlineStr">
        <is>
          <t>****31881019</t>
        </is>
      </c>
      <c r="U858" s="3" t="inlineStr">
        <is>
          <t>***** 502B號舖</t>
        </is>
      </c>
      <c r="V858" s="3" t="inlineStr">
        <is>
          <t>香港</t>
        </is>
      </c>
      <c r="W858" s="3" t="inlineStr">
        <is>
          <t>纸袋【通版】/ 箱出</t>
        </is>
      </c>
      <c r="X858" s="3" t="inlineStr">
        <is>
          <t>ESS-SFTS-OTMS</t>
        </is>
      </c>
      <c r="Y858" s="3" t="n"/>
      <c r="Z858" s="3" t="inlineStr"/>
      <c r="AA858" s="3" t="inlineStr">
        <is>
          <t>寄付月結</t>
        </is>
      </c>
      <c r="AB858">
        <f>IFERROR(VLOOKUP(Q858&amp;"",對照表!$A:$B,1,FALSE),"")</f>
        <v/>
      </c>
      <c r="AC858">
        <f>IFERROR(VLOOKUP(Q858&amp;"",對照表!$A:$B,2,FALSE),"")</f>
        <v/>
      </c>
    </row>
    <row r="859">
      <c r="A859" s="3" t="inlineStr">
        <is>
          <t>SF5119018988741</t>
        </is>
      </c>
      <c r="B859" s="3" t="n">
        <v>58426948452660</v>
      </c>
      <c r="C859" s="3" t="inlineStr">
        <is>
          <t>已簽收</t>
        </is>
      </c>
      <c r="D859" s="3" t="inlineStr">
        <is>
          <t>2026-07-03 18:00:04</t>
        </is>
      </c>
      <c r="E859" s="3" t="inlineStr">
        <is>
          <t>2026-07-04 13:52</t>
        </is>
      </c>
      <c r="F859" s="3" t="n">
        <v>8.16</v>
      </c>
      <c r="G859" s="3" t="n">
        <v>1</v>
      </c>
      <c r="H859" s="3" t="n"/>
      <c r="I859" s="3" t="inlineStr"/>
      <c r="J859" s="3" t="inlineStr">
        <is>
          <t>Keeta</t>
        </is>
      </c>
      <c r="K859" s="3" t="inlineStr">
        <is>
          <t>****9568</t>
        </is>
      </c>
      <c r="L859" s="3" t="n"/>
      <c r="M859" s="3" t="inlineStr">
        <is>
          <t>***** 物流中心5樓</t>
        </is>
      </c>
      <c r="N859" s="3" t="inlineStr">
        <is>
          <t>北区</t>
        </is>
      </c>
      <c r="O859" s="3" t="inlineStr">
        <is>
          <t>香港</t>
        </is>
      </c>
      <c r="P859" s="3" t="inlineStr">
        <is>
          <t>香港特别行政区</t>
        </is>
      </c>
      <c r="Q859" s="3" t="n">
        <v>598445</v>
      </c>
      <c r="R859" s="3" t="inlineStr">
        <is>
          <t>文記車仔麵(121號)</t>
        </is>
      </c>
      <c r="S859" s="3" t="inlineStr">
        <is>
          <t>****54964136</t>
        </is>
      </c>
      <c r="T859" s="3" t="inlineStr">
        <is>
          <t>****54964136</t>
        </is>
      </c>
      <c r="U859" s="3" t="inlineStr">
        <is>
          <t>***** 5號地下B舖</t>
        </is>
      </c>
      <c r="V859" s="3" t="inlineStr">
        <is>
          <t>香港</t>
        </is>
      </c>
      <c r="W859" s="3" t="inlineStr">
        <is>
          <t>机纸/小票纸 / 包出, 封签【通版】/ 扎出</t>
        </is>
      </c>
      <c r="X859" s="3" t="inlineStr">
        <is>
          <t>ESS-SFTS-OTMS</t>
        </is>
      </c>
      <c r="Y859" s="3" t="n"/>
      <c r="Z859" s="3" t="inlineStr"/>
      <c r="AA859" s="3" t="inlineStr">
        <is>
          <t>寄付月結</t>
        </is>
      </c>
      <c r="AB859">
        <f>IFERROR(VLOOKUP(Q859&amp;"",對照表!$A:$B,1,FALSE),"")</f>
        <v/>
      </c>
      <c r="AC859">
        <f>IFERROR(VLOOKUP(Q859&amp;"",對照表!$A:$B,2,FALSE),"")</f>
        <v/>
      </c>
    </row>
    <row r="860">
      <c r="A860" s="3" t="inlineStr">
        <is>
          <t>SF5119018988584</t>
        </is>
      </c>
      <c r="B860" s="3" t="n">
        <v>58426948452627</v>
      </c>
      <c r="C860" s="3" t="inlineStr">
        <is>
          <t>已簽收</t>
        </is>
      </c>
      <c r="D860" s="3" t="inlineStr">
        <is>
          <t>2026-07-03 18:20:36</t>
        </is>
      </c>
      <c r="E860" s="3" t="inlineStr">
        <is>
          <t>2026-07-04 11:24</t>
        </is>
      </c>
      <c r="F860" s="3" t="n">
        <v>11.59</v>
      </c>
      <c r="G860" s="3" t="n">
        <v>1</v>
      </c>
      <c r="H860" s="3" t="n"/>
      <c r="I860" s="3" t="inlineStr"/>
      <c r="J860" s="3" t="inlineStr">
        <is>
          <t>Keeta</t>
        </is>
      </c>
      <c r="K860" s="3" t="inlineStr">
        <is>
          <t>****9568</t>
        </is>
      </c>
      <c r="L860" s="3" t="n"/>
      <c r="M860" s="3" t="inlineStr">
        <is>
          <t>***** 物流中心5樓</t>
        </is>
      </c>
      <c r="N860" s="3" t="inlineStr">
        <is>
          <t>北区</t>
        </is>
      </c>
      <c r="O860" s="3" t="inlineStr">
        <is>
          <t>香港</t>
        </is>
      </c>
      <c r="P860" s="3" t="inlineStr">
        <is>
          <t>香港特别行政区</t>
        </is>
      </c>
      <c r="Q860" s="3" t="n">
        <v>560146</v>
      </c>
      <c r="R860" s="3" t="inlineStr">
        <is>
          <t>GALBIGUNG</t>
        </is>
      </c>
      <c r="S860" s="3" t="inlineStr">
        <is>
          <t>****26081198</t>
        </is>
      </c>
      <c r="T860" s="3" t="inlineStr">
        <is>
          <t>****26081198</t>
        </is>
      </c>
      <c r="U860" s="3" t="inlineStr">
        <is>
          <t>***** 樓331號舖</t>
        </is>
      </c>
      <c r="V860" s="3" t="inlineStr">
        <is>
          <t>香港</t>
        </is>
      </c>
      <c r="W860" s="3" t="inlineStr">
        <is>
          <t>无纺布【规格四大号】/ 箱出</t>
        </is>
      </c>
      <c r="X860" s="3" t="inlineStr">
        <is>
          <t>ESS-SFTS-OTMS</t>
        </is>
      </c>
      <c r="Y860" s="3" t="n"/>
      <c r="Z860" s="3" t="inlineStr"/>
      <c r="AA860" s="3" t="inlineStr">
        <is>
          <t>寄付月結</t>
        </is>
      </c>
      <c r="AB860">
        <f>IFERROR(VLOOKUP(Q860&amp;"",對照表!$A:$B,1,FALSE),"")</f>
        <v/>
      </c>
      <c r="AC860">
        <f>IFERROR(VLOOKUP(Q860&amp;"",對照表!$A:$B,2,FALSE),"")</f>
        <v/>
      </c>
    </row>
    <row r="861">
      <c r="A861" s="3" t="inlineStr">
        <is>
          <t>SF5119018988275</t>
        </is>
      </c>
      <c r="B861" s="3" t="n">
        <v>58426948452552</v>
      </c>
      <c r="C861" s="3" t="inlineStr">
        <is>
          <t>已簽收</t>
        </is>
      </c>
      <c r="D861" s="3" t="inlineStr">
        <is>
          <t>2026-07-03 17:24:45</t>
        </is>
      </c>
      <c r="E861" s="3" t="inlineStr">
        <is>
          <t>2026-07-04 12:13</t>
        </is>
      </c>
      <c r="F861" s="3" t="n">
        <v>1</v>
      </c>
      <c r="G861" s="3" t="n">
        <v>1</v>
      </c>
      <c r="H861" s="3" t="n"/>
      <c r="I861" s="3" t="inlineStr"/>
      <c r="J861" s="3" t="inlineStr">
        <is>
          <t>Keeta</t>
        </is>
      </c>
      <c r="K861" s="3" t="inlineStr">
        <is>
          <t>****9568</t>
        </is>
      </c>
      <c r="L861" s="3" t="n"/>
      <c r="M861" s="3" t="inlineStr">
        <is>
          <t>***** 物流中心5樓</t>
        </is>
      </c>
      <c r="N861" s="3" t="inlineStr">
        <is>
          <t>北区</t>
        </is>
      </c>
      <c r="O861" s="3" t="inlineStr">
        <is>
          <t>香港</t>
        </is>
      </c>
      <c r="P861" s="3" t="inlineStr">
        <is>
          <t>香港特别行政区</t>
        </is>
      </c>
      <c r="Q861" s="3" t="n">
        <v>671889</v>
      </c>
      <c r="R861" s="3" t="inlineStr">
        <is>
          <t>韓台站(大埔)一間餐廳滿足你三種味道</t>
        </is>
      </c>
      <c r="S861" s="3" t="inlineStr">
        <is>
          <t>****23677288</t>
        </is>
      </c>
      <c r="T861" s="3" t="inlineStr">
        <is>
          <t>****23677288</t>
        </is>
      </c>
      <c r="U861" s="3" t="inlineStr">
        <is>
          <t>***** Tai Po</t>
        </is>
      </c>
      <c r="V861" s="3" t="inlineStr">
        <is>
          <t>香港</t>
        </is>
      </c>
      <c r="W861" s="3" t="inlineStr">
        <is>
          <t>翻新POS机【真唯】/ 件出</t>
        </is>
      </c>
      <c r="X861" s="3" t="inlineStr">
        <is>
          <t>ESS-SFTS-OTMS</t>
        </is>
      </c>
      <c r="Y861" s="3" t="n"/>
      <c r="Z861" s="3" t="inlineStr"/>
      <c r="AA861" s="3" t="inlineStr">
        <is>
          <t>寄付月結</t>
        </is>
      </c>
      <c r="AB861">
        <f>IFERROR(VLOOKUP(Q861&amp;"",對照表!$A:$B,1,FALSE),"")</f>
        <v/>
      </c>
      <c r="AC861">
        <f>IFERROR(VLOOKUP(Q861&amp;"",對照表!$A:$B,2,FALSE),"")</f>
        <v/>
      </c>
    </row>
    <row r="862">
      <c r="A862" s="3" t="inlineStr">
        <is>
          <t>SF5119018988796</t>
        </is>
      </c>
      <c r="B862" s="3" t="n">
        <v>58426948452670</v>
      </c>
      <c r="C862" s="3" t="inlineStr">
        <is>
          <t>已簽收</t>
        </is>
      </c>
      <c r="D862" s="3" t="inlineStr">
        <is>
          <t>2026-07-03 17:50:36</t>
        </is>
      </c>
      <c r="E862" s="3" t="inlineStr">
        <is>
          <t>2026-07-04 11:06</t>
        </is>
      </c>
      <c r="F862" s="3" t="n">
        <v>14.5</v>
      </c>
      <c r="G862" s="3" t="n">
        <v>1</v>
      </c>
      <c r="H862" s="3" t="n"/>
      <c r="I862" s="3" t="inlineStr"/>
      <c r="J862" s="3" t="inlineStr">
        <is>
          <t>Keeta</t>
        </is>
      </c>
      <c r="K862" s="3" t="inlineStr">
        <is>
          <t>****9568</t>
        </is>
      </c>
      <c r="L862" s="3" t="n"/>
      <c r="M862" s="3" t="inlineStr">
        <is>
          <t>***** 物流中心5樓</t>
        </is>
      </c>
      <c r="N862" s="3" t="inlineStr">
        <is>
          <t>北区</t>
        </is>
      </c>
      <c r="O862" s="3" t="inlineStr">
        <is>
          <t>香港</t>
        </is>
      </c>
      <c r="P862" s="3" t="inlineStr">
        <is>
          <t>香港特别行政区</t>
        </is>
      </c>
      <c r="Q862" s="3" t="n">
        <v>721527368</v>
      </c>
      <c r="R862" s="3" t="inlineStr">
        <is>
          <t>麥當勞(海港城)McDonalds</t>
        </is>
      </c>
      <c r="S862" s="3" t="inlineStr">
        <is>
          <t>****37047246</t>
        </is>
      </c>
      <c r="T862" s="3" t="inlineStr">
        <is>
          <t>****37047246</t>
        </is>
      </c>
      <c r="U862" s="3" t="inlineStr">
        <is>
          <t>***** 4002號舖</t>
        </is>
      </c>
      <c r="V862" s="3" t="inlineStr">
        <is>
          <t>香港</t>
        </is>
      </c>
      <c r="W862" s="3" t="inlineStr">
        <is>
          <t>纸袋【通版】/ 箱出</t>
        </is>
      </c>
      <c r="X862" s="3" t="inlineStr">
        <is>
          <t>ESS-SFTS-OTMS</t>
        </is>
      </c>
      <c r="Y862" s="3" t="n"/>
      <c r="Z862" s="3" t="inlineStr"/>
      <c r="AA862" s="3" t="inlineStr">
        <is>
          <t>寄付月結</t>
        </is>
      </c>
      <c r="AB862">
        <f>IFERROR(VLOOKUP(Q862&amp;"",對照表!$A:$B,1,FALSE),"")</f>
        <v/>
      </c>
      <c r="AC862">
        <f>IFERROR(VLOOKUP(Q862&amp;"",對照表!$A:$B,2,FALSE),"")</f>
        <v/>
      </c>
    </row>
    <row r="863">
      <c r="A863" s="3" t="inlineStr">
        <is>
          <t>SF5119018988866</t>
        </is>
      </c>
      <c r="B863" s="3" t="n">
        <v>58426948452685</v>
      </c>
      <c r="C863" s="3" t="inlineStr">
        <is>
          <t>已簽收</t>
        </is>
      </c>
      <c r="D863" s="3" t="inlineStr">
        <is>
          <t>2026-07-03 17:22:42</t>
        </is>
      </c>
      <c r="E863" s="3" t="inlineStr">
        <is>
          <t>2026-07-04 13:09</t>
        </is>
      </c>
      <c r="F863" s="3" t="n">
        <v>1</v>
      </c>
      <c r="G863" s="3" t="n">
        <v>1</v>
      </c>
      <c r="H863" s="3" t="n"/>
      <c r="I863" s="3" t="inlineStr"/>
      <c r="J863" s="3" t="inlineStr">
        <is>
          <t>Keeta</t>
        </is>
      </c>
      <c r="K863" s="3" t="inlineStr">
        <is>
          <t>****9568</t>
        </is>
      </c>
      <c r="L863" s="3" t="n"/>
      <c r="M863" s="3" t="inlineStr">
        <is>
          <t>***** 物流中心5樓</t>
        </is>
      </c>
      <c r="N863" s="3" t="inlineStr">
        <is>
          <t>北区</t>
        </is>
      </c>
      <c r="O863" s="3" t="inlineStr">
        <is>
          <t>香港</t>
        </is>
      </c>
      <c r="P863" s="3" t="inlineStr">
        <is>
          <t>香港特别行政区</t>
        </is>
      </c>
      <c r="Q863" s="3" t="n">
        <v>458340</v>
      </c>
      <c r="R863" s="3" t="inlineStr">
        <is>
          <t>KFC肯德基(彩雲商場)</t>
        </is>
      </c>
      <c r="S863" s="3" t="inlineStr">
        <is>
          <t>****26335177</t>
        </is>
      </c>
      <c r="T863" s="3" t="inlineStr">
        <is>
          <t>****26335177</t>
        </is>
      </c>
      <c r="U863" s="3" t="inlineStr">
        <is>
          <t>***** 323A號舖</t>
        </is>
      </c>
      <c r="V863" s="3" t="inlineStr">
        <is>
          <t>香港</t>
        </is>
      </c>
      <c r="W863" s="3" t="inlineStr">
        <is>
          <t>翻新POS机【真唯】/ 件出</t>
        </is>
      </c>
      <c r="X863" s="3" t="inlineStr">
        <is>
          <t>ESS-SFTS-OTMS</t>
        </is>
      </c>
      <c r="Y863" s="3" t="n"/>
      <c r="Z863" s="3" t="inlineStr"/>
      <c r="AA863" s="3" t="inlineStr">
        <is>
          <t>寄付月結</t>
        </is>
      </c>
      <c r="AB863">
        <f>IFERROR(VLOOKUP(Q863&amp;"",對照表!$A:$B,1,FALSE),"")</f>
        <v/>
      </c>
      <c r="AC863">
        <f>IFERROR(VLOOKUP(Q863&amp;"",對照表!$A:$B,2,FALSE),"")</f>
        <v/>
      </c>
    </row>
    <row r="864">
      <c r="A864" s="3" t="inlineStr">
        <is>
          <t>SF5119018988432</t>
        </is>
      </c>
      <c r="B864" s="3" t="n">
        <v>58426948452590</v>
      </c>
      <c r="C864" s="3" t="inlineStr">
        <is>
          <t>已簽收</t>
        </is>
      </c>
      <c r="D864" s="3" t="inlineStr">
        <is>
          <t>2026-07-03 17:24:47</t>
        </is>
      </c>
      <c r="E864" s="3" t="inlineStr">
        <is>
          <t>2026-07-04 10:58</t>
        </is>
      </c>
      <c r="F864" s="3" t="n">
        <v>1</v>
      </c>
      <c r="G864" s="3" t="n">
        <v>1</v>
      </c>
      <c r="H864" s="3" t="n"/>
      <c r="I864" s="3" t="inlineStr"/>
      <c r="J864" s="3" t="inlineStr">
        <is>
          <t>Keeta</t>
        </is>
      </c>
      <c r="K864" s="3" t="inlineStr">
        <is>
          <t>****9568</t>
        </is>
      </c>
      <c r="L864" s="3" t="n"/>
      <c r="M864" s="3" t="inlineStr">
        <is>
          <t>***** 物流中心5樓</t>
        </is>
      </c>
      <c r="N864" s="3" t="inlineStr">
        <is>
          <t>北区</t>
        </is>
      </c>
      <c r="O864" s="3" t="inlineStr">
        <is>
          <t>香港</t>
        </is>
      </c>
      <c r="P864" s="3" t="inlineStr">
        <is>
          <t>香港特别行政区</t>
        </is>
      </c>
      <c r="Q864" s="3" t="n">
        <v>567603</v>
      </c>
      <c r="R864" s="3" t="inlineStr">
        <is>
          <t>Partagerbistro（灣仔店）</t>
        </is>
      </c>
      <c r="S864" s="3" t="inlineStr">
        <is>
          <t>****98560427</t>
        </is>
      </c>
      <c r="T864" s="3" t="inlineStr">
        <is>
          <t>****98560427</t>
        </is>
      </c>
      <c r="U864" s="3" t="inlineStr">
        <is>
          <t>***** n Chai</t>
        </is>
      </c>
      <c r="V864" s="3" t="inlineStr">
        <is>
          <t>香港</t>
        </is>
      </c>
      <c r="W864" s="3" t="inlineStr">
        <is>
          <t>翻新POS机【真唯】/ 件出</t>
        </is>
      </c>
      <c r="X864" s="3" t="inlineStr">
        <is>
          <t>ESS-SFTS-OTMS</t>
        </is>
      </c>
      <c r="Y864" s="3" t="n"/>
      <c r="Z864" s="3" t="inlineStr"/>
      <c r="AA864" s="3" t="inlineStr">
        <is>
          <t>寄付月結</t>
        </is>
      </c>
      <c r="AB864">
        <f>IFERROR(VLOOKUP(Q864&amp;"",對照表!$A:$B,1,FALSE),"")</f>
        <v/>
      </c>
      <c r="AC864">
        <f>IFERROR(VLOOKUP(Q864&amp;"",對照表!$A:$B,2,FALSE),"")</f>
        <v/>
      </c>
    </row>
    <row r="865">
      <c r="A865" s="3" t="inlineStr">
        <is>
          <t>SF5119018988848</t>
        </is>
      </c>
      <c r="B865" s="3" t="n">
        <v>58426948452680</v>
      </c>
      <c r="C865" s="3" t="inlineStr">
        <is>
          <t>已簽收</t>
        </is>
      </c>
      <c r="D865" s="3" t="inlineStr">
        <is>
          <t>2026-07-03 17:57:53</t>
        </is>
      </c>
      <c r="E865" s="3" t="inlineStr">
        <is>
          <t>2026-07-04 13:10</t>
        </is>
      </c>
      <c r="F865" s="3" t="n">
        <v>1.88</v>
      </c>
      <c r="G865" s="3" t="n">
        <v>1</v>
      </c>
      <c r="H865" s="3" t="n"/>
      <c r="I865" s="3" t="inlineStr"/>
      <c r="J865" s="3" t="inlineStr">
        <is>
          <t>Keeta</t>
        </is>
      </c>
      <c r="K865" s="3" t="inlineStr">
        <is>
          <t>****9568</t>
        </is>
      </c>
      <c r="L865" s="3" t="n"/>
      <c r="M865" s="3" t="inlineStr">
        <is>
          <t>***** 物流中心5樓</t>
        </is>
      </c>
      <c r="N865" s="3" t="inlineStr">
        <is>
          <t>北区</t>
        </is>
      </c>
      <c r="O865" s="3" t="inlineStr">
        <is>
          <t>香港</t>
        </is>
      </c>
      <c r="P865" s="3" t="inlineStr">
        <is>
          <t>香港特别行政区</t>
        </is>
      </c>
      <c r="Q865" s="3" t="n">
        <v>721429366</v>
      </c>
      <c r="R865" s="3" t="inlineStr">
        <is>
          <t>華御結(何文田廣場)</t>
        </is>
      </c>
      <c r="S865" s="3" t="inlineStr">
        <is>
          <t>****62362017</t>
        </is>
      </c>
      <c r="T865" s="3" t="inlineStr">
        <is>
          <t>****62362017</t>
        </is>
      </c>
      <c r="U865" s="3" t="inlineStr">
        <is>
          <t>***** 樓220號舖</t>
        </is>
      </c>
      <c r="V865" s="3" t="inlineStr">
        <is>
          <t>香港</t>
        </is>
      </c>
      <c r="W865" s="3" t="inlineStr">
        <is>
          <t>塑料袋【小】/ 扎出, 封签【通版】/ 扎出</t>
        </is>
      </c>
      <c r="X865" s="3" t="inlineStr">
        <is>
          <t>ESS-SFTS-OTMS</t>
        </is>
      </c>
      <c r="Y865" s="3" t="n"/>
      <c r="Z865" s="3" t="inlineStr"/>
      <c r="AA865" s="3" t="inlineStr">
        <is>
          <t>寄付月結</t>
        </is>
      </c>
      <c r="AB865">
        <f>IFERROR(VLOOKUP(Q865&amp;"",對照表!$A:$B,1,FALSE),"")</f>
        <v/>
      </c>
      <c r="AC865">
        <f>IFERROR(VLOOKUP(Q865&amp;"",對照表!$A:$B,2,FALSE),"")</f>
        <v/>
      </c>
    </row>
    <row r="866">
      <c r="A866" s="3" t="inlineStr">
        <is>
          <t>SF5119018988945</t>
        </is>
      </c>
      <c r="B866" s="3" t="n">
        <v>58426948485139</v>
      </c>
      <c r="C866" s="3" t="inlineStr">
        <is>
          <t>已簽收</t>
        </is>
      </c>
      <c r="D866" s="3" t="inlineStr">
        <is>
          <t>2026-07-03 17:29:56</t>
        </is>
      </c>
      <c r="E866" s="3" t="inlineStr">
        <is>
          <t>2026-07-04 11:01</t>
        </is>
      </c>
      <c r="F866" s="3" t="n">
        <v>4.45</v>
      </c>
      <c r="G866" s="3" t="n">
        <v>1</v>
      </c>
      <c r="H866" s="3" t="n"/>
      <c r="I866" s="3" t="inlineStr"/>
      <c r="J866" s="3" t="inlineStr">
        <is>
          <t>Keeta</t>
        </is>
      </c>
      <c r="K866" s="3" t="inlineStr">
        <is>
          <t>****9568</t>
        </is>
      </c>
      <c r="L866" s="3" t="n"/>
      <c r="M866" s="3" t="inlineStr">
        <is>
          <t>***** 物流中心5樓</t>
        </is>
      </c>
      <c r="N866" s="3" t="inlineStr">
        <is>
          <t>北区</t>
        </is>
      </c>
      <c r="O866" s="3" t="inlineStr">
        <is>
          <t>香港</t>
        </is>
      </c>
      <c r="P866" s="3" t="inlineStr">
        <is>
          <t>香港特别行政区</t>
        </is>
      </c>
      <c r="Q866" s="3" t="n">
        <v>721425289</v>
      </c>
      <c r="R866" s="3" t="inlineStr">
        <is>
          <t>德發粥品專家老字號粥店</t>
        </is>
      </c>
      <c r="S866" s="3" t="inlineStr">
        <is>
          <t>****95560625</t>
        </is>
      </c>
      <c r="T866" s="3" t="inlineStr">
        <is>
          <t>****95560625</t>
        </is>
      </c>
      <c r="U866" s="3" t="inlineStr">
        <is>
          <t>***** 坊9B號地舖</t>
        </is>
      </c>
      <c r="V866" s="3" t="inlineStr">
        <is>
          <t>香港</t>
        </is>
      </c>
      <c r="W866" s="3" t="inlineStr">
        <is>
          <t>机纸/小票纸 / 包出</t>
        </is>
      </c>
      <c r="X866" s="3" t="inlineStr">
        <is>
          <t>ESS-SFTS-OTMS</t>
        </is>
      </c>
      <c r="Y866" s="3" t="n"/>
      <c r="Z866" s="3" t="inlineStr"/>
      <c r="AA866" s="3" t="inlineStr">
        <is>
          <t>寄付月結</t>
        </is>
      </c>
      <c r="AB866">
        <f>IFERROR(VLOOKUP(Q866&amp;"",對照表!$A:$B,1,FALSE),"")</f>
        <v/>
      </c>
      <c r="AC866">
        <f>IFERROR(VLOOKUP(Q866&amp;"",對照表!$A:$B,2,FALSE),"")</f>
        <v/>
      </c>
    </row>
    <row r="867">
      <c r="A867" s="3" t="inlineStr">
        <is>
          <t>SF5119018988839</t>
        </is>
      </c>
      <c r="B867" s="3" t="n">
        <v>58426948452678</v>
      </c>
      <c r="C867" s="3" t="inlineStr">
        <is>
          <t>已簽收</t>
        </is>
      </c>
      <c r="D867" s="3" t="inlineStr">
        <is>
          <t>2026-07-03 17:57:43</t>
        </is>
      </c>
      <c r="E867" s="3" t="inlineStr">
        <is>
          <t>2026-07-04 10:34</t>
        </is>
      </c>
      <c r="F867" s="3" t="n">
        <v>2.36</v>
      </c>
      <c r="G867" s="3" t="n">
        <v>1</v>
      </c>
      <c r="H867" s="3" t="n"/>
      <c r="I867" s="3" t="inlineStr"/>
      <c r="J867" s="3" t="inlineStr">
        <is>
          <t>Keeta</t>
        </is>
      </c>
      <c r="K867" s="3" t="inlineStr">
        <is>
          <t>****9568</t>
        </is>
      </c>
      <c r="L867" s="3" t="n"/>
      <c r="M867" s="3" t="inlineStr">
        <is>
          <t>***** 物流中心5樓</t>
        </is>
      </c>
      <c r="N867" s="3" t="inlineStr">
        <is>
          <t>北区</t>
        </is>
      </c>
      <c r="O867" s="3" t="inlineStr">
        <is>
          <t>香港</t>
        </is>
      </c>
      <c r="P867" s="3" t="inlineStr">
        <is>
          <t>香港特别行政区</t>
        </is>
      </c>
      <c r="Q867" s="3" t="n">
        <v>487838</v>
      </c>
      <c r="R867" s="3" t="inlineStr">
        <is>
          <t>快樂蜂(亞皆老街)Jollibee(ArgyleStreet)</t>
        </is>
      </c>
      <c r="S867" s="3" t="inlineStr">
        <is>
          <t>****26023522</t>
        </is>
      </c>
      <c r="T867" s="3" t="inlineStr">
        <is>
          <t>****26023522</t>
        </is>
      </c>
      <c r="U867" s="3" t="inlineStr">
        <is>
          <t>***** 商業大廈1樓</t>
        </is>
      </c>
      <c r="V867" s="3" t="inlineStr">
        <is>
          <t>香港</t>
        </is>
      </c>
      <c r="W867" s="3" t="inlineStr">
        <is>
          <t>机纸/小票纸 / 包出</t>
        </is>
      </c>
      <c r="X867" s="3" t="inlineStr">
        <is>
          <t>ESS-SFTS-OTMS</t>
        </is>
      </c>
      <c r="Y867" s="3" t="n"/>
      <c r="Z867" s="3" t="inlineStr"/>
      <c r="AA867" s="3" t="inlineStr">
        <is>
          <t>寄付月結</t>
        </is>
      </c>
      <c r="AB867">
        <f>IFERROR(VLOOKUP(Q867&amp;"",對照表!$A:$B,1,FALSE),"")</f>
        <v/>
      </c>
      <c r="AC867">
        <f>IFERROR(VLOOKUP(Q867&amp;"",對照表!$A:$B,2,FALSE),"")</f>
        <v/>
      </c>
    </row>
    <row r="868">
      <c r="A868" s="3" t="inlineStr">
        <is>
          <t>SF5119018988575</t>
        </is>
      </c>
      <c r="B868" s="3" t="n">
        <v>58426948452622</v>
      </c>
      <c r="C868" s="3" t="inlineStr">
        <is>
          <t>已簽收</t>
        </is>
      </c>
      <c r="D868" s="3" t="inlineStr">
        <is>
          <t>2026-07-03 17:50:41</t>
        </is>
      </c>
      <c r="E868" s="3" t="inlineStr">
        <is>
          <t>2026-07-04 15:58</t>
        </is>
      </c>
      <c r="F868" s="3" t="n">
        <v>14.5</v>
      </c>
      <c r="G868" s="3" t="n">
        <v>1</v>
      </c>
      <c r="H868" s="3" t="n"/>
      <c r="I868" s="3" t="inlineStr"/>
      <c r="J868" s="3" t="inlineStr">
        <is>
          <t>Keeta</t>
        </is>
      </c>
      <c r="K868" s="3" t="inlineStr">
        <is>
          <t>****9568</t>
        </is>
      </c>
      <c r="L868" s="3" t="n"/>
      <c r="M868" s="3" t="inlineStr">
        <is>
          <t>***** 物流中心5樓</t>
        </is>
      </c>
      <c r="N868" s="3" t="inlineStr">
        <is>
          <t>北区</t>
        </is>
      </c>
      <c r="O868" s="3" t="inlineStr">
        <is>
          <t>香港</t>
        </is>
      </c>
      <c r="P868" s="3" t="inlineStr">
        <is>
          <t>香港特别行政区</t>
        </is>
      </c>
      <c r="Q868" s="3" t="n">
        <v>721523388</v>
      </c>
      <c r="R868" s="3" t="inlineStr">
        <is>
          <t>CLS COFFEE</t>
        </is>
      </c>
      <c r="S868" s="3" t="inlineStr">
        <is>
          <t>****6426414</t>
        </is>
      </c>
      <c r="T868" s="3" t="inlineStr">
        <is>
          <t>****6426414</t>
        </is>
      </c>
      <c r="U868" s="3" t="inlineStr">
        <is>
          <t>***** HA WAN</t>
        </is>
      </c>
      <c r="V868" s="3" t="inlineStr">
        <is>
          <t>香港</t>
        </is>
      </c>
      <c r="W868" s="3" t="inlineStr">
        <is>
          <t>纸袋【通版】/ 箱出</t>
        </is>
      </c>
      <c r="X868" s="3" t="inlineStr">
        <is>
          <t>ESS-SFTS-OTMS</t>
        </is>
      </c>
      <c r="Y868" s="3" t="n"/>
      <c r="Z868" s="3" t="inlineStr"/>
      <c r="AA868" s="3" t="inlineStr">
        <is>
          <t>寄付月結</t>
        </is>
      </c>
      <c r="AB868">
        <f>IFERROR(VLOOKUP(Q868&amp;"",對照表!$A:$B,1,FALSE),"")</f>
        <v/>
      </c>
      <c r="AC868">
        <f>IFERROR(VLOOKUP(Q868&amp;"",對照表!$A:$B,2,FALSE),"")</f>
        <v/>
      </c>
    </row>
    <row r="869">
      <c r="A869" s="3" t="inlineStr">
        <is>
          <t>SF5119018988714</t>
        </is>
      </c>
      <c r="B869" s="3" t="n">
        <v>58426948452654</v>
      </c>
      <c r="C869" s="3" t="inlineStr">
        <is>
          <t>已簽收</t>
        </is>
      </c>
      <c r="D869" s="3" t="inlineStr">
        <is>
          <t>2026-07-03 17:57:57</t>
        </is>
      </c>
      <c r="E869" s="3" t="inlineStr">
        <is>
          <t>2026-07-04 10:54</t>
        </is>
      </c>
      <c r="F869" s="3" t="n">
        <v>1.16</v>
      </c>
      <c r="G869" s="3" t="n">
        <v>1</v>
      </c>
      <c r="H869" s="3" t="n"/>
      <c r="I869" s="3" t="inlineStr"/>
      <c r="J869" s="3" t="inlineStr">
        <is>
          <t>Keeta</t>
        </is>
      </c>
      <c r="K869" s="3" t="inlineStr">
        <is>
          <t>****9568</t>
        </is>
      </c>
      <c r="L869" s="3" t="n"/>
      <c r="M869" s="3" t="inlineStr">
        <is>
          <t>***** 物流中心5樓</t>
        </is>
      </c>
      <c r="N869" s="3" t="inlineStr">
        <is>
          <t>北区</t>
        </is>
      </c>
      <c r="O869" s="3" t="inlineStr">
        <is>
          <t>香港</t>
        </is>
      </c>
      <c r="P869" s="3" t="inlineStr">
        <is>
          <t>香港特别行政区</t>
        </is>
      </c>
      <c r="Q869" s="3" t="n">
        <v>721512291</v>
      </c>
      <c r="R869" s="3" t="inlineStr">
        <is>
          <t>謙記火鍋A4和牛象拔蚌真材實料在家開爐一鍵嚐鮮</t>
        </is>
      </c>
      <c r="S869" s="3" t="inlineStr">
        <is>
          <t>****28386116</t>
        </is>
      </c>
      <c r="T869" s="3" t="inlineStr">
        <is>
          <t>****28386116</t>
        </is>
      </c>
      <c r="U869" s="3" t="inlineStr">
        <is>
          <t>***** 廈2-3 樓</t>
        </is>
      </c>
      <c r="V869" s="3" t="inlineStr">
        <is>
          <t>香港</t>
        </is>
      </c>
      <c r="W869" s="3" t="inlineStr">
        <is>
          <t>机纸/小票纸 / 包出, 封签【通版】/ 扎出</t>
        </is>
      </c>
      <c r="X869" s="3" t="inlineStr">
        <is>
          <t>ESS-SFTS-OTMS</t>
        </is>
      </c>
      <c r="Y869" s="3" t="n"/>
      <c r="Z869" s="3" t="inlineStr"/>
      <c r="AA869" s="3" t="inlineStr">
        <is>
          <t>寄付月結</t>
        </is>
      </c>
      <c r="AB869">
        <f>IFERROR(VLOOKUP(Q869&amp;"",對照表!$A:$B,1,FALSE),"")</f>
        <v/>
      </c>
      <c r="AC869">
        <f>IFERROR(VLOOKUP(Q869&amp;"",對照表!$A:$B,2,FALSE),"")</f>
        <v/>
      </c>
    </row>
    <row r="870">
      <c r="A870" s="3" t="inlineStr">
        <is>
          <t>SF5119018988496</t>
        </is>
      </c>
      <c r="B870" s="3" t="n">
        <v>58426948452605</v>
      </c>
      <c r="C870" s="3" t="inlineStr">
        <is>
          <t>已簽收</t>
        </is>
      </c>
      <c r="D870" s="3" t="inlineStr">
        <is>
          <t>2026-07-03 17:50:53</t>
        </is>
      </c>
      <c r="E870" s="3" t="inlineStr">
        <is>
          <t>2026-07-04 12:04</t>
        </is>
      </c>
      <c r="F870" s="3" t="n">
        <v>14.5</v>
      </c>
      <c r="G870" s="3" t="n">
        <v>1</v>
      </c>
      <c r="H870" s="3" t="n"/>
      <c r="I870" s="3" t="inlineStr"/>
      <c r="J870" s="3" t="inlineStr">
        <is>
          <t>Keeta</t>
        </is>
      </c>
      <c r="K870" s="3" t="inlineStr">
        <is>
          <t>****9568</t>
        </is>
      </c>
      <c r="L870" s="3" t="n"/>
      <c r="M870" s="3" t="inlineStr">
        <is>
          <t>***** 物流中心5樓</t>
        </is>
      </c>
      <c r="N870" s="3" t="inlineStr">
        <is>
          <t>北区</t>
        </is>
      </c>
      <c r="O870" s="3" t="inlineStr">
        <is>
          <t>香港</t>
        </is>
      </c>
      <c r="P870" s="3" t="inlineStr">
        <is>
          <t>香港特别行政区</t>
        </is>
      </c>
      <c r="Q870" s="3" t="n">
        <v>721542395</v>
      </c>
      <c r="R870" s="3" t="inlineStr">
        <is>
          <t>二三之間（中環店）</t>
        </is>
      </c>
      <c r="S870" s="3" t="inlineStr">
        <is>
          <t>****2609</t>
        </is>
      </c>
      <c r="T870" s="3" t="inlineStr">
        <is>
          <t>****2609</t>
        </is>
      </c>
      <c r="U870" s="3" t="inlineStr">
        <is>
          <t>***** EET HK</t>
        </is>
      </c>
      <c r="V870" s="3" t="inlineStr">
        <is>
          <t>香港</t>
        </is>
      </c>
      <c r="W870" s="3" t="inlineStr">
        <is>
          <t>纸袋【通版】/ 箱出</t>
        </is>
      </c>
      <c r="X870" s="3" t="inlineStr">
        <is>
          <t>ESS-SFTS-OTMS</t>
        </is>
      </c>
      <c r="Y870" s="3" t="n"/>
      <c r="Z870" s="3" t="inlineStr"/>
      <c r="AA870" s="3" t="inlineStr">
        <is>
          <t>寄付月結</t>
        </is>
      </c>
      <c r="AB870">
        <f>IFERROR(VLOOKUP(Q870&amp;"",對照表!$A:$B,1,FALSE),"")</f>
        <v/>
      </c>
      <c r="AC870">
        <f>IFERROR(VLOOKUP(Q870&amp;"",對照表!$A:$B,2,FALSE),"")</f>
        <v/>
      </c>
    </row>
    <row r="871">
      <c r="A871" s="3" t="inlineStr">
        <is>
          <t>SF5119018988963</t>
        </is>
      </c>
      <c r="B871" s="3" t="n">
        <v>58426948485151</v>
      </c>
      <c r="C871" s="3" t="inlineStr">
        <is>
          <t>已簽收</t>
        </is>
      </c>
      <c r="D871" s="3" t="inlineStr">
        <is>
          <t>2026-07-03 17:47:59</t>
        </is>
      </c>
      <c r="E871" s="3" t="inlineStr">
        <is>
          <t>2026-07-06 11:18</t>
        </is>
      </c>
      <c r="F871" s="3" t="n">
        <v>0.67</v>
      </c>
      <c r="G871" s="3" t="n">
        <v>1</v>
      </c>
      <c r="H871" s="3" t="n"/>
      <c r="I871" s="3" t="inlineStr"/>
      <c r="J871" s="3" t="inlineStr">
        <is>
          <t>Keeta</t>
        </is>
      </c>
      <c r="K871" s="3" t="inlineStr">
        <is>
          <t>****9568</t>
        </is>
      </c>
      <c r="L871" s="3" t="n"/>
      <c r="M871" s="3" t="inlineStr">
        <is>
          <t>***** 物流中心5樓</t>
        </is>
      </c>
      <c r="N871" s="3" t="inlineStr">
        <is>
          <t>北区</t>
        </is>
      </c>
      <c r="O871" s="3" t="inlineStr">
        <is>
          <t>香港</t>
        </is>
      </c>
      <c r="P871" s="3" t="inlineStr">
        <is>
          <t>香港特别行政区</t>
        </is>
      </c>
      <c r="Q871" s="3" t="n">
        <v>721431306</v>
      </c>
      <c r="R871" s="3" t="inlineStr">
        <is>
          <t>富華冰室（上環）</t>
        </is>
      </c>
      <c r="S871" s="3" t="inlineStr">
        <is>
          <t>****28902989</t>
        </is>
      </c>
      <c r="T871" s="3" t="inlineStr">
        <is>
          <t>****28902989</t>
        </is>
      </c>
      <c r="U871" s="3" t="inlineStr">
        <is>
          <t>***** 成行上環中心</t>
        </is>
      </c>
      <c r="V871" s="3" t="inlineStr">
        <is>
          <t>香港</t>
        </is>
      </c>
      <c r="W871" s="3" t="inlineStr">
        <is>
          <t>机纸/小票纸 / 包出</t>
        </is>
      </c>
      <c r="X871" s="3" t="inlineStr">
        <is>
          <t>ESS-SFTS-OTMS</t>
        </is>
      </c>
      <c r="Y871" s="3" t="n"/>
      <c r="Z871" s="3" t="inlineStr"/>
      <c r="AA871" s="3" t="inlineStr">
        <is>
          <t>寄付月結</t>
        </is>
      </c>
      <c r="AB871">
        <f>IFERROR(VLOOKUP(Q871&amp;"",對照表!$A:$B,1,FALSE),"")</f>
        <v/>
      </c>
      <c r="AC871">
        <f>IFERROR(VLOOKUP(Q871&amp;"",對照表!$A:$B,2,FALSE),"")</f>
        <v/>
      </c>
    </row>
    <row r="872">
      <c r="A872" s="3" t="inlineStr">
        <is>
          <t>SF5119018988909</t>
        </is>
      </c>
      <c r="B872" s="3" t="n">
        <v>58426948485129</v>
      </c>
      <c r="C872" s="3" t="inlineStr">
        <is>
          <t>已簽收</t>
        </is>
      </c>
      <c r="D872" s="3" t="inlineStr">
        <is>
          <t>2026-07-03 17:23:39</t>
        </is>
      </c>
      <c r="E872" s="3" t="inlineStr">
        <is>
          <t>2026-07-04 13:36</t>
        </is>
      </c>
      <c r="F872" s="3" t="n">
        <v>1</v>
      </c>
      <c r="G872" s="3" t="n">
        <v>1</v>
      </c>
      <c r="H872" s="3" t="n"/>
      <c r="I872" s="3" t="inlineStr"/>
      <c r="J872" s="3" t="inlineStr">
        <is>
          <t>Keeta</t>
        </is>
      </c>
      <c r="K872" s="3" t="inlineStr">
        <is>
          <t>****9568</t>
        </is>
      </c>
      <c r="L872" s="3" t="n"/>
      <c r="M872" s="3" t="inlineStr">
        <is>
          <t>***** 物流中心5樓</t>
        </is>
      </c>
      <c r="N872" s="3" t="inlineStr">
        <is>
          <t>北区</t>
        </is>
      </c>
      <c r="O872" s="3" t="inlineStr">
        <is>
          <t>香港</t>
        </is>
      </c>
      <c r="P872" s="3" t="inlineStr">
        <is>
          <t>香港特别行政区</t>
        </is>
      </c>
      <c r="Q872" s="3" t="n">
        <v>721527359</v>
      </c>
      <c r="R872" s="3" t="inlineStr">
        <is>
          <t>餃味</t>
        </is>
      </c>
      <c r="S872" s="3" t="inlineStr">
        <is>
          <t>****59338395</t>
        </is>
      </c>
      <c r="T872" s="3" t="inlineStr">
        <is>
          <t>****59338395</t>
        </is>
      </c>
      <c r="U872" s="3" t="inlineStr">
        <is>
          <t>***** ING NT</t>
        </is>
      </c>
      <c r="V872" s="3" t="inlineStr">
        <is>
          <t>香港</t>
        </is>
      </c>
      <c r="W872" s="3" t="inlineStr">
        <is>
          <t>翻新POS机【真唯】/ 件出</t>
        </is>
      </c>
      <c r="X872" s="3" t="inlineStr">
        <is>
          <t>ESS-SFTS-OTMS</t>
        </is>
      </c>
      <c r="Y872" s="3" t="n"/>
      <c r="Z872" s="3" t="inlineStr"/>
      <c r="AA872" s="3" t="inlineStr">
        <is>
          <t>寄付月結</t>
        </is>
      </c>
      <c r="AB872">
        <f>IFERROR(VLOOKUP(Q872&amp;"",對照表!$A:$B,1,FALSE),"")</f>
        <v/>
      </c>
      <c r="AC872">
        <f>IFERROR(VLOOKUP(Q872&amp;"",對照表!$A:$B,2,FALSE),"")</f>
        <v/>
      </c>
    </row>
    <row r="873">
      <c r="A873" s="3" t="inlineStr">
        <is>
          <t>SF5119018988548</t>
        </is>
      </c>
      <c r="B873" s="3" t="n">
        <v>58426948452617</v>
      </c>
      <c r="C873" s="3" t="inlineStr">
        <is>
          <t>已簽收</t>
        </is>
      </c>
      <c r="D873" s="3" t="inlineStr">
        <is>
          <t>2026-07-03 17:48:08</t>
        </is>
      </c>
      <c r="E873" s="3" t="inlineStr">
        <is>
          <t>2026-07-04 12:14</t>
        </is>
      </c>
      <c r="F873" s="3" t="n">
        <v>1.1</v>
      </c>
      <c r="G873" s="3" t="n">
        <v>1</v>
      </c>
      <c r="H873" s="3" t="n"/>
      <c r="I873" s="3" t="inlineStr"/>
      <c r="J873" s="3" t="inlineStr">
        <is>
          <t>Keeta</t>
        </is>
      </c>
      <c r="K873" s="3" t="inlineStr">
        <is>
          <t>****9568</t>
        </is>
      </c>
      <c r="L873" s="3" t="n"/>
      <c r="M873" s="3" t="inlineStr">
        <is>
          <t>***** 物流中心5樓</t>
        </is>
      </c>
      <c r="N873" s="3" t="inlineStr">
        <is>
          <t>北区</t>
        </is>
      </c>
      <c r="O873" s="3" t="inlineStr">
        <is>
          <t>香港</t>
        </is>
      </c>
      <c r="P873" s="3" t="inlineStr">
        <is>
          <t>香港特别行政区</t>
        </is>
      </c>
      <c r="Q873" s="3" t="n">
        <v>721534393</v>
      </c>
      <c r="R873" s="3" t="inlineStr">
        <is>
          <t>朱大叔檸檬茶土家鮮肉餅</t>
        </is>
      </c>
      <c r="S873" s="3" t="inlineStr">
        <is>
          <t>****56108155</t>
        </is>
      </c>
      <c r="T873" s="3" t="inlineStr">
        <is>
          <t>****56108155</t>
        </is>
      </c>
      <c r="U873" s="3" t="inlineStr">
        <is>
          <t>***** WAN NT</t>
        </is>
      </c>
      <c r="V873" s="3" t="inlineStr">
        <is>
          <t>香港</t>
        </is>
      </c>
      <c r="W873" s="3" t="inlineStr">
        <is>
          <t>机纸/小票纸 / 包出</t>
        </is>
      </c>
      <c r="X873" s="3" t="inlineStr">
        <is>
          <t>ESS-SFTS-OTMS</t>
        </is>
      </c>
      <c r="Y873" s="3" t="n"/>
      <c r="Z873" s="3" t="inlineStr"/>
      <c r="AA873" s="3" t="inlineStr">
        <is>
          <t>寄付月結</t>
        </is>
      </c>
      <c r="AB873">
        <f>IFERROR(VLOOKUP(Q873&amp;"",對照表!$A:$B,1,FALSE),"")</f>
        <v/>
      </c>
      <c r="AC873">
        <f>IFERROR(VLOOKUP(Q873&amp;"",對照表!$A:$B,2,FALSE),"")</f>
        <v/>
      </c>
    </row>
    <row r="874">
      <c r="A874" s="3" t="inlineStr">
        <is>
          <t>SF5119018988266</t>
        </is>
      </c>
      <c r="B874" s="3" t="n">
        <v>58426948452549</v>
      </c>
      <c r="C874" s="3" t="inlineStr">
        <is>
          <t>已簽收</t>
        </is>
      </c>
      <c r="D874" s="3" t="inlineStr">
        <is>
          <t>2026-07-03 17:29:57</t>
        </is>
      </c>
      <c r="E874" s="3" t="inlineStr">
        <is>
          <t>2026-07-04 13:18</t>
        </is>
      </c>
      <c r="F874" s="3" t="n">
        <v>4.45</v>
      </c>
      <c r="G874" s="3" t="n">
        <v>1</v>
      </c>
      <c r="H874" s="3" t="n"/>
      <c r="I874" s="3" t="inlineStr"/>
      <c r="J874" s="3" t="inlineStr">
        <is>
          <t>Keeta</t>
        </is>
      </c>
      <c r="K874" s="3" t="inlineStr">
        <is>
          <t>****9568</t>
        </is>
      </c>
      <c r="L874" s="3" t="n"/>
      <c r="M874" s="3" t="inlineStr">
        <is>
          <t>***** 物流中心5樓</t>
        </is>
      </c>
      <c r="N874" s="3" t="inlineStr">
        <is>
          <t>北区</t>
        </is>
      </c>
      <c r="O874" s="3" t="inlineStr">
        <is>
          <t>香港</t>
        </is>
      </c>
      <c r="P874" s="3" t="inlineStr">
        <is>
          <t>香港特别行政区</t>
        </is>
      </c>
      <c r="Q874" s="3" t="n">
        <v>491328</v>
      </c>
      <c r="R874" s="3" t="inlineStr">
        <is>
          <t>肥佬生煎肉餅專門店FatGuyDeepFried</t>
        </is>
      </c>
      <c r="S874" s="3" t="inlineStr">
        <is>
          <t>****92403362</t>
        </is>
      </c>
      <c r="T874" s="3" t="inlineStr">
        <is>
          <t>****92403362</t>
        </is>
      </c>
      <c r="U874" s="3" t="inlineStr">
        <is>
          <t>***** ui Wai</t>
        </is>
      </c>
      <c r="V874" s="3" t="inlineStr">
        <is>
          <t>香港</t>
        </is>
      </c>
      <c r="W874" s="3" t="inlineStr">
        <is>
          <t>机纸/小票纸 / 包出</t>
        </is>
      </c>
      <c r="X874" s="3" t="inlineStr">
        <is>
          <t>ESS-SFTS-OTMS</t>
        </is>
      </c>
      <c r="Y874" s="3" t="n"/>
      <c r="Z874" s="3" t="inlineStr"/>
      <c r="AA874" s="3" t="inlineStr">
        <is>
          <t>寄付月結</t>
        </is>
      </c>
      <c r="AB874">
        <f>IFERROR(VLOOKUP(Q874&amp;"",對照表!$A:$B,1,FALSE),"")</f>
        <v/>
      </c>
      <c r="AC874">
        <f>IFERROR(VLOOKUP(Q874&amp;"",對照表!$A:$B,2,FALSE),"")</f>
        <v/>
      </c>
    </row>
    <row r="875">
      <c r="A875" s="3" t="inlineStr">
        <is>
          <t>SF5119018988690</t>
        </is>
      </c>
      <c r="B875" s="3" t="n">
        <v>58426948452649</v>
      </c>
      <c r="C875" s="3" t="inlineStr">
        <is>
          <t>已簽收</t>
        </is>
      </c>
      <c r="D875" s="3" t="inlineStr">
        <is>
          <t>2026-07-03 18:02:32</t>
        </is>
      </c>
      <c r="E875" s="3" t="inlineStr">
        <is>
          <t>2026-07-04 14:39</t>
        </is>
      </c>
      <c r="F875" s="3" t="n">
        <v>52.18</v>
      </c>
      <c r="G875" s="3" t="n">
        <v>4</v>
      </c>
      <c r="H875" s="3" t="n"/>
      <c r="I875" s="3" t="inlineStr"/>
      <c r="J875" s="3" t="inlineStr">
        <is>
          <t>Keeta</t>
        </is>
      </c>
      <c r="K875" s="3" t="inlineStr">
        <is>
          <t>****9568</t>
        </is>
      </c>
      <c r="L875" s="3" t="n"/>
      <c r="M875" s="3" t="inlineStr">
        <is>
          <t>***** 物流中心5樓</t>
        </is>
      </c>
      <c r="N875" s="3" t="inlineStr">
        <is>
          <t>北区</t>
        </is>
      </c>
      <c r="O875" s="3" t="inlineStr">
        <is>
          <t>香港</t>
        </is>
      </c>
      <c r="P875" s="3" t="inlineStr">
        <is>
          <t>香港特别行政区</t>
        </is>
      </c>
      <c r="Q875" s="3" t="n">
        <v>468415</v>
      </c>
      <c r="R875" s="3" t="inlineStr">
        <is>
          <t>炑八韓烤(青衣城)</t>
        </is>
      </c>
      <c r="S875" s="3" t="inlineStr">
        <is>
          <t>****28950370</t>
        </is>
      </c>
      <c r="T875" s="3" t="inlineStr">
        <is>
          <t>****28950370</t>
        </is>
      </c>
      <c r="U875" s="3" t="inlineStr">
        <is>
          <t>***** 119B號舖</t>
        </is>
      </c>
      <c r="V875" s="3" t="inlineStr">
        <is>
          <t>香港</t>
        </is>
      </c>
      <c r="W875" s="3" t="inlineStr">
        <is>
          <t>无纺布【规格四大号】/ 箱出, 纸袋【通版】/ 箱出</t>
        </is>
      </c>
      <c r="X875" s="3" t="inlineStr">
        <is>
          <t>ESS-SFTS-OTMS</t>
        </is>
      </c>
      <c r="Y875" s="3" t="n"/>
      <c r="Z875" s="3" t="inlineStr"/>
      <c r="AA875" s="3" t="inlineStr">
        <is>
          <t>寄付月結</t>
        </is>
      </c>
      <c r="AB875">
        <f>IFERROR(VLOOKUP(Q875&amp;"",對照表!$A:$B,1,FALSE),"")</f>
        <v/>
      </c>
      <c r="AC875">
        <f>IFERROR(VLOOKUP(Q875&amp;"",對照表!$A:$B,2,FALSE),"")</f>
        <v/>
      </c>
    </row>
    <row r="876">
      <c r="A876" s="3" t="inlineStr">
        <is>
          <t>SF5119018988927</t>
        </is>
      </c>
      <c r="B876" s="3" t="n">
        <v>58426948485133</v>
      </c>
      <c r="C876" s="3" t="inlineStr">
        <is>
          <t>已簽收</t>
        </is>
      </c>
      <c r="D876" s="3" t="inlineStr">
        <is>
          <t>2026-07-03 17:58:01</t>
        </is>
      </c>
      <c r="E876" s="3" t="inlineStr">
        <is>
          <t>2026-07-04 18:00</t>
        </is>
      </c>
      <c r="F876" s="3" t="n">
        <v>2.78</v>
      </c>
      <c r="G876" s="3" t="n">
        <v>1</v>
      </c>
      <c r="H876" s="3" t="n"/>
      <c r="I876" s="3" t="inlineStr"/>
      <c r="J876" s="3" t="inlineStr">
        <is>
          <t>Keeta</t>
        </is>
      </c>
      <c r="K876" s="3" t="inlineStr">
        <is>
          <t>****9568</t>
        </is>
      </c>
      <c r="L876" s="3" t="n"/>
      <c r="M876" s="3" t="inlineStr">
        <is>
          <t>***** 物流中心5樓</t>
        </is>
      </c>
      <c r="N876" s="3" t="inlineStr">
        <is>
          <t>北区</t>
        </is>
      </c>
      <c r="O876" s="3" t="inlineStr">
        <is>
          <t>香港</t>
        </is>
      </c>
      <c r="P876" s="3" t="inlineStr">
        <is>
          <t>香港特别行政区</t>
        </is>
      </c>
      <c r="Q876" s="3" t="n">
        <v>721524345</v>
      </c>
      <c r="R876" s="3" t="inlineStr">
        <is>
          <t>五桐號</t>
        </is>
      </c>
      <c r="S876" s="3" t="inlineStr">
        <is>
          <t>****69858265</t>
        </is>
      </c>
      <c r="T876" s="3" t="inlineStr">
        <is>
          <t>****69858265</t>
        </is>
      </c>
      <c r="U876" s="3" t="inlineStr">
        <is>
          <t>***** 下 A2號舖</t>
        </is>
      </c>
      <c r="V876" s="3" t="inlineStr">
        <is>
          <t>香港</t>
        </is>
      </c>
      <c r="W876" s="3" t="inlineStr">
        <is>
          <t>机纸/小票纸 / 包出, 封签【通版】/ 扎出</t>
        </is>
      </c>
      <c r="X876" s="3" t="inlineStr">
        <is>
          <t>ESS-SFTS-OTMS</t>
        </is>
      </c>
      <c r="Y876" s="3" t="n"/>
      <c r="Z876" s="3" t="inlineStr"/>
      <c r="AA876" s="3" t="inlineStr">
        <is>
          <t>寄付月結</t>
        </is>
      </c>
      <c r="AB876">
        <f>IFERROR(VLOOKUP(Q876&amp;"",對照表!$A:$B,1,FALSE),"")</f>
        <v/>
      </c>
      <c r="AC876">
        <f>IFERROR(VLOOKUP(Q876&amp;"",對照表!$A:$B,2,FALSE),"")</f>
        <v/>
      </c>
    </row>
    <row r="877">
      <c r="A877" s="3" t="inlineStr">
        <is>
          <t>SF5119018988884</t>
        </is>
      </c>
      <c r="B877" s="3" t="n">
        <v>58426948485125</v>
      </c>
      <c r="C877" s="3" t="inlineStr">
        <is>
          <t>已簽收</t>
        </is>
      </c>
      <c r="D877" s="3" t="inlineStr">
        <is>
          <t>2026-07-03 17:29:59</t>
        </is>
      </c>
      <c r="E877" s="3" t="inlineStr">
        <is>
          <t>2026-07-04 11:07</t>
        </is>
      </c>
      <c r="F877" s="3" t="n">
        <v>4.45</v>
      </c>
      <c r="G877" s="3" t="n">
        <v>1</v>
      </c>
      <c r="H877" s="3" t="n"/>
      <c r="I877" s="3" t="inlineStr"/>
      <c r="J877" s="3" t="inlineStr">
        <is>
          <t>Keeta</t>
        </is>
      </c>
      <c r="K877" s="3" t="inlineStr">
        <is>
          <t>****9568</t>
        </is>
      </c>
      <c r="L877" s="3" t="n"/>
      <c r="M877" s="3" t="inlineStr">
        <is>
          <t>***** 物流中心5樓</t>
        </is>
      </c>
      <c r="N877" s="3" t="inlineStr">
        <is>
          <t>北区</t>
        </is>
      </c>
      <c r="O877" s="3" t="inlineStr">
        <is>
          <t>香港</t>
        </is>
      </c>
      <c r="P877" s="3" t="inlineStr">
        <is>
          <t>香港特别行政区</t>
        </is>
      </c>
      <c r="Q877" s="3" t="n">
        <v>453417</v>
      </c>
      <c r="R877" s="3" t="inlineStr">
        <is>
          <t>袁記雲餃（上環）全球近5000家門店</t>
        </is>
      </c>
      <c r="S877" s="3" t="inlineStr">
        <is>
          <t>****90918826</t>
        </is>
      </c>
      <c r="T877" s="3" t="inlineStr">
        <is>
          <t>****90918826</t>
        </is>
      </c>
      <c r="U877" s="3" t="inlineStr">
        <is>
          <t>***** 廈商場5號鋪</t>
        </is>
      </c>
      <c r="V877" s="3" t="inlineStr">
        <is>
          <t>香港</t>
        </is>
      </c>
      <c r="W877" s="3" t="inlineStr">
        <is>
          <t>机纸/小票纸 / 包出</t>
        </is>
      </c>
      <c r="X877" s="3" t="inlineStr">
        <is>
          <t>ESS-SFTS-OTMS</t>
        </is>
      </c>
      <c r="Y877" s="3" t="n"/>
      <c r="Z877" s="3" t="inlineStr"/>
      <c r="AA877" s="3" t="inlineStr">
        <is>
          <t>寄付月結</t>
        </is>
      </c>
      <c r="AB877">
        <f>IFERROR(VLOOKUP(Q877&amp;"",對照表!$A:$B,1,FALSE),"")</f>
        <v/>
      </c>
      <c r="AC877">
        <f>IFERROR(VLOOKUP(Q877&amp;"",對照表!$A:$B,2,FALSE),"")</f>
        <v/>
      </c>
    </row>
    <row r="878">
      <c r="A878" s="3" t="inlineStr">
        <is>
          <t>SF5119018988893</t>
        </is>
      </c>
      <c r="B878" s="3" t="n">
        <v>58426948485126</v>
      </c>
      <c r="C878" s="3" t="inlineStr">
        <is>
          <t>已簽收</t>
        </is>
      </c>
      <c r="D878" s="3" t="inlineStr">
        <is>
          <t>2026-07-03 18:19:56</t>
        </is>
      </c>
      <c r="E878" s="3" t="inlineStr">
        <is>
          <t>2026-07-06 16:10</t>
        </is>
      </c>
      <c r="F878" s="3" t="n">
        <v>59.5</v>
      </c>
      <c r="G878" s="3" t="n">
        <v>5</v>
      </c>
      <c r="H878" s="3" t="n"/>
      <c r="I878" s="3" t="inlineStr"/>
      <c r="J878" s="3" t="inlineStr">
        <is>
          <t>Keeta</t>
        </is>
      </c>
      <c r="K878" s="3" t="inlineStr">
        <is>
          <t>****9568</t>
        </is>
      </c>
      <c r="L878" s="3" t="n"/>
      <c r="M878" s="3" t="inlineStr">
        <is>
          <t>***** 物流中心5樓</t>
        </is>
      </c>
      <c r="N878" s="3" t="inlineStr">
        <is>
          <t>北区</t>
        </is>
      </c>
      <c r="O878" s="3" t="inlineStr">
        <is>
          <t>香港</t>
        </is>
      </c>
      <c r="P878" s="3" t="inlineStr">
        <is>
          <t>香港特别行政区</t>
        </is>
      </c>
      <c r="Q878" s="3" t="n">
        <v>491488</v>
      </c>
      <c r="R878" s="3" t="inlineStr">
        <is>
          <t>麥當勞(天瑞)McDonalds</t>
        </is>
      </c>
      <c r="S878" s="3" t="inlineStr">
        <is>
          <t>****24458365</t>
        </is>
      </c>
      <c r="T878" s="3" t="inlineStr">
        <is>
          <t>****24458365</t>
        </is>
      </c>
      <c r="U878" s="3" t="inlineStr">
        <is>
          <t>***** 下G1B號舖</t>
        </is>
      </c>
      <c r="V878" s="3" t="inlineStr">
        <is>
          <t>香港</t>
        </is>
      </c>
      <c r="W878" s="3" t="inlineStr">
        <is>
          <t>机纸/小票纸 / 包出, 纸袋【通版】/ 箱出</t>
        </is>
      </c>
      <c r="X878" s="3" t="inlineStr">
        <is>
          <t>ESS-SFTS-OTMS</t>
        </is>
      </c>
      <c r="Y878" s="3" t="n"/>
      <c r="Z878" s="3" t="inlineStr"/>
      <c r="AA878" s="3" t="inlineStr">
        <is>
          <t>寄付月結</t>
        </is>
      </c>
      <c r="AB878">
        <f>IFERROR(VLOOKUP(Q878&amp;"",對照表!$A:$B,1,FALSE),"")</f>
        <v/>
      </c>
      <c r="AC878">
        <f>IFERROR(VLOOKUP(Q878&amp;"",對照表!$A:$B,2,FALSE),"")</f>
        <v/>
      </c>
    </row>
    <row r="879">
      <c r="A879" s="3" t="inlineStr">
        <is>
          <t>SF5119018988787</t>
        </is>
      </c>
      <c r="B879" s="3" t="n">
        <v>58426948452669</v>
      </c>
      <c r="C879" s="3" t="inlineStr">
        <is>
          <t>已簽收</t>
        </is>
      </c>
      <c r="D879" s="3" t="inlineStr">
        <is>
          <t>2026-07-03 18:20:34</t>
        </is>
      </c>
      <c r="E879" s="3" t="inlineStr">
        <is>
          <t>2026-07-04 13:27</t>
        </is>
      </c>
      <c r="F879" s="3" t="n">
        <v>11.59</v>
      </c>
      <c r="G879" s="3" t="n">
        <v>1</v>
      </c>
      <c r="H879" s="3" t="n"/>
      <c r="I879" s="3" t="inlineStr"/>
      <c r="J879" s="3" t="inlineStr">
        <is>
          <t>Keeta</t>
        </is>
      </c>
      <c r="K879" s="3" t="inlineStr">
        <is>
          <t>****9568</t>
        </is>
      </c>
      <c r="L879" s="3" t="n"/>
      <c r="M879" s="3" t="inlineStr">
        <is>
          <t>***** 物流中心5樓</t>
        </is>
      </c>
      <c r="N879" s="3" t="inlineStr">
        <is>
          <t>北区</t>
        </is>
      </c>
      <c r="O879" s="3" t="inlineStr">
        <is>
          <t>香港</t>
        </is>
      </c>
      <c r="P879" s="3" t="inlineStr">
        <is>
          <t>香港特别行政区</t>
        </is>
      </c>
      <c r="Q879" s="3" t="n">
        <v>721527297</v>
      </c>
      <c r="R879" s="3" t="inlineStr">
        <is>
          <t>小休亭新店</t>
        </is>
      </c>
      <c r="S879" s="3" t="inlineStr">
        <is>
          <t>****66022155</t>
        </is>
      </c>
      <c r="T879" s="3" t="inlineStr">
        <is>
          <t>****66022155</t>
        </is>
      </c>
      <c r="U879" s="3" t="inlineStr">
        <is>
          <t>***** 地下105號</t>
        </is>
      </c>
      <c r="V879" s="3" t="inlineStr">
        <is>
          <t>香港</t>
        </is>
      </c>
      <c r="W879" s="3" t="inlineStr">
        <is>
          <t>无纺布【规格四大号】/ 箱出</t>
        </is>
      </c>
      <c r="X879" s="3" t="inlineStr">
        <is>
          <t>ESS-SFTS-OTMS</t>
        </is>
      </c>
      <c r="Y879" s="3" t="n"/>
      <c r="Z879" s="3" t="inlineStr"/>
      <c r="AA879" s="3" t="inlineStr">
        <is>
          <t>寄付月結</t>
        </is>
      </c>
      <c r="AB879">
        <f>IFERROR(VLOOKUP(Q879&amp;"",對照表!$A:$B,1,FALSE),"")</f>
        <v/>
      </c>
      <c r="AC879">
        <f>IFERROR(VLOOKUP(Q879&amp;"",對照表!$A:$B,2,FALSE),"")</f>
        <v/>
      </c>
    </row>
    <row r="880">
      <c r="A880" s="3" t="inlineStr">
        <is>
          <t>SF5119018988936</t>
        </is>
      </c>
      <c r="B880" s="3" t="n">
        <v>58426948485137</v>
      </c>
      <c r="C880" s="3" t="inlineStr">
        <is>
          <t>已簽收</t>
        </is>
      </c>
      <c r="D880" s="3" t="inlineStr">
        <is>
          <t>2026-07-03 18:02:04</t>
        </is>
      </c>
      <c r="E880" s="3" t="inlineStr">
        <is>
          <t>2026-07-04 12:12</t>
        </is>
      </c>
      <c r="F880" s="3" t="n">
        <v>14.5</v>
      </c>
      <c r="G880" s="3" t="n">
        <v>1</v>
      </c>
      <c r="H880" s="3" t="n"/>
      <c r="I880" s="3" t="inlineStr"/>
      <c r="J880" s="3" t="inlineStr">
        <is>
          <t>Keeta</t>
        </is>
      </c>
      <c r="K880" s="3" t="inlineStr">
        <is>
          <t>****9568</t>
        </is>
      </c>
      <c r="L880" s="3" t="n"/>
      <c r="M880" s="3" t="inlineStr">
        <is>
          <t>***** 物流中心5樓</t>
        </is>
      </c>
      <c r="N880" s="3" t="inlineStr">
        <is>
          <t>北区</t>
        </is>
      </c>
      <c r="O880" s="3" t="inlineStr">
        <is>
          <t>香港</t>
        </is>
      </c>
      <c r="P880" s="3" t="inlineStr">
        <is>
          <t>香港特别行政区</t>
        </is>
      </c>
      <c r="Q880" s="3" t="n">
        <v>721515350</v>
      </c>
      <c r="R880" s="3" t="inlineStr">
        <is>
          <t>Four Seasons</t>
        </is>
      </c>
      <c r="S880" s="3" t="inlineStr">
        <is>
          <t>****61534353</t>
        </is>
      </c>
      <c r="T880" s="3" t="inlineStr">
        <is>
          <t>****61534353</t>
        </is>
      </c>
      <c r="U880" s="3" t="inlineStr">
        <is>
          <t>***** HAI HK</t>
        </is>
      </c>
      <c r="V880" s="3" t="inlineStr">
        <is>
          <t>香港</t>
        </is>
      </c>
      <c r="W880" s="3" t="inlineStr">
        <is>
          <t>纸袋【通版】/ 箱出</t>
        </is>
      </c>
      <c r="X880" s="3" t="inlineStr">
        <is>
          <t>ESS-SFTS-OTMS</t>
        </is>
      </c>
      <c r="Y880" s="3" t="n"/>
      <c r="Z880" s="3" t="inlineStr"/>
      <c r="AA880" s="3" t="inlineStr">
        <is>
          <t>寄付月結</t>
        </is>
      </c>
      <c r="AB880">
        <f>IFERROR(VLOOKUP(Q880&amp;"",對照表!$A:$B,1,FALSE),"")</f>
        <v/>
      </c>
      <c r="AC880">
        <f>IFERROR(VLOOKUP(Q880&amp;"",對照表!$A:$B,2,FALSE),"")</f>
        <v/>
      </c>
    </row>
    <row r="881">
      <c r="A881" s="3" t="inlineStr">
        <is>
          <t>SF5119018988732</t>
        </is>
      </c>
      <c r="B881" s="3" t="n">
        <v>58426948452658</v>
      </c>
      <c r="C881" s="3" t="inlineStr">
        <is>
          <t>已簽收</t>
        </is>
      </c>
      <c r="D881" s="3" t="inlineStr">
        <is>
          <t>2026-07-03 17:48:27</t>
        </is>
      </c>
      <c r="E881" s="3" t="inlineStr">
        <is>
          <t>2026-07-04 13:00</t>
        </is>
      </c>
      <c r="F881" s="3" t="n">
        <v>1.5</v>
      </c>
      <c r="G881" s="3" t="n">
        <v>1</v>
      </c>
      <c r="H881" s="3" t="n"/>
      <c r="I881" s="3" t="inlineStr"/>
      <c r="J881" s="3" t="inlineStr">
        <is>
          <t>Keeta</t>
        </is>
      </c>
      <c r="K881" s="3" t="inlineStr">
        <is>
          <t>****9568</t>
        </is>
      </c>
      <c r="L881" s="3" t="n"/>
      <c r="M881" s="3" t="inlineStr">
        <is>
          <t>***** 物流中心5樓</t>
        </is>
      </c>
      <c r="N881" s="3" t="inlineStr">
        <is>
          <t>北区</t>
        </is>
      </c>
      <c r="O881" s="3" t="inlineStr">
        <is>
          <t>香港</t>
        </is>
      </c>
      <c r="P881" s="3" t="inlineStr">
        <is>
          <t>香港特别行政区</t>
        </is>
      </c>
      <c r="Q881" s="3" t="n">
        <v>465110</v>
      </c>
      <c r="R881" s="3" t="inlineStr">
        <is>
          <t>星巴克(德福廣場)StarbucksCoffee</t>
        </is>
      </c>
      <c r="S881" s="3" t="inlineStr">
        <is>
          <t>****27541323</t>
        </is>
      </c>
      <c r="T881" s="3" t="inlineStr">
        <is>
          <t>****27541323</t>
        </is>
      </c>
      <c r="U881" s="3" t="inlineStr">
        <is>
          <t>***** 下G1A號舖</t>
        </is>
      </c>
      <c r="V881" s="3" t="inlineStr">
        <is>
          <t>香港</t>
        </is>
      </c>
      <c r="W881" s="3" t="inlineStr">
        <is>
          <t>机纸/小票纸 / 包出</t>
        </is>
      </c>
      <c r="X881" s="3" t="inlineStr">
        <is>
          <t>ESS-SFTS-OTMS</t>
        </is>
      </c>
      <c r="Y881" s="3" t="n"/>
      <c r="Z881" s="3" t="inlineStr"/>
      <c r="AA881" s="3" t="inlineStr">
        <is>
          <t>寄付月結</t>
        </is>
      </c>
      <c r="AB881">
        <f>IFERROR(VLOOKUP(Q881&amp;"",對照表!$A:$B,1,FALSE),"")</f>
        <v/>
      </c>
      <c r="AC881">
        <f>IFERROR(VLOOKUP(Q881&amp;"",對照表!$A:$B,2,FALSE),"")</f>
        <v/>
      </c>
    </row>
    <row r="882">
      <c r="A882" s="3" t="inlineStr">
        <is>
          <t>SF5119018988820</t>
        </is>
      </c>
      <c r="B882" s="3" t="n">
        <v>58426948452677</v>
      </c>
      <c r="C882" s="3" t="inlineStr">
        <is>
          <t>已簽收</t>
        </is>
      </c>
      <c r="D882" s="3" t="inlineStr">
        <is>
          <t>2026-07-03 17:30:06</t>
        </is>
      </c>
      <c r="E882" s="3" t="inlineStr">
        <is>
          <t>2026-07-04 11:05</t>
        </is>
      </c>
      <c r="F882" s="3" t="n">
        <v>4.45</v>
      </c>
      <c r="G882" s="3" t="n">
        <v>1</v>
      </c>
      <c r="H882" s="3" t="n"/>
      <c r="I882" s="3" t="inlineStr"/>
      <c r="J882" s="3" t="inlineStr">
        <is>
          <t>Keeta</t>
        </is>
      </c>
      <c r="K882" s="3" t="inlineStr">
        <is>
          <t>****9568</t>
        </is>
      </c>
      <c r="L882" s="3" t="n"/>
      <c r="M882" s="3" t="inlineStr">
        <is>
          <t>***** 物流中心5樓</t>
        </is>
      </c>
      <c r="N882" s="3" t="inlineStr">
        <is>
          <t>北区</t>
        </is>
      </c>
      <c r="O882" s="3" t="inlineStr">
        <is>
          <t>香港</t>
        </is>
      </c>
      <c r="P882" s="3" t="inlineStr">
        <is>
          <t>香港特别行政区</t>
        </is>
      </c>
      <c r="Q882" s="3" t="n">
        <v>450013</v>
      </c>
      <c r="R882" s="3" t="inlineStr">
        <is>
          <t>881包子（上環）（純手工包子現蒸現賣）</t>
        </is>
      </c>
      <c r="S882" s="3" t="inlineStr">
        <is>
          <t>****66086881</t>
        </is>
      </c>
      <c r="T882" s="3" t="inlineStr">
        <is>
          <t>****66086881</t>
        </is>
      </c>
      <c r="U882" s="3" t="inlineStr">
        <is>
          <t>***** 街6A號地下</t>
        </is>
      </c>
      <c r="V882" s="3" t="inlineStr">
        <is>
          <t>香港</t>
        </is>
      </c>
      <c r="W882" s="3" t="inlineStr">
        <is>
          <t>机纸/小票纸 / 包出</t>
        </is>
      </c>
      <c r="X882" s="3" t="inlineStr">
        <is>
          <t>ESS-SFTS-OTMS</t>
        </is>
      </c>
      <c r="Y882" s="3" t="n"/>
      <c r="Z882" s="3" t="inlineStr"/>
      <c r="AA882" s="3" t="inlineStr">
        <is>
          <t>寄付月結</t>
        </is>
      </c>
      <c r="AB882">
        <f>IFERROR(VLOOKUP(Q882&amp;"",對照表!$A:$B,1,FALSE),"")</f>
        <v/>
      </c>
      <c r="AC882">
        <f>IFERROR(VLOOKUP(Q882&amp;"",對照表!$A:$B,2,FALSE),"")</f>
        <v/>
      </c>
    </row>
    <row r="883">
      <c r="A883" s="3" t="inlineStr">
        <is>
          <t>SF5119018988811</t>
        </is>
      </c>
      <c r="B883" s="3" t="n">
        <v>58426948452674</v>
      </c>
      <c r="C883" s="3" t="inlineStr">
        <is>
          <t>已簽收</t>
        </is>
      </c>
      <c r="D883" s="3" t="inlineStr">
        <is>
          <t>2026-07-03 17:57:58</t>
        </is>
      </c>
      <c r="E883" s="3" t="inlineStr">
        <is>
          <t>2026-07-04 16:23</t>
        </is>
      </c>
      <c r="F883" s="3" t="n">
        <v>3.94</v>
      </c>
      <c r="G883" s="3" t="n">
        <v>1</v>
      </c>
      <c r="H883" s="3" t="n"/>
      <c r="I883" s="3" t="inlineStr"/>
      <c r="J883" s="3" t="inlineStr">
        <is>
          <t>Keeta</t>
        </is>
      </c>
      <c r="K883" s="3" t="inlineStr">
        <is>
          <t>****9568</t>
        </is>
      </c>
      <c r="L883" s="3" t="n"/>
      <c r="M883" s="3" t="inlineStr">
        <is>
          <t>***** 物流中心5樓</t>
        </is>
      </c>
      <c r="N883" s="3" t="inlineStr">
        <is>
          <t>北区</t>
        </is>
      </c>
      <c r="O883" s="3" t="inlineStr">
        <is>
          <t>香港</t>
        </is>
      </c>
      <c r="P883" s="3" t="inlineStr">
        <is>
          <t>香港特别行政区</t>
        </is>
      </c>
      <c r="Q883" s="3" t="n">
        <v>478114</v>
      </c>
      <c r="R883" s="3" t="inlineStr">
        <is>
          <t>源利飯店經濟鑊氣港式大排檔</t>
        </is>
      </c>
      <c r="S883" s="3" t="inlineStr">
        <is>
          <t>****65588665</t>
        </is>
      </c>
      <c r="T883" s="3" t="inlineStr">
        <is>
          <t>****65588665</t>
        </is>
      </c>
      <c r="U883" s="3" t="inlineStr">
        <is>
          <t>***** 中心C5號舖</t>
        </is>
      </c>
      <c r="V883" s="3" t="inlineStr">
        <is>
          <t>香港</t>
        </is>
      </c>
      <c r="W883" s="3" t="inlineStr">
        <is>
          <t>机纸/小票纸 / 包出, 封签【通版】/ 扎出</t>
        </is>
      </c>
      <c r="X883" s="3" t="inlineStr">
        <is>
          <t>ESS-SFTS-OTMS</t>
        </is>
      </c>
      <c r="Y883" s="3" t="n"/>
      <c r="Z883" s="3" t="inlineStr"/>
      <c r="AA883" s="3" t="inlineStr">
        <is>
          <t>寄付月結</t>
        </is>
      </c>
      <c r="AB883">
        <f>IFERROR(VLOOKUP(Q883&amp;"",對照表!$A:$B,1,FALSE),"")</f>
        <v/>
      </c>
      <c r="AC883">
        <f>IFERROR(VLOOKUP(Q883&amp;"",對照表!$A:$B,2,FALSE),"")</f>
        <v/>
      </c>
    </row>
    <row r="884">
      <c r="A884" s="3" t="inlineStr">
        <is>
          <t>SF0218174673442</t>
        </is>
      </c>
      <c r="B884" s="3" t="inlineStr">
        <is>
          <t>CX3474216951980039</t>
        </is>
      </c>
      <c r="C884" s="3" t="inlineStr">
        <is>
          <t>已簽收</t>
        </is>
      </c>
      <c r="D884" s="3" t="inlineStr">
        <is>
          <t>2026-07-04 12:09:47</t>
        </is>
      </c>
      <c r="E884" s="3" t="inlineStr">
        <is>
          <t>2026-07-06 08:56</t>
        </is>
      </c>
      <c r="F884" s="3" t="n"/>
      <c r="G884" s="3" t="n"/>
      <c r="H884" s="3" t="n"/>
      <c r="I884" s="3" t="n"/>
      <c r="J884" s="3" t="inlineStr">
        <is>
          <t>陳仁龍</t>
        </is>
      </c>
      <c r="K884" s="3" t="inlineStr">
        <is>
          <t>****4344</t>
        </is>
      </c>
      <c r="L884" s="3" t="inlineStr">
        <is>
          <t>****4344</t>
        </is>
      </c>
      <c r="M884" s="3" t="inlineStr">
        <is>
          <t>***** 852NC^</t>
        </is>
      </c>
      <c r="N884" s="3" t="inlineStr">
        <is>
          <t>荔枝角</t>
        </is>
      </c>
      <c r="O884" s="3" t="inlineStr">
        <is>
          <t>深水埗區</t>
        </is>
      </c>
      <c r="P884" s="3" t="inlineStr">
        <is>
          <t>香港</t>
        </is>
      </c>
      <c r="Q884" s="3" t="n"/>
      <c r="R884" s="3" t="inlineStr">
        <is>
          <t>Keeta</t>
        </is>
      </c>
      <c r="S884" s="3" t="inlineStr">
        <is>
          <t>****9568</t>
        </is>
      </c>
      <c r="T884" s="3" t="inlineStr">
        <is>
          <t>****9568</t>
        </is>
      </c>
      <c r="U884" s="3" t="inlineStr">
        <is>
          <t>***** 物流中心5樓</t>
        </is>
      </c>
      <c r="V884" s="3" t="inlineStr">
        <is>
          <t>北區</t>
        </is>
      </c>
      <c r="W884" s="3" t="inlineStr">
        <is>
          <t>Keeta</t>
        </is>
      </c>
      <c r="X884" s="3" t="inlineStr">
        <is>
          <t>CCSP</t>
        </is>
      </c>
      <c r="Y884" s="3" t="n"/>
      <c r="Z884" s="3" t="n"/>
      <c r="AA884" s="3" t="inlineStr">
        <is>
          <t>第三方付</t>
        </is>
      </c>
      <c r="AB884">
        <f>IFERROR(VLOOKUP(Q884&amp;"",對照表!$A:$B,1,FALSE),"")</f>
        <v/>
      </c>
      <c r="AC884">
        <f>IFERROR(VLOOKUP(Q884&amp;"",對照表!$A:$B,2,FALSE),"")</f>
        <v/>
      </c>
    </row>
    <row r="885">
      <c r="A885" s="3" t="inlineStr">
        <is>
          <t>SF5111128786973</t>
        </is>
      </c>
      <c r="B885" s="3" t="inlineStr">
        <is>
          <t>Keeta-2026-0706-0008</t>
        </is>
      </c>
      <c r="C885" s="3" t="inlineStr">
        <is>
          <t>已簽收</t>
        </is>
      </c>
      <c r="D885" s="3" t="inlineStr">
        <is>
          <t>2026-07-06 11:21:22</t>
        </is>
      </c>
      <c r="E885" s="3" t="inlineStr">
        <is>
          <t>2026-07-06 16:13</t>
        </is>
      </c>
      <c r="F885" s="3" t="n">
        <v>2.8</v>
      </c>
      <c r="G885" s="3" t="n">
        <v>1</v>
      </c>
      <c r="H885" s="3" t="n"/>
      <c r="I885" s="3" t="n"/>
      <c r="J885" s="3" t="inlineStr">
        <is>
          <t>keeta</t>
        </is>
      </c>
      <c r="K885" s="3" t="inlineStr">
        <is>
          <t>****57224599</t>
        </is>
      </c>
      <c r="L885" s="3" t="inlineStr">
        <is>
          <t>****57224599</t>
        </is>
      </c>
      <c r="M885" s="3" t="inlineStr">
        <is>
          <t>***** 心2808室</t>
        </is>
      </c>
      <c r="N885" s="3" t="inlineStr">
        <is>
          <t>荔枝角</t>
        </is>
      </c>
      <c r="O885" s="3" t="inlineStr">
        <is>
          <t>深水埗区</t>
        </is>
      </c>
      <c r="P885" s="3" t="inlineStr">
        <is>
          <t>香港</t>
        </is>
      </c>
      <c r="Q885" s="3" t="n">
        <v>721525424</v>
      </c>
      <c r="R885" s="3" t="inlineStr">
        <is>
          <t>小四季</t>
        </is>
      </c>
      <c r="S885" s="3" t="inlineStr">
        <is>
          <t>****51618115</t>
        </is>
      </c>
      <c r="T885" s="3" t="inlineStr">
        <is>
          <t>****51618115</t>
        </is>
      </c>
      <c r="U885" s="3" t="inlineStr">
        <is>
          <t>***** 大廈地下J舖</t>
        </is>
      </c>
      <c r="V885" s="3" t="inlineStr">
        <is>
          <t>香港</t>
        </is>
      </c>
      <c r="W885" s="3" t="inlineStr">
        <is>
          <t>POS機+新店禮包</t>
        </is>
      </c>
      <c r="X885" s="3" t="inlineStr">
        <is>
          <t>BSP</t>
        </is>
      </c>
      <c r="Y885" s="3" t="inlineStr">
        <is>
          <t>寄快遞</t>
        </is>
      </c>
      <c r="Z885" s="3" t="n"/>
      <c r="AA885" s="3" t="inlineStr">
        <is>
          <t>第三方付</t>
        </is>
      </c>
      <c r="AB885">
        <f>IFERROR(VLOOKUP(Q885&amp;"",對照表!$A:$B,1,FALSE),"")</f>
        <v/>
      </c>
      <c r="AC885">
        <f>IFERROR(VLOOKUP(Q885&amp;"",對照表!$A:$B,2,FALSE),"")</f>
        <v/>
      </c>
    </row>
    <row r="886">
      <c r="A886" s="3" t="inlineStr">
        <is>
          <t>SF5111128786849</t>
        </is>
      </c>
      <c r="B886" s="3" t="inlineStr">
        <is>
          <t>Keeta-2026-0706-0006</t>
        </is>
      </c>
      <c r="C886" s="3" t="inlineStr">
        <is>
          <t>已簽收</t>
        </is>
      </c>
      <c r="D886" s="3" t="inlineStr">
        <is>
          <t>2026-07-06 11:20:51</t>
        </is>
      </c>
      <c r="E886" s="3" t="inlineStr">
        <is>
          <t>2026-07-06 16:25</t>
        </is>
      </c>
      <c r="F886" s="3" t="n">
        <v>2.8</v>
      </c>
      <c r="G886" s="3" t="n">
        <v>1</v>
      </c>
      <c r="H886" s="3" t="n"/>
      <c r="I886" s="3" t="n"/>
      <c r="J886" s="3" t="inlineStr">
        <is>
          <t>keeta</t>
        </is>
      </c>
      <c r="K886" s="3" t="inlineStr">
        <is>
          <t>****57224599</t>
        </is>
      </c>
      <c r="L886" s="3" t="inlineStr">
        <is>
          <t>****57224599</t>
        </is>
      </c>
      <c r="M886" s="3" t="inlineStr">
        <is>
          <t>***** 心2808室</t>
        </is>
      </c>
      <c r="N886" s="3" t="inlineStr">
        <is>
          <t>荔枝角</t>
        </is>
      </c>
      <c r="O886" s="3" t="inlineStr">
        <is>
          <t>深水埗区</t>
        </is>
      </c>
      <c r="P886" s="3" t="inlineStr">
        <is>
          <t>香港</t>
        </is>
      </c>
      <c r="Q886" s="3" t="n">
        <v>721521401</v>
      </c>
      <c r="R886" s="3" t="inlineStr">
        <is>
          <t>煌記車仔麵滷水</t>
        </is>
      </c>
      <c r="S886" s="3" t="inlineStr">
        <is>
          <t>****52487675</t>
        </is>
      </c>
      <c r="T886" s="3" t="inlineStr">
        <is>
          <t>****52487675</t>
        </is>
      </c>
      <c r="U886" s="3" t="inlineStr">
        <is>
          <t>***** 座10樓Q室</t>
        </is>
      </c>
      <c r="V886" s="3" t="inlineStr">
        <is>
          <t>香港</t>
        </is>
      </c>
      <c r="W886" s="3" t="inlineStr">
        <is>
          <t>POS機+新店禮包</t>
        </is>
      </c>
      <c r="X886" s="3" t="inlineStr">
        <is>
          <t>BSP</t>
        </is>
      </c>
      <c r="Y886" s="3" t="inlineStr">
        <is>
          <t>寄快遞</t>
        </is>
      </c>
      <c r="Z886" s="3" t="n"/>
      <c r="AA886" s="3" t="inlineStr">
        <is>
          <t>第三方付</t>
        </is>
      </c>
      <c r="AB886">
        <f>IFERROR(VLOOKUP(Q886&amp;"",對照表!$A:$B,1,FALSE),"")</f>
        <v/>
      </c>
      <c r="AC886">
        <f>IFERROR(VLOOKUP(Q886&amp;"",對照表!$A:$B,2,FALSE),"")</f>
        <v/>
      </c>
    </row>
    <row r="887">
      <c r="A887" s="3" t="inlineStr">
        <is>
          <t>SF5111128786900</t>
        </is>
      </c>
      <c r="B887" s="3" t="inlineStr">
        <is>
          <t>Keeta-2026-0706-0017</t>
        </is>
      </c>
      <c r="C887" s="3" t="inlineStr">
        <is>
          <t>已取消</t>
        </is>
      </c>
      <c r="D887" s="3" t="inlineStr">
        <is>
          <t>2026-07-06 10:31:30</t>
        </is>
      </c>
      <c r="E887" s="3" t="n"/>
      <c r="F887" s="3" t="n">
        <v>2.8</v>
      </c>
      <c r="G887" s="3" t="n">
        <v>1</v>
      </c>
      <c r="H887" s="3" t="n"/>
      <c r="I887" s="3" t="n"/>
      <c r="J887" s="3" t="inlineStr">
        <is>
          <t>keeta</t>
        </is>
      </c>
      <c r="K887" s="3" t="inlineStr">
        <is>
          <t>****57224599</t>
        </is>
      </c>
      <c r="L887" s="3" t="inlineStr">
        <is>
          <t>****57224599</t>
        </is>
      </c>
      <c r="M887" s="3" t="inlineStr">
        <is>
          <t>***** 心2808室</t>
        </is>
      </c>
      <c r="N887" s="3" t="inlineStr">
        <is>
          <t>荔枝角</t>
        </is>
      </c>
      <c r="O887" s="3" t="inlineStr">
        <is>
          <t>深水埗区</t>
        </is>
      </c>
      <c r="P887" s="3" t="inlineStr">
        <is>
          <t>香港</t>
        </is>
      </c>
      <c r="Q887" s="3" t="n">
        <v>721528408</v>
      </c>
      <c r="R887" s="3" t="inlineStr">
        <is>
          <t>Lavazza</t>
        </is>
      </c>
      <c r="S887" s="3" t="inlineStr">
        <is>
          <t>****97072235</t>
        </is>
      </c>
      <c r="T887" s="3" t="inlineStr">
        <is>
          <t>****97072235</t>
        </is>
      </c>
      <c r="U887" s="3" t="inlineStr">
        <is>
          <t>***** 地下1A號舖</t>
        </is>
      </c>
      <c r="V887" s="3" t="inlineStr">
        <is>
          <t>香港</t>
        </is>
      </c>
      <c r="W887" s="3" t="inlineStr">
        <is>
          <t>POS機+新店禮包</t>
        </is>
      </c>
      <c r="X887" s="3" t="inlineStr">
        <is>
          <t>BSP</t>
        </is>
      </c>
      <c r="Y887" s="3" t="inlineStr">
        <is>
          <t>寄快遞</t>
        </is>
      </c>
      <c r="Z887" s="3" t="n"/>
      <c r="AA887" s="3" t="inlineStr">
        <is>
          <t>寄付月結</t>
        </is>
      </c>
      <c r="AB887">
        <f>IFERROR(VLOOKUP(Q887&amp;"",對照表!$A:$B,1,FALSE),"")</f>
        <v/>
      </c>
      <c r="AC887">
        <f>IFERROR(VLOOKUP(Q887&amp;"",對照表!$A:$B,2,FALSE),"")</f>
        <v/>
      </c>
    </row>
    <row r="888">
      <c r="A888" s="3" t="inlineStr">
        <is>
          <t>SF5111128786928</t>
        </is>
      </c>
      <c r="B888" s="3" t="inlineStr">
        <is>
          <t>Keeta-2026-0706-0007</t>
        </is>
      </c>
      <c r="C888" s="3" t="inlineStr">
        <is>
          <t>已簽收</t>
        </is>
      </c>
      <c r="D888" s="3" t="inlineStr">
        <is>
          <t>2026-07-06 11:21:02</t>
        </is>
      </c>
      <c r="E888" s="3" t="inlineStr">
        <is>
          <t>2026-07-06 17:32</t>
        </is>
      </c>
      <c r="F888" s="3" t="n">
        <v>2.8</v>
      </c>
      <c r="G888" s="3" t="n">
        <v>1</v>
      </c>
      <c r="H888" s="3" t="n"/>
      <c r="I888" s="3" t="n"/>
      <c r="J888" s="3" t="inlineStr">
        <is>
          <t>keeta</t>
        </is>
      </c>
      <c r="K888" s="3" t="inlineStr">
        <is>
          <t>****57224599</t>
        </is>
      </c>
      <c r="L888" s="3" t="inlineStr">
        <is>
          <t>****57224599</t>
        </is>
      </c>
      <c r="M888" s="3" t="inlineStr">
        <is>
          <t>***** 心2808室</t>
        </is>
      </c>
      <c r="N888" s="3" t="inlineStr">
        <is>
          <t>荔枝角</t>
        </is>
      </c>
      <c r="O888" s="3" t="inlineStr">
        <is>
          <t>深水埗区</t>
        </is>
      </c>
      <c r="P888" s="3" t="inlineStr">
        <is>
          <t>香港</t>
        </is>
      </c>
      <c r="Q888" s="3" t="n">
        <v>721528408</v>
      </c>
      <c r="R888" s="3" t="inlineStr">
        <is>
          <t>Lavazza（上環德輔道中308）</t>
        </is>
      </c>
      <c r="S888" s="3" t="inlineStr">
        <is>
          <t>****97072235</t>
        </is>
      </c>
      <c r="T888" s="3" t="inlineStr">
        <is>
          <t>****97072235</t>
        </is>
      </c>
      <c r="U888" s="3" t="inlineStr">
        <is>
          <t>***** 地下1A號舖</t>
        </is>
      </c>
      <c r="V888" s="3" t="inlineStr">
        <is>
          <t>香港</t>
        </is>
      </c>
      <c r="W888" s="3" t="inlineStr">
        <is>
          <t>POS機+新店禮包</t>
        </is>
      </c>
      <c r="X888" s="3" t="inlineStr">
        <is>
          <t>BSP</t>
        </is>
      </c>
      <c r="Y888" s="3" t="inlineStr">
        <is>
          <t>寄快遞</t>
        </is>
      </c>
      <c r="Z888" s="3" t="n"/>
      <c r="AA888" s="3" t="inlineStr">
        <is>
          <t>第三方付</t>
        </is>
      </c>
      <c r="AB888">
        <f>IFERROR(VLOOKUP(Q888&amp;"",對照表!$A:$B,1,FALSE),"")</f>
        <v/>
      </c>
      <c r="AC888">
        <f>IFERROR(VLOOKUP(Q888&amp;"",對照表!$A:$B,2,FALSE),"")</f>
        <v/>
      </c>
    </row>
    <row r="889">
      <c r="A889" s="3" t="inlineStr">
        <is>
          <t>SF5111128787059</t>
        </is>
      </c>
      <c r="B889" s="3" t="inlineStr">
        <is>
          <t>Keeta-2026-0706-0001</t>
        </is>
      </c>
      <c r="C889" s="3" t="inlineStr">
        <is>
          <t>已簽收</t>
        </is>
      </c>
      <c r="D889" s="3" t="inlineStr">
        <is>
          <t>2026-07-06 11:22:05</t>
        </is>
      </c>
      <c r="E889" s="3" t="inlineStr">
        <is>
          <t>2026-07-06 16:33</t>
        </is>
      </c>
      <c r="F889" s="3" t="n">
        <v>2.8</v>
      </c>
      <c r="G889" s="3" t="n">
        <v>1</v>
      </c>
      <c r="H889" s="3" t="n"/>
      <c r="I889" s="3" t="n"/>
      <c r="J889" s="3" t="inlineStr">
        <is>
          <t>keeta</t>
        </is>
      </c>
      <c r="K889" s="3" t="inlineStr">
        <is>
          <t>****57224599</t>
        </is>
      </c>
      <c r="L889" s="3" t="inlineStr">
        <is>
          <t>****57224599</t>
        </is>
      </c>
      <c r="M889" s="3" t="inlineStr">
        <is>
          <t>***** 心2808室</t>
        </is>
      </c>
      <c r="N889" s="3" t="inlineStr">
        <is>
          <t>荔枝角</t>
        </is>
      </c>
      <c r="O889" s="3" t="inlineStr">
        <is>
          <t>深水埗区</t>
        </is>
      </c>
      <c r="P889" s="3" t="inlineStr">
        <is>
          <t>香港</t>
        </is>
      </c>
      <c r="Q889" s="3" t="n">
        <v>721531395</v>
      </c>
      <c r="R889" s="3" t="inlineStr">
        <is>
          <t>酸辣媽媽</t>
        </is>
      </c>
      <c r="S889" s="3" t="inlineStr">
        <is>
          <t>****69933224</t>
        </is>
      </c>
      <c r="T889" s="3" t="inlineStr">
        <is>
          <t>****69933224</t>
        </is>
      </c>
      <c r="U889" s="3" t="inlineStr">
        <is>
          <t>***** 樓E門R5室</t>
        </is>
      </c>
      <c r="V889" s="3" t="inlineStr">
        <is>
          <t>香港</t>
        </is>
      </c>
      <c r="W889" s="3" t="inlineStr">
        <is>
          <t>POS機+新店禮包</t>
        </is>
      </c>
      <c r="X889" s="3" t="inlineStr">
        <is>
          <t>BSP</t>
        </is>
      </c>
      <c r="Y889" s="3" t="inlineStr">
        <is>
          <t>寄快遞</t>
        </is>
      </c>
      <c r="Z889" s="3" t="n"/>
      <c r="AA889" s="3" t="inlineStr">
        <is>
          <t>第三方付</t>
        </is>
      </c>
      <c r="AB889">
        <f>IFERROR(VLOOKUP(Q889&amp;"",對照表!$A:$B,1,FALSE),"")</f>
        <v/>
      </c>
      <c r="AC889">
        <f>IFERROR(VLOOKUP(Q889&amp;"",對照表!$A:$B,2,FALSE),"")</f>
        <v/>
      </c>
    </row>
    <row r="890">
      <c r="A890" s="3" t="inlineStr">
        <is>
          <t>SF5111128786964</t>
        </is>
      </c>
      <c r="B890" s="3" t="inlineStr">
        <is>
          <t>Keeta-2026-0706-0015</t>
        </is>
      </c>
      <c r="C890" s="3" t="inlineStr">
        <is>
          <t>已簽收</t>
        </is>
      </c>
      <c r="D890" s="3" t="inlineStr">
        <is>
          <t>2026-07-06 11:20:30</t>
        </is>
      </c>
      <c r="E890" s="3" t="inlineStr">
        <is>
          <t>2026-07-06 15:23</t>
        </is>
      </c>
      <c r="F890" s="3" t="n">
        <v>2.8</v>
      </c>
      <c r="G890" s="3" t="n">
        <v>1</v>
      </c>
      <c r="H890" s="3" t="n"/>
      <c r="I890" s="3" t="n"/>
      <c r="J890" s="3" t="inlineStr">
        <is>
          <t>keeta</t>
        </is>
      </c>
      <c r="K890" s="3" t="inlineStr">
        <is>
          <t>****57224599</t>
        </is>
      </c>
      <c r="L890" s="3" t="inlineStr">
        <is>
          <t>****57224599</t>
        </is>
      </c>
      <c r="M890" s="3" t="inlineStr">
        <is>
          <t>***** 心2808室</t>
        </is>
      </c>
      <c r="N890" s="3" t="inlineStr">
        <is>
          <t>荔枝角</t>
        </is>
      </c>
      <c r="O890" s="3" t="inlineStr">
        <is>
          <t>深水埗区</t>
        </is>
      </c>
      <c r="P890" s="3" t="inlineStr">
        <is>
          <t>香港</t>
        </is>
      </c>
      <c r="Q890" s="3" t="n">
        <v>721528420</v>
      </c>
      <c r="R890" s="3" t="inlineStr">
        <is>
          <t>卡蒂炸雞土瓜灣</t>
        </is>
      </c>
      <c r="S890" s="3" t="inlineStr">
        <is>
          <t>****57213774</t>
        </is>
      </c>
      <c r="T890" s="3" t="inlineStr">
        <is>
          <t>****57213774</t>
        </is>
      </c>
      <c r="U890" s="3" t="inlineStr">
        <is>
          <t>***** 106 A室</t>
        </is>
      </c>
      <c r="V890" s="3" t="inlineStr">
        <is>
          <t>香港</t>
        </is>
      </c>
      <c r="W890" s="3" t="inlineStr">
        <is>
          <t>POS機+新店禮包</t>
        </is>
      </c>
      <c r="X890" s="3" t="inlineStr">
        <is>
          <t>BSP</t>
        </is>
      </c>
      <c r="Y890" s="3" t="inlineStr">
        <is>
          <t>寄快遞</t>
        </is>
      </c>
      <c r="Z890" s="3" t="n"/>
      <c r="AA890" s="3" t="inlineStr">
        <is>
          <t>第三方付</t>
        </is>
      </c>
      <c r="AB890">
        <f>IFERROR(VLOOKUP(Q890&amp;"",對照表!$A:$B,1,FALSE),"")</f>
        <v/>
      </c>
      <c r="AC890">
        <f>IFERROR(VLOOKUP(Q890&amp;"",對照表!$A:$B,2,FALSE),"")</f>
        <v/>
      </c>
    </row>
    <row r="891">
      <c r="A891" s="3" t="inlineStr">
        <is>
          <t>SF5111128787147</t>
        </is>
      </c>
      <c r="B891" s="3" t="inlineStr">
        <is>
          <t>Keeta-2026-0706-0009</t>
        </is>
      </c>
      <c r="C891" s="3" t="inlineStr">
        <is>
          <t>已簽收</t>
        </is>
      </c>
      <c r="D891" s="3" t="inlineStr">
        <is>
          <t>2026-07-06 11:21:30</t>
        </is>
      </c>
      <c r="E891" s="3" t="inlineStr">
        <is>
          <t>2026-07-06 17:48</t>
        </is>
      </c>
      <c r="F891" s="3" t="n">
        <v>2.8</v>
      </c>
      <c r="G891" s="3" t="n">
        <v>1</v>
      </c>
      <c r="H891" s="3" t="n"/>
      <c r="I891" s="3" t="n"/>
      <c r="J891" s="3" t="inlineStr">
        <is>
          <t>keeta</t>
        </is>
      </c>
      <c r="K891" s="3" t="inlineStr">
        <is>
          <t>****57224599</t>
        </is>
      </c>
      <c r="L891" s="3" t="inlineStr">
        <is>
          <t>****57224599</t>
        </is>
      </c>
      <c r="M891" s="3" t="inlineStr">
        <is>
          <t>***** 心2808室</t>
        </is>
      </c>
      <c r="N891" s="3" t="inlineStr">
        <is>
          <t>荔枝角</t>
        </is>
      </c>
      <c r="O891" s="3" t="inlineStr">
        <is>
          <t>深水埗区</t>
        </is>
      </c>
      <c r="P891" s="3" t="inlineStr">
        <is>
          <t>香港</t>
        </is>
      </c>
      <c r="Q891" s="3" t="n">
        <v>721521397</v>
      </c>
      <c r="R891" s="3" t="inlineStr">
        <is>
          <t>聚香漁鮮</t>
        </is>
      </c>
      <c r="S891" s="3" t="inlineStr">
        <is>
          <t>****63440417</t>
        </is>
      </c>
      <c r="T891" s="3" t="inlineStr">
        <is>
          <t>****63440417</t>
        </is>
      </c>
      <c r="U891" s="3" t="inlineStr">
        <is>
          <t>***** 座10樓A室</t>
        </is>
      </c>
      <c r="V891" s="3" t="inlineStr">
        <is>
          <t>香港</t>
        </is>
      </c>
      <c r="W891" s="3" t="inlineStr">
        <is>
          <t>POS機+新店禮包</t>
        </is>
      </c>
      <c r="X891" s="3" t="inlineStr">
        <is>
          <t>BSP</t>
        </is>
      </c>
      <c r="Y891" s="3" t="inlineStr">
        <is>
          <t>寄快遞</t>
        </is>
      </c>
      <c r="Z891" s="3" t="n"/>
      <c r="AA891" s="3" t="inlineStr">
        <is>
          <t>第三方付</t>
        </is>
      </c>
      <c r="AB891">
        <f>IFERROR(VLOOKUP(Q891&amp;"",對照表!$A:$B,1,FALSE),"")</f>
        <v/>
      </c>
      <c r="AC891">
        <f>IFERROR(VLOOKUP(Q891&amp;"",對照表!$A:$B,2,FALSE),"")</f>
        <v/>
      </c>
    </row>
    <row r="892">
      <c r="A892" s="3" t="inlineStr">
        <is>
          <t>SF5111128788026</t>
        </is>
      </c>
      <c r="B892" s="3" t="inlineStr">
        <is>
          <t>Keeta-2026-0706-0014</t>
        </is>
      </c>
      <c r="C892" s="3" t="inlineStr">
        <is>
          <t>已簽收</t>
        </is>
      </c>
      <c r="D892" s="3" t="inlineStr">
        <is>
          <t>2026-07-06 11:20:20</t>
        </is>
      </c>
      <c r="E892" s="3" t="inlineStr">
        <is>
          <t>2026-07-07 13:19</t>
        </is>
      </c>
      <c r="F892" s="3" t="n">
        <v>2.8</v>
      </c>
      <c r="G892" s="3" t="n">
        <v>1</v>
      </c>
      <c r="H892" s="3" t="n"/>
      <c r="I892" s="3" t="n"/>
      <c r="J892" s="3" t="inlineStr">
        <is>
          <t>keeta</t>
        </is>
      </c>
      <c r="K892" s="3" t="inlineStr">
        <is>
          <t>****57224599</t>
        </is>
      </c>
      <c r="L892" s="3" t="inlineStr">
        <is>
          <t>****57224599</t>
        </is>
      </c>
      <c r="M892" s="3" t="inlineStr">
        <is>
          <t>***** 心2808室</t>
        </is>
      </c>
      <c r="N892" s="3" t="inlineStr">
        <is>
          <t>荔枝角</t>
        </is>
      </c>
      <c r="O892" s="3" t="inlineStr">
        <is>
          <t>深水埗区</t>
        </is>
      </c>
      <c r="P892" s="3" t="inlineStr">
        <is>
          <t>香港</t>
        </is>
      </c>
      <c r="Q892" s="3" t="n">
        <v>721522396</v>
      </c>
      <c r="R892" s="3" t="inlineStr">
        <is>
          <t>小店Copacabana</t>
        </is>
      </c>
      <c r="S892" s="3" t="inlineStr">
        <is>
          <t>****98559289</t>
        </is>
      </c>
      <c r="T892" s="3" t="inlineStr">
        <is>
          <t>****98559289</t>
        </is>
      </c>
      <c r="U892" s="3" t="inlineStr">
        <is>
          <t>***** abana)</t>
        </is>
      </c>
      <c r="V892" s="3" t="inlineStr">
        <is>
          <t>香港</t>
        </is>
      </c>
      <c r="W892" s="3" t="inlineStr">
        <is>
          <t>POS機+新店禮包</t>
        </is>
      </c>
      <c r="X892" s="3" t="inlineStr">
        <is>
          <t>BSP</t>
        </is>
      </c>
      <c r="Y892" s="3" t="inlineStr">
        <is>
          <t>寄快遞</t>
        </is>
      </c>
      <c r="Z892" s="3" t="n"/>
      <c r="AA892" s="3" t="inlineStr">
        <is>
          <t>第三方付</t>
        </is>
      </c>
      <c r="AB892">
        <f>IFERROR(VLOOKUP(Q892&amp;"",對照表!$A:$B,1,FALSE),"")</f>
        <v/>
      </c>
      <c r="AC892">
        <f>IFERROR(VLOOKUP(Q892&amp;"",對照表!$A:$B,2,FALSE),"")</f>
        <v/>
      </c>
    </row>
    <row r="893">
      <c r="A893" s="3" t="inlineStr">
        <is>
          <t>SF5111128788105</t>
        </is>
      </c>
      <c r="B893" s="3" t="inlineStr">
        <is>
          <t>Keeta-2026-0706-0004</t>
        </is>
      </c>
      <c r="C893" s="3" t="inlineStr">
        <is>
          <t>已簽收</t>
        </is>
      </c>
      <c r="D893" s="3" t="inlineStr">
        <is>
          <t>2026-07-06 11:22:46</t>
        </is>
      </c>
      <c r="E893" s="3" t="inlineStr">
        <is>
          <t>2026-07-06 16:44</t>
        </is>
      </c>
      <c r="F893" s="3" t="n">
        <v>2.8</v>
      </c>
      <c r="G893" s="3" t="n">
        <v>1</v>
      </c>
      <c r="H893" s="3" t="n"/>
      <c r="I893" s="3" t="n"/>
      <c r="J893" s="3" t="inlineStr">
        <is>
          <t>keeta</t>
        </is>
      </c>
      <c r="K893" s="3" t="inlineStr">
        <is>
          <t>****57224599</t>
        </is>
      </c>
      <c r="L893" s="3" t="inlineStr">
        <is>
          <t>****57224599</t>
        </is>
      </c>
      <c r="M893" s="3" t="inlineStr">
        <is>
          <t>***** 心2808室</t>
        </is>
      </c>
      <c r="N893" s="3" t="inlineStr">
        <is>
          <t>荔枝角</t>
        </is>
      </c>
      <c r="O893" s="3" t="inlineStr">
        <is>
          <t>深水埗区</t>
        </is>
      </c>
      <c r="P893" s="3" t="inlineStr">
        <is>
          <t>香港</t>
        </is>
      </c>
      <c r="Q893" s="3" t="n">
        <v>721537394</v>
      </c>
      <c r="R893" s="3" t="inlineStr">
        <is>
          <t>德和果汁</t>
        </is>
      </c>
      <c r="S893" s="3" t="inlineStr">
        <is>
          <t>****61318695</t>
        </is>
      </c>
      <c r="T893" s="3" t="inlineStr">
        <is>
          <t>****61318695</t>
        </is>
      </c>
      <c r="U893" s="3" t="inlineStr">
        <is>
          <t>***** rence）</t>
        </is>
      </c>
      <c r="V893" s="3" t="inlineStr">
        <is>
          <t>香港</t>
        </is>
      </c>
      <c r="W893" s="3" t="inlineStr">
        <is>
          <t>POS機+新店禮包</t>
        </is>
      </c>
      <c r="X893" s="3" t="inlineStr">
        <is>
          <t>BSP</t>
        </is>
      </c>
      <c r="Y893" s="3" t="inlineStr">
        <is>
          <t>寄快遞</t>
        </is>
      </c>
      <c r="Z893" s="3" t="n"/>
      <c r="AA893" s="3" t="inlineStr">
        <is>
          <t>第三方付</t>
        </is>
      </c>
      <c r="AB893">
        <f>IFERROR(VLOOKUP(Q893&amp;"",對照表!$A:$B,1,FALSE),"")</f>
        <v/>
      </c>
      <c r="AC893">
        <f>IFERROR(VLOOKUP(Q893&amp;"",對照表!$A:$B,2,FALSE),"")</f>
        <v/>
      </c>
    </row>
    <row r="894">
      <c r="A894" s="3" t="inlineStr">
        <is>
          <t>SF5111128787950</t>
        </is>
      </c>
      <c r="B894" s="3" t="inlineStr">
        <is>
          <t>Keeta-2026-0706-0016</t>
        </is>
      </c>
      <c r="C894" s="3" t="inlineStr">
        <is>
          <t>已簽收</t>
        </is>
      </c>
      <c r="D894" s="3" t="inlineStr">
        <is>
          <t>2026-07-06 11:20:42</t>
        </is>
      </c>
      <c r="E894" s="3" t="inlineStr">
        <is>
          <t>2026-07-07 14:23</t>
        </is>
      </c>
      <c r="F894" s="3" t="n">
        <v>2.8</v>
      </c>
      <c r="G894" s="3" t="n">
        <v>1</v>
      </c>
      <c r="H894" s="3" t="n"/>
      <c r="I894" s="3" t="n"/>
      <c r="J894" s="3" t="inlineStr">
        <is>
          <t>keeta</t>
        </is>
      </c>
      <c r="K894" s="3" t="inlineStr">
        <is>
          <t>****57224599</t>
        </is>
      </c>
      <c r="L894" s="3" t="inlineStr">
        <is>
          <t>****57224599</t>
        </is>
      </c>
      <c r="M894" s="3" t="inlineStr">
        <is>
          <t>***** 心2808室</t>
        </is>
      </c>
      <c r="N894" s="3" t="inlineStr">
        <is>
          <t>荔枝角</t>
        </is>
      </c>
      <c r="O894" s="3" t="inlineStr">
        <is>
          <t>深水埗区</t>
        </is>
      </c>
      <c r="P894" s="3" t="inlineStr">
        <is>
          <t>香港</t>
        </is>
      </c>
      <c r="Q894" s="3" t="n">
        <v>721536410</v>
      </c>
      <c r="R894" s="3" t="inlineStr">
        <is>
          <t>人人有雞食</t>
        </is>
      </c>
      <c r="S894" s="3" t="inlineStr">
        <is>
          <t>****60735130</t>
        </is>
      </c>
      <c r="T894" s="3" t="inlineStr">
        <is>
          <t>****60735130</t>
        </is>
      </c>
      <c r="U894" s="3" t="inlineStr">
        <is>
          <t>***** 街5號昌榮閣</t>
        </is>
      </c>
      <c r="V894" s="3" t="inlineStr">
        <is>
          <t>香港</t>
        </is>
      </c>
      <c r="W894" s="3" t="inlineStr">
        <is>
          <t>POS機+新店禮包</t>
        </is>
      </c>
      <c r="X894" s="3" t="inlineStr">
        <is>
          <t>BSP</t>
        </is>
      </c>
      <c r="Y894" s="3" t="inlineStr">
        <is>
          <t>寄快遞</t>
        </is>
      </c>
      <c r="Z894" s="3" t="n"/>
      <c r="AA894" s="3" t="inlineStr">
        <is>
          <t>第三方付</t>
        </is>
      </c>
      <c r="AB894">
        <f>IFERROR(VLOOKUP(Q894&amp;"",對照表!$A:$B,1,FALSE),"")</f>
        <v/>
      </c>
      <c r="AC894">
        <f>IFERROR(VLOOKUP(Q894&amp;"",對照表!$A:$B,2,FALSE),"")</f>
        <v/>
      </c>
    </row>
    <row r="895">
      <c r="A895" s="3" t="inlineStr">
        <is>
          <t>SF5111128788008</t>
        </is>
      </c>
      <c r="B895" s="3" t="inlineStr">
        <is>
          <t>Keeta-2026-0706-0002</t>
        </is>
      </c>
      <c r="C895" s="3" t="inlineStr">
        <is>
          <t>已簽收</t>
        </is>
      </c>
      <c r="D895" s="3" t="inlineStr">
        <is>
          <t>2026-07-06 11:22:15</t>
        </is>
      </c>
      <c r="E895" s="3" t="inlineStr">
        <is>
          <t>2026-07-06 15:31</t>
        </is>
      </c>
      <c r="F895" s="3" t="n">
        <v>2.8</v>
      </c>
      <c r="G895" s="3" t="n">
        <v>1</v>
      </c>
      <c r="H895" s="3" t="n"/>
      <c r="I895" s="3" t="n"/>
      <c r="J895" s="3" t="inlineStr">
        <is>
          <t>keeta</t>
        </is>
      </c>
      <c r="K895" s="3" t="inlineStr">
        <is>
          <t>****57224599</t>
        </is>
      </c>
      <c r="L895" s="3" t="inlineStr">
        <is>
          <t>****57224599</t>
        </is>
      </c>
      <c r="M895" s="3" t="inlineStr">
        <is>
          <t>***** 心2808室</t>
        </is>
      </c>
      <c r="N895" s="3" t="inlineStr">
        <is>
          <t>荔枝角</t>
        </is>
      </c>
      <c r="O895" s="3" t="inlineStr">
        <is>
          <t>深水埗区</t>
        </is>
      </c>
      <c r="P895" s="3" t="inlineStr">
        <is>
          <t>香港</t>
        </is>
      </c>
      <c r="Q895" s="3" t="n">
        <v>721538393</v>
      </c>
      <c r="R895" s="3" t="inlineStr">
        <is>
          <t>泰龍</t>
        </is>
      </c>
      <c r="S895" s="3" t="inlineStr">
        <is>
          <t>****62070736</t>
        </is>
      </c>
      <c r="T895" s="3" t="inlineStr">
        <is>
          <t>****62070736</t>
        </is>
      </c>
      <c r="U895" s="3" t="inlineStr">
        <is>
          <t>***** 布米船麵」）</t>
        </is>
      </c>
      <c r="V895" s="3" t="inlineStr">
        <is>
          <t>香港</t>
        </is>
      </c>
      <c r="W895" s="3" t="inlineStr">
        <is>
          <t>POS機+新店禮包</t>
        </is>
      </c>
      <c r="X895" s="3" t="inlineStr">
        <is>
          <t>BSP</t>
        </is>
      </c>
      <c r="Y895" s="3" t="inlineStr">
        <is>
          <t>寄快遞</t>
        </is>
      </c>
      <c r="Z895" s="3" t="n"/>
      <c r="AA895" s="3" t="inlineStr">
        <is>
          <t>第三方付</t>
        </is>
      </c>
      <c r="AB895">
        <f>IFERROR(VLOOKUP(Q895&amp;"",對照表!$A:$B,1,FALSE),"")</f>
        <v/>
      </c>
      <c r="AC895">
        <f>IFERROR(VLOOKUP(Q895&amp;"",對照表!$A:$B,2,FALSE),"")</f>
        <v/>
      </c>
    </row>
    <row r="896">
      <c r="A896" s="3" t="inlineStr">
        <is>
          <t>SF5111128788035</t>
        </is>
      </c>
      <c r="B896" s="3" t="inlineStr">
        <is>
          <t>Keeta-2026-0706-0003</t>
        </is>
      </c>
      <c r="C896" s="3" t="inlineStr">
        <is>
          <t>已簽收</t>
        </is>
      </c>
      <c r="D896" s="3" t="inlineStr">
        <is>
          <t>2026-07-06 11:22:33</t>
        </is>
      </c>
      <c r="E896" s="3" t="inlineStr">
        <is>
          <t>2026-07-06 16:43</t>
        </is>
      </c>
      <c r="F896" s="3" t="n">
        <v>2.8</v>
      </c>
      <c r="G896" s="3" t="n">
        <v>1</v>
      </c>
      <c r="H896" s="3" t="n"/>
      <c r="I896" s="3" t="n"/>
      <c r="J896" s="3" t="inlineStr">
        <is>
          <t>keeta</t>
        </is>
      </c>
      <c r="K896" s="3" t="inlineStr">
        <is>
          <t>****57224599</t>
        </is>
      </c>
      <c r="L896" s="3" t="inlineStr">
        <is>
          <t>****57224599</t>
        </is>
      </c>
      <c r="M896" s="3" t="inlineStr">
        <is>
          <t>***** 心2808室</t>
        </is>
      </c>
      <c r="N896" s="3" t="inlineStr">
        <is>
          <t>荔枝角</t>
        </is>
      </c>
      <c r="O896" s="3" t="inlineStr">
        <is>
          <t>深水埗区</t>
        </is>
      </c>
      <c r="P896" s="3" t="inlineStr">
        <is>
          <t>香港</t>
        </is>
      </c>
      <c r="Q896" s="3" t="n">
        <v>721539391</v>
      </c>
      <c r="R896" s="3" t="inlineStr">
        <is>
          <t>大鼻滷（粉嶺中心）BigChefChan</t>
        </is>
      </c>
      <c r="S896" s="3" t="inlineStr">
        <is>
          <t>****35431788</t>
        </is>
      </c>
      <c r="T896" s="3" t="inlineStr">
        <is>
          <t>****35431788</t>
        </is>
      </c>
      <c r="U896" s="3" t="inlineStr">
        <is>
          <t>***** （粉嶺中心）</t>
        </is>
      </c>
      <c r="V896" s="3" t="inlineStr">
        <is>
          <t>香港</t>
        </is>
      </c>
      <c r="W896" s="3" t="inlineStr">
        <is>
          <t>POS機+新店禮包</t>
        </is>
      </c>
      <c r="X896" s="3" t="inlineStr">
        <is>
          <t>BSP</t>
        </is>
      </c>
      <c r="Y896" s="3" t="inlineStr">
        <is>
          <t>寄快遞</t>
        </is>
      </c>
      <c r="Z896" s="3" t="n"/>
      <c r="AA896" s="3" t="inlineStr">
        <is>
          <t>第三方付</t>
        </is>
      </c>
      <c r="AB896">
        <f>IFERROR(VLOOKUP(Q896&amp;"",對照表!$A:$B,1,FALSE),"")</f>
        <v/>
      </c>
      <c r="AC896">
        <f>IFERROR(VLOOKUP(Q896&amp;"",對照表!$A:$B,2,FALSE),"")</f>
        <v/>
      </c>
    </row>
    <row r="897">
      <c r="A897" s="3" t="inlineStr">
        <is>
          <t>SF5111128788450</t>
        </is>
      </c>
      <c r="B897" s="3" t="inlineStr">
        <is>
          <t>Keeta-2026-0706-0010</t>
        </is>
      </c>
      <c r="C897" s="3" t="inlineStr">
        <is>
          <t>已簽收</t>
        </is>
      </c>
      <c r="D897" s="3" t="inlineStr">
        <is>
          <t>2026-07-06 11:21:48</t>
        </is>
      </c>
      <c r="E897" s="3" t="inlineStr">
        <is>
          <t>2026-07-06 17:12</t>
        </is>
      </c>
      <c r="F897" s="3" t="n">
        <v>2.8</v>
      </c>
      <c r="G897" s="3" t="n">
        <v>1</v>
      </c>
      <c r="H897" s="3" t="n"/>
      <c r="I897" s="3" t="n"/>
      <c r="J897" s="3" t="inlineStr">
        <is>
          <t>keeta</t>
        </is>
      </c>
      <c r="K897" s="3" t="inlineStr">
        <is>
          <t>****57224599</t>
        </is>
      </c>
      <c r="L897" s="3" t="inlineStr">
        <is>
          <t>****57224599</t>
        </is>
      </c>
      <c r="M897" s="3" t="inlineStr">
        <is>
          <t>***** 心2808室</t>
        </is>
      </c>
      <c r="N897" s="3" t="inlineStr">
        <is>
          <t>荔枝角</t>
        </is>
      </c>
      <c r="O897" s="3" t="inlineStr">
        <is>
          <t>深水埗区</t>
        </is>
      </c>
      <c r="P897" s="3" t="inlineStr">
        <is>
          <t>香港</t>
        </is>
      </c>
      <c r="Q897" s="3" t="n">
        <v>721512389</v>
      </c>
      <c r="R897" s="3" t="inlineStr">
        <is>
          <t>三晨</t>
        </is>
      </c>
      <c r="S897" s="3" t="inlineStr">
        <is>
          <t>****60512425</t>
        </is>
      </c>
      <c r="T897" s="3" t="inlineStr">
        <is>
          <t>****60512425</t>
        </is>
      </c>
      <c r="U897" s="3" t="inlineStr">
        <is>
          <t>***** ong hk</t>
        </is>
      </c>
      <c r="V897" s="3" t="inlineStr">
        <is>
          <t>香港</t>
        </is>
      </c>
      <c r="W897" s="3" t="inlineStr">
        <is>
          <t>POS機+新店禮包</t>
        </is>
      </c>
      <c r="X897" s="3" t="inlineStr">
        <is>
          <t>BSP</t>
        </is>
      </c>
      <c r="Y897" s="3" t="inlineStr">
        <is>
          <t>寄快遞</t>
        </is>
      </c>
      <c r="Z897" s="3" t="n"/>
      <c r="AA897" s="3" t="inlineStr">
        <is>
          <t>第三方付</t>
        </is>
      </c>
      <c r="AB897">
        <f>IFERROR(VLOOKUP(Q897&amp;"",對照表!$A:$B,1,FALSE),"")</f>
        <v/>
      </c>
      <c r="AC897">
        <f>IFERROR(VLOOKUP(Q897&amp;"",對照表!$A:$B,2,FALSE),"")</f>
        <v/>
      </c>
    </row>
    <row r="898">
      <c r="A898" s="3" t="inlineStr">
        <is>
          <t>SF5111128788114</t>
        </is>
      </c>
      <c r="B898" s="3" t="inlineStr">
        <is>
          <t>Keeta-2026-0706-0005</t>
        </is>
      </c>
      <c r="C898" s="3" t="inlineStr">
        <is>
          <t>已簽收</t>
        </is>
      </c>
      <c r="D898" s="3" t="inlineStr">
        <is>
          <t>2026-07-06 11:22:57</t>
        </is>
      </c>
      <c r="E898" s="3" t="inlineStr">
        <is>
          <t>2026-07-06 16:05</t>
        </is>
      </c>
      <c r="F898" s="3" t="n">
        <v>2.8</v>
      </c>
      <c r="G898" s="3" t="n">
        <v>1</v>
      </c>
      <c r="H898" s="3" t="n"/>
      <c r="I898" s="3" t="n"/>
      <c r="J898" s="3" t="inlineStr">
        <is>
          <t>keeta</t>
        </is>
      </c>
      <c r="K898" s="3" t="inlineStr">
        <is>
          <t>****57224599</t>
        </is>
      </c>
      <c r="L898" s="3" t="inlineStr">
        <is>
          <t>****57224599</t>
        </is>
      </c>
      <c r="M898" s="3" t="inlineStr">
        <is>
          <t>***** 心2808室</t>
        </is>
      </c>
      <c r="N898" s="3" t="inlineStr">
        <is>
          <t>荔枝角</t>
        </is>
      </c>
      <c r="O898" s="3" t="inlineStr">
        <is>
          <t>深水埗区</t>
        </is>
      </c>
      <c r="P898" s="3" t="inlineStr">
        <is>
          <t>香港</t>
        </is>
      </c>
      <c r="Q898" s="3" t="n">
        <v>721516393</v>
      </c>
      <c r="R898" s="3" t="inlineStr">
        <is>
          <t>東星餐廳EastarRestaurant</t>
        </is>
      </c>
      <c r="S898" s="3" t="inlineStr">
        <is>
          <t>****97722155</t>
        </is>
      </c>
      <c r="T898" s="3" t="inlineStr">
        <is>
          <t>****97722155</t>
        </is>
      </c>
      <c r="U898" s="3" t="inlineStr">
        <is>
          <t>***** 「已送到」）</t>
        </is>
      </c>
      <c r="V898" s="3" t="inlineStr">
        <is>
          <t>香港</t>
        </is>
      </c>
      <c r="W898" s="3" t="inlineStr">
        <is>
          <t>POS機+新店禮包</t>
        </is>
      </c>
      <c r="X898" s="3" t="inlineStr">
        <is>
          <t>BSP</t>
        </is>
      </c>
      <c r="Y898" s="3" t="inlineStr">
        <is>
          <t>寄快遞</t>
        </is>
      </c>
      <c r="Z898" s="3" t="n"/>
      <c r="AA898" s="3" t="inlineStr">
        <is>
          <t>第三方付</t>
        </is>
      </c>
      <c r="AB898">
        <f>IFERROR(VLOOKUP(Q898&amp;"",對照表!$A:$B,1,FALSE),"")</f>
        <v/>
      </c>
      <c r="AC898">
        <f>IFERROR(VLOOKUP(Q898&amp;"",對照表!$A:$B,2,FALSE),"")</f>
        <v/>
      </c>
    </row>
    <row r="899">
      <c r="A899" s="3" t="inlineStr">
        <is>
          <t>SF5111128788557</t>
        </is>
      </c>
      <c r="B899" s="3" t="inlineStr">
        <is>
          <t>Keeta-2026-0706-0011</t>
        </is>
      </c>
      <c r="C899" s="3" t="inlineStr">
        <is>
          <t>已簽收</t>
        </is>
      </c>
      <c r="D899" s="3" t="inlineStr">
        <is>
          <t>2026-07-06 11:19:50</t>
        </is>
      </c>
      <c r="E899" s="3" t="inlineStr">
        <is>
          <t>2026-07-06 15:35</t>
        </is>
      </c>
      <c r="F899" s="3" t="n">
        <v>2.8</v>
      </c>
      <c r="G899" s="3" t="n">
        <v>1</v>
      </c>
      <c r="H899" s="3" t="n"/>
      <c r="I899" s="3" t="n"/>
      <c r="J899" s="3" t="inlineStr">
        <is>
          <t>keeta</t>
        </is>
      </c>
      <c r="K899" s="3" t="inlineStr">
        <is>
          <t>****57224599</t>
        </is>
      </c>
      <c r="L899" s="3" t="inlineStr">
        <is>
          <t>****57224599</t>
        </is>
      </c>
      <c r="M899" s="3" t="inlineStr">
        <is>
          <t>***** 心2808室</t>
        </is>
      </c>
      <c r="N899" s="3" t="inlineStr">
        <is>
          <t>荔枝角</t>
        </is>
      </c>
      <c r="O899" s="3" t="inlineStr">
        <is>
          <t>深水埗区</t>
        </is>
      </c>
      <c r="P899" s="3" t="inlineStr">
        <is>
          <t>香港</t>
        </is>
      </c>
      <c r="Q899" s="3" t="n">
        <v>721529413</v>
      </c>
      <c r="R899" s="3" t="inlineStr">
        <is>
          <t>牛爺燒（上海街店）</t>
        </is>
      </c>
      <c r="S899" s="3" t="inlineStr">
        <is>
          <t>****65190072</t>
        </is>
      </c>
      <c r="T899" s="3" t="inlineStr">
        <is>
          <t>****65190072</t>
        </is>
      </c>
      <c r="U899" s="3" t="inlineStr">
        <is>
          <t>***** 大廈地下E舖</t>
        </is>
      </c>
      <c r="V899" s="3" t="inlineStr">
        <is>
          <t>香港</t>
        </is>
      </c>
      <c r="W899" s="3" t="inlineStr">
        <is>
          <t>POS機+新店禮包</t>
        </is>
      </c>
      <c r="X899" s="3" t="inlineStr">
        <is>
          <t>BSP</t>
        </is>
      </c>
      <c r="Y899" s="3" t="inlineStr">
        <is>
          <t>寄快遞</t>
        </is>
      </c>
      <c r="Z899" s="3" t="n"/>
      <c r="AA899" s="3" t="inlineStr">
        <is>
          <t>第三方付</t>
        </is>
      </c>
      <c r="AB899">
        <f>IFERROR(VLOOKUP(Q899&amp;"",對照表!$A:$B,1,FALSE),"")</f>
        <v/>
      </c>
      <c r="AC899">
        <f>IFERROR(VLOOKUP(Q899&amp;"",對照表!$A:$B,2,FALSE),"")</f>
        <v/>
      </c>
    </row>
    <row r="900">
      <c r="A900" s="3" t="inlineStr">
        <is>
          <t>SF5111128789030</t>
        </is>
      </c>
      <c r="B900" s="3" t="inlineStr">
        <is>
          <t>Keeta-2026-0706-0012</t>
        </is>
      </c>
      <c r="C900" s="3" t="inlineStr">
        <is>
          <t>已簽收</t>
        </is>
      </c>
      <c r="D900" s="3" t="inlineStr">
        <is>
          <t>2026-07-06 11:20:00</t>
        </is>
      </c>
      <c r="E900" s="3" t="inlineStr">
        <is>
          <t>2026-07-06 15:41</t>
        </is>
      </c>
      <c r="F900" s="3" t="n">
        <v>2.8</v>
      </c>
      <c r="G900" s="3" t="n">
        <v>1</v>
      </c>
      <c r="H900" s="3" t="n"/>
      <c r="I900" s="3" t="n"/>
      <c r="J900" s="3" t="inlineStr">
        <is>
          <t>keeta</t>
        </is>
      </c>
      <c r="K900" s="3" t="inlineStr">
        <is>
          <t>****57224599</t>
        </is>
      </c>
      <c r="L900" s="3" t="inlineStr">
        <is>
          <t>****57224599</t>
        </is>
      </c>
      <c r="M900" s="3" t="inlineStr">
        <is>
          <t>***** 心2808室</t>
        </is>
      </c>
      <c r="N900" s="3" t="inlineStr">
        <is>
          <t>荔枝角</t>
        </is>
      </c>
      <c r="O900" s="3" t="inlineStr">
        <is>
          <t>深水埗区</t>
        </is>
      </c>
      <c r="P900" s="3" t="inlineStr">
        <is>
          <t>香港</t>
        </is>
      </c>
      <c r="Q900" s="3" t="n">
        <v>721517393</v>
      </c>
      <c r="R900" s="3" t="inlineStr">
        <is>
          <t>牛元帥粉麵CowMarshalRestaurant</t>
        </is>
      </c>
      <c r="S900" s="3" t="inlineStr">
        <is>
          <t>****60411876</t>
        </is>
      </c>
      <c r="T900" s="3" t="inlineStr">
        <is>
          <t>****60411876</t>
        </is>
      </c>
      <c r="U900" s="3" t="inlineStr">
        <is>
          <t>***** rence）</t>
        </is>
      </c>
      <c r="V900" s="3" t="inlineStr">
        <is>
          <t>香港</t>
        </is>
      </c>
      <c r="W900" s="3" t="inlineStr">
        <is>
          <t>POS機+新店禮包</t>
        </is>
      </c>
      <c r="X900" s="3" t="inlineStr">
        <is>
          <t>BSP</t>
        </is>
      </c>
      <c r="Y900" s="3" t="inlineStr">
        <is>
          <t>寄快遞</t>
        </is>
      </c>
      <c r="Z900" s="3" t="n"/>
      <c r="AA900" s="3" t="inlineStr">
        <is>
          <t>第三方付</t>
        </is>
      </c>
      <c r="AB900">
        <f>IFERROR(VLOOKUP(Q900&amp;"",對照表!$A:$B,1,FALSE),"")</f>
        <v/>
      </c>
      <c r="AC900">
        <f>IFERROR(VLOOKUP(Q900&amp;"",對照表!$A:$B,2,FALSE),"")</f>
        <v/>
      </c>
    </row>
    <row r="901">
      <c r="A901" s="3" t="inlineStr">
        <is>
          <t>SF5111128789446</t>
        </is>
      </c>
      <c r="B901" s="3" t="inlineStr">
        <is>
          <t>Keeta-2026-0706-0013</t>
        </is>
      </c>
      <c r="C901" s="3" t="inlineStr">
        <is>
          <t>已簽收</t>
        </is>
      </c>
      <c r="D901" s="3" t="inlineStr">
        <is>
          <t>2026-07-06 11:20:09</t>
        </is>
      </c>
      <c r="E901" s="3" t="inlineStr">
        <is>
          <t>2026-07-06 14:37</t>
        </is>
      </c>
      <c r="F901" s="3" t="n">
        <v>2.8</v>
      </c>
      <c r="G901" s="3" t="n">
        <v>1</v>
      </c>
      <c r="H901" s="3" t="n"/>
      <c r="I901" s="3" t="n"/>
      <c r="J901" s="3" t="inlineStr">
        <is>
          <t>keeta</t>
        </is>
      </c>
      <c r="K901" s="3" t="inlineStr">
        <is>
          <t>****57224599</t>
        </is>
      </c>
      <c r="L901" s="3" t="inlineStr">
        <is>
          <t>****57224599</t>
        </is>
      </c>
      <c r="M901" s="3" t="inlineStr">
        <is>
          <t>***** 心2808室</t>
        </is>
      </c>
      <c r="N901" s="3" t="inlineStr">
        <is>
          <t>荔枝角</t>
        </is>
      </c>
      <c r="O901" s="3" t="inlineStr">
        <is>
          <t>深水埗区</t>
        </is>
      </c>
      <c r="P901" s="3" t="inlineStr">
        <is>
          <t>香港</t>
        </is>
      </c>
      <c r="Q901" s="3" t="n">
        <v>721514403</v>
      </c>
      <c r="R901" s="3" t="inlineStr">
        <is>
          <t>卡蒂炸雞灣仔（士林）</t>
        </is>
      </c>
      <c r="S901" s="3" t="inlineStr">
        <is>
          <t>****57213774</t>
        </is>
      </c>
      <c r="T901" s="3" t="inlineStr">
        <is>
          <t>****57213774</t>
        </is>
      </c>
      <c r="U901" s="3" t="inlineStr">
        <is>
          <t>***** 亭A 1部分</t>
        </is>
      </c>
      <c r="V901" s="3" t="inlineStr">
        <is>
          <t>香港</t>
        </is>
      </c>
      <c r="W901" s="3" t="inlineStr">
        <is>
          <t>POS機+新店禮包</t>
        </is>
      </c>
      <c r="X901" s="3" t="inlineStr">
        <is>
          <t>BSP</t>
        </is>
      </c>
      <c r="Y901" s="3" t="inlineStr">
        <is>
          <t>寄快遞</t>
        </is>
      </c>
      <c r="Z901" s="3" t="n"/>
      <c r="AA901" s="3" t="inlineStr">
        <is>
          <t>第三方付</t>
        </is>
      </c>
      <c r="AB901">
        <f>IFERROR(VLOOKUP(Q901&amp;"",對照表!$A:$B,1,FALSE),"")</f>
        <v/>
      </c>
      <c r="AC901">
        <f>IFERROR(VLOOKUP(Q901&amp;"",對照表!$A:$B,2,FALSE),"")</f>
        <v/>
      </c>
    </row>
    <row r="902">
      <c r="A902" s="3" t="inlineStr">
        <is>
          <t>SF0213744738432</t>
        </is>
      </c>
      <c r="B902" s="3" t="inlineStr">
        <is>
          <t>CX3475656151900162</t>
        </is>
      </c>
      <c r="C902" s="3" t="inlineStr">
        <is>
          <t>已簽收</t>
        </is>
      </c>
      <c r="D902" s="3" t="inlineStr">
        <is>
          <t>2026-07-06 19:47:53</t>
        </is>
      </c>
      <c r="E902" s="3" t="inlineStr">
        <is>
          <t>2026-07-07 15:36</t>
        </is>
      </c>
      <c r="F902" s="3" t="n"/>
      <c r="G902" s="3" t="n"/>
      <c r="H902" s="3" t="n"/>
      <c r="I902" s="3" t="n"/>
      <c r="J902" s="3" t="inlineStr">
        <is>
          <t>想甜嚐甜</t>
        </is>
      </c>
      <c r="K902" s="3" t="inlineStr">
        <is>
          <t>****7411</t>
        </is>
      </c>
      <c r="L902" s="3" t="inlineStr">
        <is>
          <t>****7411</t>
        </is>
      </c>
      <c r="M902" s="3" t="inlineStr">
        <is>
          <t>***** 心2期203</t>
        </is>
      </c>
      <c r="N902" s="3" t="inlineStr">
        <is>
          <t>土瓜灣</t>
        </is>
      </c>
      <c r="O902" s="3" t="inlineStr">
        <is>
          <t>九龍城區</t>
        </is>
      </c>
      <c r="P902" s="3" t="inlineStr">
        <is>
          <t>香港</t>
        </is>
      </c>
      <c r="Q902" s="3" t="n"/>
      <c r="R902" s="3" t="inlineStr">
        <is>
          <t>Gloria Yao</t>
        </is>
      </c>
      <c r="S902" s="3" t="inlineStr">
        <is>
          <t>****9254</t>
        </is>
      </c>
      <c r="T902" s="3" t="inlineStr">
        <is>
          <t>****9254</t>
        </is>
      </c>
      <c r="U902" s="3" t="inlineStr">
        <is>
          <t>***** 535 9F</t>
        </is>
      </c>
      <c r="V902" s="3" t="inlineStr">
        <is>
          <t>灣仔區</t>
        </is>
      </c>
      <c r="W902" s="3" t="inlineStr">
        <is>
          <t>電子產品(HKD1000)</t>
        </is>
      </c>
      <c r="X902" s="3" t="inlineStr">
        <is>
          <t>CCSP</t>
        </is>
      </c>
      <c r="Y902" s="3" t="n"/>
      <c r="Z902" s="3" t="n"/>
      <c r="AA902" s="3" t="inlineStr">
        <is>
          <t>第三方付</t>
        </is>
      </c>
      <c r="AB902">
        <f>IFERROR(VLOOKUP(Q902&amp;"",對照表!$A:$B,1,FALSE),"")</f>
        <v/>
      </c>
      <c r="AC902">
        <f>IFERROR(VLOOKUP(Q902&amp;"",對照表!$A:$B,2,FALSE),"")</f>
        <v/>
      </c>
    </row>
    <row r="903">
      <c r="A903" s="3" t="inlineStr">
        <is>
          <t>SF5113427654486</t>
        </is>
      </c>
      <c r="B903" s="3" t="n">
        <v>58435485696130</v>
      </c>
      <c r="C903" s="3" t="inlineStr">
        <is>
          <t>已簽收</t>
        </is>
      </c>
      <c r="D903" s="3" t="inlineStr">
        <is>
          <t>2026-07-06 16:44:18</t>
        </is>
      </c>
      <c r="E903" s="3" t="inlineStr">
        <is>
          <t>2026-07-07 16:33</t>
        </is>
      </c>
      <c r="F903" s="3" t="n">
        <v>4.45</v>
      </c>
      <c r="G903" s="3" t="n">
        <v>1</v>
      </c>
      <c r="H903" s="3" t="n"/>
      <c r="I903" s="3" t="inlineStr"/>
      <c r="J903" s="3" t="inlineStr">
        <is>
          <t>Keeta</t>
        </is>
      </c>
      <c r="K903" s="3" t="inlineStr">
        <is>
          <t>****9568</t>
        </is>
      </c>
      <c r="L903" s="3" t="n"/>
      <c r="M903" s="3" t="inlineStr">
        <is>
          <t>***** 物流中心5樓</t>
        </is>
      </c>
      <c r="N903" s="3" t="inlineStr">
        <is>
          <t>北区</t>
        </is>
      </c>
      <c r="O903" s="3" t="inlineStr">
        <is>
          <t>香港</t>
        </is>
      </c>
      <c r="P903" s="3" t="inlineStr">
        <is>
          <t>香港特别行政区</t>
        </is>
      </c>
      <c r="Q903" s="3" t="n">
        <v>721424367</v>
      </c>
      <c r="R903" s="3" t="inlineStr">
        <is>
          <t>唐宮小聚(新城市廣場)SocialPlace(NewTownPlaza)</t>
        </is>
      </c>
      <c r="S903" s="3" t="inlineStr">
        <is>
          <t>****26250009</t>
        </is>
      </c>
      <c r="T903" s="3" t="inlineStr">
        <is>
          <t>****26250009</t>
        </is>
      </c>
      <c r="U903" s="3" t="inlineStr">
        <is>
          <t>***** A333號舖</t>
        </is>
      </c>
      <c r="V903" s="3" t="inlineStr">
        <is>
          <t>香港</t>
        </is>
      </c>
      <c r="W903" s="3" t="inlineStr">
        <is>
          <t>机纸/小票纸 / 包出</t>
        </is>
      </c>
      <c r="X903" s="3" t="inlineStr">
        <is>
          <t>ESS-SFTS-OTMS</t>
        </is>
      </c>
      <c r="Y903" s="3" t="n"/>
      <c r="Z903" s="3" t="inlineStr"/>
      <c r="AA903" s="3" t="inlineStr">
        <is>
          <t>寄付月結</t>
        </is>
      </c>
      <c r="AB903">
        <f>IFERROR(VLOOKUP(Q903&amp;"",對照表!$A:$B,1,FALSE),"")</f>
        <v/>
      </c>
      <c r="AC903">
        <f>IFERROR(VLOOKUP(Q903&amp;"",對照表!$A:$B,2,FALSE),"")</f>
        <v/>
      </c>
    </row>
    <row r="904">
      <c r="A904" s="3" t="inlineStr">
        <is>
          <t>SF5113427654335</t>
        </is>
      </c>
      <c r="B904" s="3" t="n">
        <v>58435485696101</v>
      </c>
      <c r="C904" s="3" t="inlineStr">
        <is>
          <t>已簽收</t>
        </is>
      </c>
      <c r="D904" s="3" t="inlineStr">
        <is>
          <t>2026-07-06 16:28:05</t>
        </is>
      </c>
      <c r="E904" s="3" t="inlineStr">
        <is>
          <t>2026-07-07 09:58</t>
        </is>
      </c>
      <c r="F904" s="3" t="n">
        <v>29</v>
      </c>
      <c r="G904" s="3" t="n">
        <v>2</v>
      </c>
      <c r="H904" s="3" t="n"/>
      <c r="I904" s="3" t="inlineStr"/>
      <c r="J904" s="3" t="inlineStr">
        <is>
          <t>Keeta</t>
        </is>
      </c>
      <c r="K904" s="3" t="inlineStr">
        <is>
          <t>****9568</t>
        </is>
      </c>
      <c r="L904" s="3" t="n"/>
      <c r="M904" s="3" t="inlineStr">
        <is>
          <t>***** 物流中心5樓</t>
        </is>
      </c>
      <c r="N904" s="3" t="inlineStr">
        <is>
          <t>北区</t>
        </is>
      </c>
      <c r="O904" s="3" t="inlineStr">
        <is>
          <t>香港</t>
        </is>
      </c>
      <c r="P904" s="3" t="inlineStr">
        <is>
          <t>香港特别行政区</t>
        </is>
      </c>
      <c r="Q904" s="3" t="n">
        <v>589658</v>
      </c>
      <c r="R904" s="3" t="inlineStr">
        <is>
          <t>麥當勞(CausewayBayIII)McDonalds</t>
        </is>
      </c>
      <c r="S904" s="3" t="inlineStr">
        <is>
          <t>****28913503</t>
        </is>
      </c>
      <c r="T904" s="3" t="inlineStr">
        <is>
          <t>****28913503</t>
        </is>
      </c>
      <c r="U904" s="3" t="inlineStr">
        <is>
          <t>***** 分及地庫全層</t>
        </is>
      </c>
      <c r="V904" s="3" t="inlineStr">
        <is>
          <t>香港</t>
        </is>
      </c>
      <c r="W904" s="3" t="inlineStr">
        <is>
          <t>纸袋【通版】/ 箱出</t>
        </is>
      </c>
      <c r="X904" s="3" t="inlineStr">
        <is>
          <t>ESS-SFTS-OTMS</t>
        </is>
      </c>
      <c r="Y904" s="3" t="n"/>
      <c r="Z904" s="3" t="inlineStr"/>
      <c r="AA904" s="3" t="inlineStr">
        <is>
          <t>寄付月結</t>
        </is>
      </c>
      <c r="AB904">
        <f>IFERROR(VLOOKUP(Q904&amp;"",對照表!$A:$B,1,FALSE),"")</f>
        <v/>
      </c>
      <c r="AC904">
        <f>IFERROR(VLOOKUP(Q904&amp;"",對照表!$A:$B,2,FALSE),"")</f>
        <v/>
      </c>
    </row>
    <row r="905">
      <c r="A905" s="3" t="inlineStr">
        <is>
          <t>SF5113427654459</t>
        </is>
      </c>
      <c r="B905" s="3" t="n">
        <v>58435485696122</v>
      </c>
      <c r="C905" s="3" t="inlineStr">
        <is>
          <t>已簽收</t>
        </is>
      </c>
      <c r="D905" s="3" t="inlineStr">
        <is>
          <t>2026-07-06 17:08:26</t>
        </is>
      </c>
      <c r="E905" s="3" t="inlineStr">
        <is>
          <t>2026-07-07 11:05</t>
        </is>
      </c>
      <c r="F905" s="3" t="n">
        <v>1.9</v>
      </c>
      <c r="G905" s="3" t="n">
        <v>1</v>
      </c>
      <c r="H905" s="3" t="n"/>
      <c r="I905" s="3" t="inlineStr"/>
      <c r="J905" s="3" t="inlineStr">
        <is>
          <t>Keeta</t>
        </is>
      </c>
      <c r="K905" s="3" t="inlineStr">
        <is>
          <t>****9568</t>
        </is>
      </c>
      <c r="L905" s="3" t="n"/>
      <c r="M905" s="3" t="inlineStr">
        <is>
          <t>***** 物流中心5樓</t>
        </is>
      </c>
      <c r="N905" s="3" t="inlineStr">
        <is>
          <t>北区</t>
        </is>
      </c>
      <c r="O905" s="3" t="inlineStr">
        <is>
          <t>香港</t>
        </is>
      </c>
      <c r="P905" s="3" t="inlineStr">
        <is>
          <t>香港特别行政区</t>
        </is>
      </c>
      <c r="Q905" s="3" t="n">
        <v>464316</v>
      </c>
      <c r="R905" s="3" t="inlineStr">
        <is>
          <t>嘹咋咧</t>
        </is>
      </c>
      <c r="S905" s="3" t="inlineStr">
        <is>
          <t>****60635512</t>
        </is>
      </c>
      <c r="T905" s="3" t="inlineStr">
        <is>
          <t>****60635512</t>
        </is>
      </c>
      <c r="U905" s="3" t="inlineStr">
        <is>
          <t>***** 甸坊9號地舖</t>
        </is>
      </c>
      <c r="V905" s="3" t="inlineStr">
        <is>
          <t>香港</t>
        </is>
      </c>
      <c r="W905" s="3" t="inlineStr">
        <is>
          <t>机纸/小票纸 / 包出</t>
        </is>
      </c>
      <c r="X905" s="3" t="inlineStr">
        <is>
          <t>ESS-SFTS-OTMS</t>
        </is>
      </c>
      <c r="Y905" s="3" t="n"/>
      <c r="Z905" s="3" t="inlineStr"/>
      <c r="AA905" s="3" t="inlineStr">
        <is>
          <t>寄付月結</t>
        </is>
      </c>
      <c r="AB905">
        <f>IFERROR(VLOOKUP(Q905&amp;"",對照表!$A:$B,1,FALSE),"")</f>
        <v/>
      </c>
      <c r="AC905">
        <f>IFERROR(VLOOKUP(Q905&amp;"",對照表!$A:$B,2,FALSE),"")</f>
        <v/>
      </c>
    </row>
    <row r="906">
      <c r="A906" s="3" t="inlineStr">
        <is>
          <t>SF5113427654510</t>
        </is>
      </c>
      <c r="B906" s="3" t="n">
        <v>58435485696137</v>
      </c>
      <c r="C906" s="3" t="inlineStr">
        <is>
          <t>已簽收</t>
        </is>
      </c>
      <c r="D906" s="3" t="inlineStr">
        <is>
          <t>2026-07-06 15:19:34</t>
        </is>
      </c>
      <c r="E906" s="3" t="inlineStr">
        <is>
          <t>2026-07-07 15:17</t>
        </is>
      </c>
      <c r="F906" s="3" t="n">
        <v>14.5</v>
      </c>
      <c r="G906" s="3" t="n">
        <v>1</v>
      </c>
      <c r="H906" s="3" t="n"/>
      <c r="I906" s="3" t="inlineStr"/>
      <c r="J906" s="3" t="inlineStr">
        <is>
          <t>Keeta</t>
        </is>
      </c>
      <c r="K906" s="3" t="inlineStr">
        <is>
          <t>****9568</t>
        </is>
      </c>
      <c r="L906" s="3" t="n"/>
      <c r="M906" s="3" t="inlineStr">
        <is>
          <t>***** 物流中心5樓</t>
        </is>
      </c>
      <c r="N906" s="3" t="inlineStr">
        <is>
          <t>北区</t>
        </is>
      </c>
      <c r="O906" s="3" t="inlineStr">
        <is>
          <t>香港</t>
        </is>
      </c>
      <c r="P906" s="3" t="inlineStr">
        <is>
          <t>香港特别行政区</t>
        </is>
      </c>
      <c r="Q906" s="3" t="n">
        <v>721512389</v>
      </c>
      <c r="R906" s="3" t="inlineStr">
        <is>
          <t>三囍</t>
        </is>
      </c>
      <c r="S906" s="3" t="inlineStr">
        <is>
          <t>****0512425</t>
        </is>
      </c>
      <c r="T906" s="3" t="inlineStr">
        <is>
          <t>****0512425</t>
        </is>
      </c>
      <c r="U906" s="3" t="inlineStr">
        <is>
          <t>***** ong hk</t>
        </is>
      </c>
      <c r="V906" s="3" t="inlineStr">
        <is>
          <t>香港</t>
        </is>
      </c>
      <c r="W906" s="3" t="inlineStr">
        <is>
          <t>纸袋【通版】/ 箱出</t>
        </is>
      </c>
      <c r="X906" s="3" t="inlineStr">
        <is>
          <t>ESS-SFTS-OTMS</t>
        </is>
      </c>
      <c r="Y906" s="3" t="n"/>
      <c r="Z906" s="3" t="inlineStr"/>
      <c r="AA906" s="3" t="inlineStr">
        <is>
          <t>寄付月結</t>
        </is>
      </c>
      <c r="AB906">
        <f>IFERROR(VLOOKUP(Q906&amp;"",對照表!$A:$B,1,FALSE),"")</f>
        <v/>
      </c>
      <c r="AC906">
        <f>IFERROR(VLOOKUP(Q906&amp;"",對照表!$A:$B,2,FALSE),"")</f>
        <v/>
      </c>
    </row>
    <row r="907">
      <c r="A907" s="3" t="inlineStr">
        <is>
          <t>SF5113427654344</t>
        </is>
      </c>
      <c r="B907" s="3" t="n">
        <v>58435485696097</v>
      </c>
      <c r="C907" s="3" t="inlineStr">
        <is>
          <t>已簽收</t>
        </is>
      </c>
      <c r="D907" s="3" t="inlineStr">
        <is>
          <t>2026-07-06 17:22:16</t>
        </is>
      </c>
      <c r="E907" s="3" t="inlineStr">
        <is>
          <t>2026-07-07 18:51</t>
        </is>
      </c>
      <c r="F907" s="3" t="n">
        <v>1</v>
      </c>
      <c r="G907" s="3" t="n">
        <v>1</v>
      </c>
      <c r="H907" s="3" t="n"/>
      <c r="I907" s="3" t="inlineStr"/>
      <c r="J907" s="3" t="inlineStr">
        <is>
          <t>Keeta</t>
        </is>
      </c>
      <c r="K907" s="3" t="inlineStr">
        <is>
          <t>****9568</t>
        </is>
      </c>
      <c r="L907" s="3" t="n"/>
      <c r="M907" s="3" t="inlineStr">
        <is>
          <t>***** 物流中心5樓</t>
        </is>
      </c>
      <c r="N907" s="3" t="inlineStr">
        <is>
          <t>北区</t>
        </is>
      </c>
      <c r="O907" s="3" t="inlineStr">
        <is>
          <t>香港</t>
        </is>
      </c>
      <c r="P907" s="3" t="inlineStr">
        <is>
          <t>香港特别行政区</t>
        </is>
      </c>
      <c r="Q907" s="3" t="n">
        <v>488352</v>
      </c>
      <c r="R907" s="3" t="inlineStr">
        <is>
          <t>好好點心飲茶專門店椰子雞煲專賣店HoHoFourSeasonCoconutChickenHotPotDimSum（葵涌）</t>
        </is>
      </c>
      <c r="S907" s="3" t="inlineStr">
        <is>
          <t>****26239238</t>
        </is>
      </c>
      <c r="T907" s="3" t="inlineStr">
        <is>
          <t>****26239238</t>
        </is>
      </c>
      <c r="U907" s="3" t="inlineStr">
        <is>
          <t>***** 下8-9號舖</t>
        </is>
      </c>
      <c r="V907" s="3" t="inlineStr">
        <is>
          <t>香港</t>
        </is>
      </c>
      <c r="W907" s="3" t="inlineStr">
        <is>
          <t>翻新POS机【真唯】/ 件出</t>
        </is>
      </c>
      <c r="X907" s="3" t="inlineStr">
        <is>
          <t>ESS-SFTS-OTMS</t>
        </is>
      </c>
      <c r="Y907" s="3" t="n"/>
      <c r="Z907" s="3" t="inlineStr"/>
      <c r="AA907" s="3" t="inlineStr">
        <is>
          <t>寄付月結</t>
        </is>
      </c>
      <c r="AB907">
        <f>IFERROR(VLOOKUP(Q907&amp;"",對照表!$A:$B,1,FALSE),"")</f>
        <v/>
      </c>
      <c r="AC907">
        <f>IFERROR(VLOOKUP(Q907&amp;"",對照表!$A:$B,2,FALSE),"")</f>
        <v/>
      </c>
    </row>
    <row r="908">
      <c r="A908" s="3" t="inlineStr">
        <is>
          <t>SF5113427654477</t>
        </is>
      </c>
      <c r="B908" s="3" t="n">
        <v>58435485696126</v>
      </c>
      <c r="C908" s="3" t="inlineStr">
        <is>
          <t>已簽收</t>
        </is>
      </c>
      <c r="D908" s="3" t="inlineStr">
        <is>
          <t>2026-07-06 16:44:21</t>
        </is>
      </c>
      <c r="E908" s="3" t="inlineStr">
        <is>
          <t>2026-07-07 15:48</t>
        </is>
      </c>
      <c r="F908" s="3" t="n">
        <v>4.45</v>
      </c>
      <c r="G908" s="3" t="n">
        <v>1</v>
      </c>
      <c r="H908" s="3" t="n"/>
      <c r="I908" s="3" t="inlineStr"/>
      <c r="J908" s="3" t="inlineStr">
        <is>
          <t>Keeta</t>
        </is>
      </c>
      <c r="K908" s="3" t="inlineStr">
        <is>
          <t>****9568</t>
        </is>
      </c>
      <c r="L908" s="3" t="n"/>
      <c r="M908" s="3" t="inlineStr">
        <is>
          <t>***** 物流中心5樓</t>
        </is>
      </c>
      <c r="N908" s="3" t="inlineStr">
        <is>
          <t>北区</t>
        </is>
      </c>
      <c r="O908" s="3" t="inlineStr">
        <is>
          <t>香港</t>
        </is>
      </c>
      <c r="P908" s="3" t="inlineStr">
        <is>
          <t>香港特别行政区</t>
        </is>
      </c>
      <c r="Q908" s="3" t="n">
        <v>461928</v>
      </c>
      <c r="R908" s="3" t="inlineStr">
        <is>
          <t>牛一香港仔魚蛋粉專門店</t>
        </is>
      </c>
      <c r="S908" s="3" t="inlineStr">
        <is>
          <t>****21745099</t>
        </is>
      </c>
      <c r="T908" s="3" t="inlineStr">
        <is>
          <t>****21745099</t>
        </is>
      </c>
      <c r="U908" s="3" t="inlineStr">
        <is>
          <t>***** 號永和樓地下</t>
        </is>
      </c>
      <c r="V908" s="3" t="inlineStr">
        <is>
          <t>香港</t>
        </is>
      </c>
      <c r="W908" s="3" t="inlineStr">
        <is>
          <t>机纸/小票纸 / 包出</t>
        </is>
      </c>
      <c r="X908" s="3" t="inlineStr">
        <is>
          <t>ESS-SFTS-OTMS</t>
        </is>
      </c>
      <c r="Y908" s="3" t="n"/>
      <c r="Z908" s="3" t="inlineStr"/>
      <c r="AA908" s="3" t="inlineStr">
        <is>
          <t>寄付月結</t>
        </is>
      </c>
      <c r="AB908">
        <f>IFERROR(VLOOKUP(Q908&amp;"",對照表!$A:$B,1,FALSE),"")</f>
        <v/>
      </c>
      <c r="AC908">
        <f>IFERROR(VLOOKUP(Q908&amp;"",對照表!$A:$B,2,FALSE),"")</f>
        <v/>
      </c>
    </row>
    <row r="909">
      <c r="A909" s="3" t="inlineStr">
        <is>
          <t>SF5113427654413</t>
        </is>
      </c>
      <c r="B909" s="3" t="n">
        <v>58435485696112</v>
      </c>
      <c r="C909" s="3" t="inlineStr">
        <is>
          <t>已簽收</t>
        </is>
      </c>
      <c r="D909" s="3" t="inlineStr">
        <is>
          <t>2026-07-06 16:28:35</t>
        </is>
      </c>
      <c r="E909" s="3" t="inlineStr">
        <is>
          <t>2026-07-07 10:23</t>
        </is>
      </c>
      <c r="F909" s="3" t="n">
        <v>58</v>
      </c>
      <c r="G909" s="3" t="n">
        <v>4</v>
      </c>
      <c r="H909" s="3" t="n"/>
      <c r="I909" s="3" t="inlineStr"/>
      <c r="J909" s="3" t="inlineStr">
        <is>
          <t>Keeta</t>
        </is>
      </c>
      <c r="K909" s="3" t="inlineStr">
        <is>
          <t>****9568</t>
        </is>
      </c>
      <c r="L909" s="3" t="n"/>
      <c r="M909" s="3" t="inlineStr">
        <is>
          <t>***** 物流中心5樓</t>
        </is>
      </c>
      <c r="N909" s="3" t="inlineStr">
        <is>
          <t>北区</t>
        </is>
      </c>
      <c r="O909" s="3" t="inlineStr">
        <is>
          <t>香港</t>
        </is>
      </c>
      <c r="P909" s="3" t="inlineStr">
        <is>
          <t>香港特别行政区</t>
        </is>
      </c>
      <c r="Q909" s="3" t="n">
        <v>462095</v>
      </c>
      <c r="R909" s="3" t="inlineStr">
        <is>
          <t>麥當勞(長發)McDonalds</t>
        </is>
      </c>
      <c r="S909" s="3" t="inlineStr">
        <is>
          <t>****24338156</t>
        </is>
      </c>
      <c r="T909" s="3" t="inlineStr">
        <is>
          <t>****24338156</t>
        </is>
      </c>
      <c r="U909" s="3" t="inlineStr">
        <is>
          <t>***** 407B號舖</t>
        </is>
      </c>
      <c r="V909" s="3" t="inlineStr">
        <is>
          <t>香港</t>
        </is>
      </c>
      <c r="W909" s="3" t="inlineStr">
        <is>
          <t>纸袋【通版】/ 箱出</t>
        </is>
      </c>
      <c r="X909" s="3" t="inlineStr">
        <is>
          <t>ESS-SFTS-OTMS</t>
        </is>
      </c>
      <c r="Y909" s="3" t="n"/>
      <c r="Z909" s="3" t="inlineStr"/>
      <c r="AA909" s="3" t="inlineStr">
        <is>
          <t>寄付月結</t>
        </is>
      </c>
      <c r="AB909">
        <f>IFERROR(VLOOKUP(Q909&amp;"",對照表!$A:$B,1,FALSE),"")</f>
        <v/>
      </c>
      <c r="AC909">
        <f>IFERROR(VLOOKUP(Q909&amp;"",對照表!$A:$B,2,FALSE),"")</f>
        <v/>
      </c>
    </row>
    <row r="910">
      <c r="A910" s="3" t="inlineStr">
        <is>
          <t>SF5113427654371</t>
        </is>
      </c>
      <c r="B910" s="3" t="n">
        <v>58435485696107</v>
      </c>
      <c r="C910" s="3" t="inlineStr">
        <is>
          <t>已簽收</t>
        </is>
      </c>
      <c r="D910" s="3" t="inlineStr">
        <is>
          <t>2026-07-06 16:28:12</t>
        </is>
      </c>
      <c r="E910" s="3" t="inlineStr">
        <is>
          <t>2026-07-07 12:04</t>
        </is>
      </c>
      <c r="F910" s="3" t="n">
        <v>29</v>
      </c>
      <c r="G910" s="3" t="n">
        <v>2</v>
      </c>
      <c r="H910" s="3" t="n"/>
      <c r="I910" s="3" t="inlineStr"/>
      <c r="J910" s="3" t="inlineStr">
        <is>
          <t>Keeta</t>
        </is>
      </c>
      <c r="K910" s="3" t="inlineStr">
        <is>
          <t>****9568</t>
        </is>
      </c>
      <c r="L910" s="3" t="n"/>
      <c r="M910" s="3" t="inlineStr">
        <is>
          <t>***** 物流中心5樓</t>
        </is>
      </c>
      <c r="N910" s="3" t="inlineStr">
        <is>
          <t>北区</t>
        </is>
      </c>
      <c r="O910" s="3" t="inlineStr">
        <is>
          <t>香港</t>
        </is>
      </c>
      <c r="P910" s="3" t="inlineStr">
        <is>
          <t>香港特别行政区</t>
        </is>
      </c>
      <c r="Q910" s="3" t="n">
        <v>604045</v>
      </c>
      <c r="R910" s="3" t="inlineStr">
        <is>
          <t>麥當勞(星凱堤岸)McDonalds</t>
        </is>
      </c>
      <c r="S910" s="3" t="inlineStr">
        <is>
          <t>****24805633</t>
        </is>
      </c>
      <c r="T910" s="3" t="inlineStr">
        <is>
          <t>****24805633</t>
        </is>
      </c>
      <c r="U910" s="3" t="inlineStr">
        <is>
          <t>***** 樓201號鋪</t>
        </is>
      </c>
      <c r="V910" s="3" t="inlineStr">
        <is>
          <t>香港</t>
        </is>
      </c>
      <c r="W910" s="3" t="inlineStr">
        <is>
          <t>纸袋【通版】/ 箱出</t>
        </is>
      </c>
      <c r="X910" s="3" t="inlineStr">
        <is>
          <t>ESS-SFTS-OTMS</t>
        </is>
      </c>
      <c r="Y910" s="3" t="n"/>
      <c r="Z910" s="3" t="inlineStr"/>
      <c r="AA910" s="3" t="inlineStr">
        <is>
          <t>寄付月結</t>
        </is>
      </c>
      <c r="AB910">
        <f>IFERROR(VLOOKUP(Q910&amp;"",對照表!$A:$B,1,FALSE),"")</f>
        <v/>
      </c>
      <c r="AC910">
        <f>IFERROR(VLOOKUP(Q910&amp;"",對照表!$A:$B,2,FALSE),"")</f>
        <v/>
      </c>
    </row>
    <row r="911">
      <c r="A911" s="3" t="inlineStr">
        <is>
          <t>SF5113427654422</t>
        </is>
      </c>
      <c r="B911" s="3" t="n">
        <v>58435485696119</v>
      </c>
      <c r="C911" s="3" t="inlineStr">
        <is>
          <t>已簽收</t>
        </is>
      </c>
      <c r="D911" s="3" t="inlineStr">
        <is>
          <t>2026-07-06 16:28:15</t>
        </is>
      </c>
      <c r="E911" s="3" t="inlineStr">
        <is>
          <t>2026-07-07 12:16</t>
        </is>
      </c>
      <c r="F911" s="3" t="n">
        <v>29</v>
      </c>
      <c r="G911" s="3" t="n">
        <v>2</v>
      </c>
      <c r="H911" s="3" t="n"/>
      <c r="I911" s="3" t="inlineStr"/>
      <c r="J911" s="3" t="inlineStr">
        <is>
          <t>Keeta</t>
        </is>
      </c>
      <c r="K911" s="3" t="inlineStr">
        <is>
          <t>****9568</t>
        </is>
      </c>
      <c r="L911" s="3" t="n"/>
      <c r="M911" s="3" t="inlineStr">
        <is>
          <t>***** 物流中心5樓</t>
        </is>
      </c>
      <c r="N911" s="3" t="inlineStr">
        <is>
          <t>北区</t>
        </is>
      </c>
      <c r="O911" s="3" t="inlineStr">
        <is>
          <t>香港</t>
        </is>
      </c>
      <c r="P911" s="3" t="inlineStr">
        <is>
          <t>香港特别行政区</t>
        </is>
      </c>
      <c r="Q911" s="3" t="n">
        <v>488415</v>
      </c>
      <c r="R911" s="3" t="inlineStr">
        <is>
          <t>NoodFoodCafe(永豐街)</t>
        </is>
      </c>
      <c r="S911" s="3" t="inlineStr">
        <is>
          <t>****22985310</t>
        </is>
      </c>
      <c r="T911" s="3" t="inlineStr">
        <is>
          <t>****22985310</t>
        </is>
      </c>
      <c r="U911" s="3" t="inlineStr">
        <is>
          <t>***** 樂滿大廈1樓</t>
        </is>
      </c>
      <c r="V911" s="3" t="inlineStr">
        <is>
          <t>香港</t>
        </is>
      </c>
      <c r="W911" s="3" t="inlineStr">
        <is>
          <t>纸袋【通版】/ 箱出</t>
        </is>
      </c>
      <c r="X911" s="3" t="inlineStr">
        <is>
          <t>ESS-SFTS-OTMS</t>
        </is>
      </c>
      <c r="Y911" s="3" t="n"/>
      <c r="Z911" s="3" t="inlineStr"/>
      <c r="AA911" s="3" t="inlineStr">
        <is>
          <t>寄付月結</t>
        </is>
      </c>
      <c r="AB911">
        <f>IFERROR(VLOOKUP(Q911&amp;"",對照表!$A:$B,1,FALSE),"")</f>
        <v/>
      </c>
      <c r="AC911">
        <f>IFERROR(VLOOKUP(Q911&amp;"",對照表!$A:$B,2,FALSE),"")</f>
        <v/>
      </c>
    </row>
    <row r="912">
      <c r="A912" s="3" t="inlineStr">
        <is>
          <t>SF5113427654501</t>
        </is>
      </c>
      <c r="B912" s="3" t="n">
        <v>58435485696135</v>
      </c>
      <c r="C912" s="3" t="inlineStr">
        <is>
          <t>已簽收</t>
        </is>
      </c>
      <c r="D912" s="3" t="inlineStr">
        <is>
          <t>2026-07-06 16:44:24</t>
        </is>
      </c>
      <c r="E912" s="3" t="inlineStr">
        <is>
          <t>2026-07-07 12:11</t>
        </is>
      </c>
      <c r="F912" s="3" t="n">
        <v>4.45</v>
      </c>
      <c r="G912" s="3" t="n">
        <v>1</v>
      </c>
      <c r="H912" s="3" t="n"/>
      <c r="I912" s="3" t="inlineStr"/>
      <c r="J912" s="3" t="inlineStr">
        <is>
          <t>Keeta</t>
        </is>
      </c>
      <c r="K912" s="3" t="inlineStr">
        <is>
          <t>****9568</t>
        </is>
      </c>
      <c r="L912" s="3" t="n"/>
      <c r="M912" s="3" t="inlineStr">
        <is>
          <t>***** 物流中心5樓</t>
        </is>
      </c>
      <c r="N912" s="3" t="inlineStr">
        <is>
          <t>北区</t>
        </is>
      </c>
      <c r="O912" s="3" t="inlineStr">
        <is>
          <t>香港</t>
        </is>
      </c>
      <c r="P912" s="3" t="inlineStr">
        <is>
          <t>香港特别行政区</t>
        </is>
      </c>
      <c r="Q912" s="3" t="n">
        <v>721528399</v>
      </c>
      <c r="R912" s="3" t="inlineStr">
        <is>
          <t>DAKO9大口九（深水埗）</t>
        </is>
      </c>
      <c r="S912" s="3" t="inlineStr">
        <is>
          <t>****68820992</t>
        </is>
      </c>
      <c r="T912" s="3" t="inlineStr">
        <is>
          <t>****68820992</t>
        </is>
      </c>
      <c r="U912" s="3" t="inlineStr">
        <is>
          <t>***** HUI PO</t>
        </is>
      </c>
      <c r="V912" s="3" t="inlineStr">
        <is>
          <t>香港</t>
        </is>
      </c>
      <c r="W912" s="3" t="inlineStr">
        <is>
          <t>机纸/小票纸 / 包出</t>
        </is>
      </c>
      <c r="X912" s="3" t="inlineStr">
        <is>
          <t>ESS-SFTS-OTMS</t>
        </is>
      </c>
      <c r="Y912" s="3" t="n"/>
      <c r="Z912" s="3" t="inlineStr"/>
      <c r="AA912" s="3" t="inlineStr">
        <is>
          <t>寄付月結</t>
        </is>
      </c>
      <c r="AB912">
        <f>IFERROR(VLOOKUP(Q912&amp;"",對照表!$A:$B,1,FALSE),"")</f>
        <v/>
      </c>
      <c r="AC912">
        <f>IFERROR(VLOOKUP(Q912&amp;"",對照表!$A:$B,2,FALSE),"")</f>
        <v/>
      </c>
    </row>
    <row r="913">
      <c r="A913" s="3" t="inlineStr">
        <is>
          <t>SF5113427654326</t>
        </is>
      </c>
      <c r="B913" s="3" t="n">
        <v>58435485696099</v>
      </c>
      <c r="C913" s="3" t="inlineStr">
        <is>
          <t>已簽收</t>
        </is>
      </c>
      <c r="D913" s="3" t="inlineStr">
        <is>
          <t>2026-07-06 16:48:14</t>
        </is>
      </c>
      <c r="E913" s="3" t="inlineStr">
        <is>
          <t>2026-07-07 10:11</t>
        </is>
      </c>
      <c r="F913" s="3" t="n">
        <v>1.5</v>
      </c>
      <c r="G913" s="3" t="n">
        <v>1</v>
      </c>
      <c r="H913" s="3" t="n"/>
      <c r="I913" s="3" t="inlineStr"/>
      <c r="J913" s="3" t="inlineStr">
        <is>
          <t>Keeta</t>
        </is>
      </c>
      <c r="K913" s="3" t="inlineStr">
        <is>
          <t>****9568</t>
        </is>
      </c>
      <c r="L913" s="3" t="n"/>
      <c r="M913" s="3" t="inlineStr">
        <is>
          <t>***** 物流中心5樓</t>
        </is>
      </c>
      <c r="N913" s="3" t="inlineStr">
        <is>
          <t>北区</t>
        </is>
      </c>
      <c r="O913" s="3" t="inlineStr">
        <is>
          <t>香港</t>
        </is>
      </c>
      <c r="P913" s="3" t="inlineStr">
        <is>
          <t>香港特别行政区</t>
        </is>
      </c>
      <c r="Q913" s="3" t="n">
        <v>721428296</v>
      </c>
      <c r="R913" s="3" t="inlineStr">
        <is>
          <t>泰駿馬友必食正宗泰北泰菜超隱世小店</t>
        </is>
      </c>
      <c r="S913" s="3" t="inlineStr">
        <is>
          <t>****66845599</t>
        </is>
      </c>
      <c r="T913" s="3" t="inlineStr">
        <is>
          <t>****66845599</t>
        </is>
      </c>
      <c r="U913" s="3" t="inlineStr">
        <is>
          <t>***** 1樓10號鋪</t>
        </is>
      </c>
      <c r="V913" s="3" t="inlineStr">
        <is>
          <t>香港</t>
        </is>
      </c>
      <c r="W913" s="3" t="inlineStr">
        <is>
          <t>机纸/小票纸 / 包出</t>
        </is>
      </c>
      <c r="X913" s="3" t="inlineStr">
        <is>
          <t>ESS-SFTS-OTMS</t>
        </is>
      </c>
      <c r="Y913" s="3" t="n"/>
      <c r="Z913" s="3" t="inlineStr"/>
      <c r="AA913" s="3" t="inlineStr">
        <is>
          <t>寄付月結</t>
        </is>
      </c>
      <c r="AB913">
        <f>IFERROR(VLOOKUP(Q913&amp;"",對照表!$A:$B,1,FALSE),"")</f>
        <v/>
      </c>
      <c r="AC913">
        <f>IFERROR(VLOOKUP(Q913&amp;"",對照表!$A:$B,2,FALSE),"")</f>
        <v/>
      </c>
    </row>
    <row r="914">
      <c r="A914" s="3" t="inlineStr">
        <is>
          <t>SF5113427654362</t>
        </is>
      </c>
      <c r="B914" s="3" t="n">
        <v>58435485696105</v>
      </c>
      <c r="C914" s="3" t="inlineStr">
        <is>
          <t>已簽收</t>
        </is>
      </c>
      <c r="D914" s="3" t="inlineStr">
        <is>
          <t>2026-07-06 16:36:41</t>
        </is>
      </c>
      <c r="E914" s="3" t="inlineStr">
        <is>
          <t>2026-07-07 12:50</t>
        </is>
      </c>
      <c r="F914" s="3" t="n">
        <v>4.45</v>
      </c>
      <c r="G914" s="3" t="n">
        <v>1</v>
      </c>
      <c r="H914" s="3" t="n"/>
      <c r="I914" s="3" t="inlineStr"/>
      <c r="J914" s="3" t="inlineStr">
        <is>
          <t>Keeta</t>
        </is>
      </c>
      <c r="K914" s="3" t="inlineStr">
        <is>
          <t>****9568</t>
        </is>
      </c>
      <c r="L914" s="3" t="n"/>
      <c r="M914" s="3" t="inlineStr">
        <is>
          <t>***** 物流中心5樓</t>
        </is>
      </c>
      <c r="N914" s="3" t="inlineStr">
        <is>
          <t>北区</t>
        </is>
      </c>
      <c r="O914" s="3" t="inlineStr">
        <is>
          <t>香港</t>
        </is>
      </c>
      <c r="P914" s="3" t="inlineStr">
        <is>
          <t>香港特别行政区</t>
        </is>
      </c>
      <c r="Q914" s="3" t="n">
        <v>448384</v>
      </c>
      <c r="R914" s="3" t="inlineStr">
        <is>
          <t>茶皇殿點心燒味住家菜平台力推同區首選(旺角)</t>
        </is>
      </c>
      <c r="S914" s="3" t="inlineStr">
        <is>
          <t>****26261168</t>
        </is>
      </c>
      <c r="T914" s="3" t="inlineStr">
        <is>
          <t>****26261168</t>
        </is>
      </c>
      <c r="U914" s="3" t="inlineStr">
        <is>
          <t>***** 依利大廈2樓</t>
        </is>
      </c>
      <c r="V914" s="3" t="inlineStr">
        <is>
          <t>香港</t>
        </is>
      </c>
      <c r="W914" s="3" t="inlineStr">
        <is>
          <t>机纸/小票纸 / 包出</t>
        </is>
      </c>
      <c r="X914" s="3" t="inlineStr">
        <is>
          <t>ESS-SFTS-OTMS</t>
        </is>
      </c>
      <c r="Y914" s="3" t="n"/>
      <c r="Z914" s="3" t="inlineStr"/>
      <c r="AA914" s="3" t="inlineStr">
        <is>
          <t>寄付月結</t>
        </is>
      </c>
      <c r="AB914">
        <f>IFERROR(VLOOKUP(Q914&amp;"",對照表!$A:$B,1,FALSE),"")</f>
        <v/>
      </c>
      <c r="AC914">
        <f>IFERROR(VLOOKUP(Q914&amp;"",對照表!$A:$B,2,FALSE),"")</f>
        <v/>
      </c>
    </row>
    <row r="915">
      <c r="A915" s="3" t="inlineStr">
        <is>
          <t>SF5113427654317</t>
        </is>
      </c>
      <c r="B915" s="3" t="n">
        <v>58435485696094</v>
      </c>
      <c r="C915" s="3" t="inlineStr">
        <is>
          <t>已簽收</t>
        </is>
      </c>
      <c r="D915" s="3" t="inlineStr">
        <is>
          <t>2026-07-06 16:44:27</t>
        </is>
      </c>
      <c r="E915" s="3" t="inlineStr">
        <is>
          <t>2026-07-07 12:19</t>
        </is>
      </c>
      <c r="F915" s="3" t="n">
        <v>0.67</v>
      </c>
      <c r="G915" s="3" t="n">
        <v>1</v>
      </c>
      <c r="H915" s="3" t="n"/>
      <c r="I915" s="3" t="inlineStr"/>
      <c r="J915" s="3" t="inlineStr">
        <is>
          <t>Keeta</t>
        </is>
      </c>
      <c r="K915" s="3" t="inlineStr">
        <is>
          <t>****9568</t>
        </is>
      </c>
      <c r="L915" s="3" t="n"/>
      <c r="M915" s="3" t="inlineStr">
        <is>
          <t>***** 物流中心5樓</t>
        </is>
      </c>
      <c r="N915" s="3" t="inlineStr">
        <is>
          <t>北区</t>
        </is>
      </c>
      <c r="O915" s="3" t="inlineStr">
        <is>
          <t>香港</t>
        </is>
      </c>
      <c r="P915" s="3" t="inlineStr">
        <is>
          <t>香港特别行政区</t>
        </is>
      </c>
      <c r="Q915" s="3" t="n">
        <v>481220</v>
      </c>
      <c r="R915" s="3" t="inlineStr">
        <is>
          <t>川婆婆（觀塘廣場店）（老字號香港首間麻辣燙冒菜川菜)</t>
        </is>
      </c>
      <c r="S915" s="3" t="inlineStr">
        <is>
          <t>****55938885</t>
        </is>
      </c>
      <c r="T915" s="3" t="inlineStr">
        <is>
          <t>****55938885</t>
        </is>
      </c>
      <c r="U915" s="3" t="inlineStr">
        <is>
          <t>***** -G25號舖</t>
        </is>
      </c>
      <c r="V915" s="3" t="inlineStr">
        <is>
          <t>香港</t>
        </is>
      </c>
      <c r="W915" s="3" t="inlineStr">
        <is>
          <t>机纸/小票纸 / 包出</t>
        </is>
      </c>
      <c r="X915" s="3" t="inlineStr">
        <is>
          <t>ESS-SFTS-OTMS</t>
        </is>
      </c>
      <c r="Y915" s="3" t="n"/>
      <c r="Z915" s="3" t="inlineStr"/>
      <c r="AA915" s="3" t="inlineStr">
        <is>
          <t>寄付月結</t>
        </is>
      </c>
      <c r="AB915">
        <f>IFERROR(VLOOKUP(Q915&amp;"",對照表!$A:$B,1,FALSE),"")</f>
        <v/>
      </c>
      <c r="AC915">
        <f>IFERROR(VLOOKUP(Q915&amp;"",對照表!$A:$B,2,FALSE),"")</f>
        <v/>
      </c>
    </row>
    <row r="916">
      <c r="A916" s="3" t="inlineStr">
        <is>
          <t>SF5113427654468</t>
        </is>
      </c>
      <c r="B916" s="3" t="n">
        <v>58435485696124</v>
      </c>
      <c r="C916" s="3" t="inlineStr">
        <is>
          <t>已簽收</t>
        </is>
      </c>
      <c r="D916" s="3" t="inlineStr">
        <is>
          <t>2026-07-06 16:44:25</t>
        </is>
      </c>
      <c r="E916" s="3" t="inlineStr">
        <is>
          <t>2026-07-07 13:31</t>
        </is>
      </c>
      <c r="F916" s="3" t="n">
        <v>4.45</v>
      </c>
      <c r="G916" s="3" t="n">
        <v>1</v>
      </c>
      <c r="H916" s="3" t="n"/>
      <c r="I916" s="3" t="inlineStr"/>
      <c r="J916" s="3" t="inlineStr">
        <is>
          <t>Keeta</t>
        </is>
      </c>
      <c r="K916" s="3" t="inlineStr">
        <is>
          <t>****9568</t>
        </is>
      </c>
      <c r="L916" s="3" t="n"/>
      <c r="M916" s="3" t="inlineStr">
        <is>
          <t>***** 物流中心5樓</t>
        </is>
      </c>
      <c r="N916" s="3" t="inlineStr">
        <is>
          <t>北区</t>
        </is>
      </c>
      <c r="O916" s="3" t="inlineStr">
        <is>
          <t>香港</t>
        </is>
      </c>
      <c r="P916" s="3" t="inlineStr">
        <is>
          <t>香港特别行政区</t>
        </is>
      </c>
      <c r="Q916" s="3" t="n">
        <v>604180</v>
      </c>
      <c r="R916" s="3" t="inlineStr">
        <is>
          <t>石磨樂豆Jollibean（元朗店）</t>
        </is>
      </c>
      <c r="S916" s="3" t="inlineStr">
        <is>
          <t>****95271662</t>
        </is>
      </c>
      <c r="T916" s="3" t="inlineStr">
        <is>
          <t>****95271662</t>
        </is>
      </c>
      <c r="U916" s="3" t="inlineStr">
        <is>
          <t>***** B180號舖</t>
        </is>
      </c>
      <c r="V916" s="3" t="inlineStr">
        <is>
          <t>香港</t>
        </is>
      </c>
      <c r="W916" s="3" t="inlineStr">
        <is>
          <t>机纸/小票纸 / 包出</t>
        </is>
      </c>
      <c r="X916" s="3" t="inlineStr">
        <is>
          <t>ESS-SFTS-OTMS</t>
        </is>
      </c>
      <c r="Y916" s="3" t="n"/>
      <c r="Z916" s="3" t="inlineStr"/>
      <c r="AA916" s="3" t="inlineStr">
        <is>
          <t>寄付月結</t>
        </is>
      </c>
      <c r="AB916">
        <f>IFERROR(VLOOKUP(Q916&amp;"",對照表!$A:$B,1,FALSE),"")</f>
        <v/>
      </c>
      <c r="AC916">
        <f>IFERROR(VLOOKUP(Q916&amp;"",對照表!$A:$B,2,FALSE),"")</f>
        <v/>
      </c>
    </row>
    <row r="917">
      <c r="A917" s="3" t="inlineStr">
        <is>
          <t>SF5113427654380</t>
        </is>
      </c>
      <c r="B917" s="3" t="n">
        <v>58435485696108</v>
      </c>
      <c r="C917" s="3" t="inlineStr">
        <is>
          <t>已簽收</t>
        </is>
      </c>
      <c r="D917" s="3" t="inlineStr">
        <is>
          <t>2026-07-06 16:28:26</t>
        </is>
      </c>
      <c r="E917" s="3" t="inlineStr">
        <is>
          <t>2026-07-07 11:20</t>
        </is>
      </c>
      <c r="F917" s="3" t="n">
        <v>29</v>
      </c>
      <c r="G917" s="3" t="n">
        <v>2</v>
      </c>
      <c r="H917" s="3" t="n"/>
      <c r="I917" s="3" t="inlineStr"/>
      <c r="J917" s="3" t="inlineStr">
        <is>
          <t>Keeta</t>
        </is>
      </c>
      <c r="K917" s="3" t="inlineStr">
        <is>
          <t>****9568</t>
        </is>
      </c>
      <c r="L917" s="3" t="n"/>
      <c r="M917" s="3" t="inlineStr">
        <is>
          <t>***** 物流中心5樓</t>
        </is>
      </c>
      <c r="N917" s="3" t="inlineStr">
        <is>
          <t>北区</t>
        </is>
      </c>
      <c r="O917" s="3" t="inlineStr">
        <is>
          <t>香港</t>
        </is>
      </c>
      <c r="P917" s="3" t="inlineStr">
        <is>
          <t>香港特别行政区</t>
        </is>
      </c>
      <c r="Q917" s="3" t="n">
        <v>721520365</v>
      </c>
      <c r="R917" s="3" t="inlineStr">
        <is>
          <t>麥當勞(青山道)McDonalds</t>
        </is>
      </c>
      <c r="S917" s="3" t="inlineStr">
        <is>
          <t>****27088169</t>
        </is>
      </c>
      <c r="T917" s="3" t="inlineStr">
        <is>
          <t>****27088169</t>
        </is>
      </c>
      <c r="U917" s="3" t="inlineStr">
        <is>
          <t>***** 閣地下及一樓</t>
        </is>
      </c>
      <c r="V917" s="3" t="inlineStr">
        <is>
          <t>香港</t>
        </is>
      </c>
      <c r="W917" s="3" t="inlineStr">
        <is>
          <t>纸袋【通版】/ 箱出</t>
        </is>
      </c>
      <c r="X917" s="3" t="inlineStr">
        <is>
          <t>ESS-SFTS-OTMS</t>
        </is>
      </c>
      <c r="Y917" s="3" t="n"/>
      <c r="Z917" s="3" t="inlineStr"/>
      <c r="AA917" s="3" t="inlineStr">
        <is>
          <t>寄付月結</t>
        </is>
      </c>
      <c r="AB917">
        <f>IFERROR(VLOOKUP(Q917&amp;"",對照表!$A:$B,1,FALSE),"")</f>
        <v/>
      </c>
      <c r="AC917">
        <f>IFERROR(VLOOKUP(Q917&amp;"",對照表!$A:$B,2,FALSE),"")</f>
        <v/>
      </c>
    </row>
    <row r="918">
      <c r="A918" s="3" t="inlineStr">
        <is>
          <t>SF5113427654495</t>
        </is>
      </c>
      <c r="B918" s="3" t="n">
        <v>58435485696132</v>
      </c>
      <c r="C918" s="3" t="inlineStr">
        <is>
          <t>已簽收</t>
        </is>
      </c>
      <c r="D918" s="3" t="inlineStr">
        <is>
          <t>2026-07-06 16:44:23</t>
        </is>
      </c>
      <c r="E918" s="3" t="inlineStr">
        <is>
          <t>2026-07-07 12:50</t>
        </is>
      </c>
      <c r="F918" s="3" t="n">
        <v>4.45</v>
      </c>
      <c r="G918" s="3" t="n">
        <v>1</v>
      </c>
      <c r="H918" s="3" t="n"/>
      <c r="I918" s="3" t="inlineStr"/>
      <c r="J918" s="3" t="inlineStr">
        <is>
          <t>Keeta</t>
        </is>
      </c>
      <c r="K918" s="3" t="inlineStr">
        <is>
          <t>****9568</t>
        </is>
      </c>
      <c r="L918" s="3" t="n"/>
      <c r="M918" s="3" t="inlineStr">
        <is>
          <t>***** 物流中心5樓</t>
        </is>
      </c>
      <c r="N918" s="3" t="inlineStr">
        <is>
          <t>北区</t>
        </is>
      </c>
      <c r="O918" s="3" t="inlineStr">
        <is>
          <t>香港</t>
        </is>
      </c>
      <c r="P918" s="3" t="inlineStr">
        <is>
          <t>香港特别行政区</t>
        </is>
      </c>
      <c r="Q918" s="3" t="n">
        <v>721425303</v>
      </c>
      <c r="R918" s="3" t="inlineStr">
        <is>
          <t>許記滷味大王</t>
        </is>
      </c>
      <c r="S918" s="3" t="inlineStr">
        <is>
          <t>****63009768</t>
        </is>
      </c>
      <c r="T918" s="3" t="inlineStr">
        <is>
          <t>****63009768</t>
        </is>
      </c>
      <c r="U918" s="3" t="inlineStr">
        <is>
          <t>***** ROADKL</t>
        </is>
      </c>
      <c r="V918" s="3" t="inlineStr">
        <is>
          <t>香港</t>
        </is>
      </c>
      <c r="W918" s="3" t="inlineStr">
        <is>
          <t>机纸/小票纸 / 包出</t>
        </is>
      </c>
      <c r="X918" s="3" t="inlineStr">
        <is>
          <t>ESS-SFTS-OTMS</t>
        </is>
      </c>
      <c r="Y918" s="3" t="n"/>
      <c r="Z918" s="3" t="inlineStr"/>
      <c r="AA918" s="3" t="inlineStr">
        <is>
          <t>寄付月結</t>
        </is>
      </c>
      <c r="AB918">
        <f>IFERROR(VLOOKUP(Q918&amp;"",對照表!$A:$B,1,FALSE),"")</f>
        <v/>
      </c>
      <c r="AC918">
        <f>IFERROR(VLOOKUP(Q918&amp;"",對照表!$A:$B,2,FALSE),"")</f>
        <v/>
      </c>
    </row>
    <row r="919">
      <c r="A919" s="3" t="inlineStr">
        <is>
          <t>SF5113427654265</t>
        </is>
      </c>
      <c r="B919" s="3" t="n">
        <v>58435485696084</v>
      </c>
      <c r="C919" s="3" t="inlineStr">
        <is>
          <t>已簽收</t>
        </is>
      </c>
      <c r="D919" s="3" t="inlineStr">
        <is>
          <t>2026-07-06 17:48:48</t>
        </is>
      </c>
      <c r="E919" s="3" t="inlineStr">
        <is>
          <t>2026-07-07 11:49</t>
        </is>
      </c>
      <c r="F919" s="3" t="n">
        <v>14</v>
      </c>
      <c r="G919" s="3" t="n">
        <v>2</v>
      </c>
      <c r="H919" s="3" t="n"/>
      <c r="I919" s="3" t="inlineStr"/>
      <c r="J919" s="3" t="inlineStr">
        <is>
          <t>Keeta</t>
        </is>
      </c>
      <c r="K919" s="3" t="inlineStr">
        <is>
          <t>****9568</t>
        </is>
      </c>
      <c r="L919" s="3" t="n"/>
      <c r="M919" s="3" t="inlineStr">
        <is>
          <t>***** 物流中心5樓</t>
        </is>
      </c>
      <c r="N919" s="3" t="inlineStr">
        <is>
          <t>北区</t>
        </is>
      </c>
      <c r="O919" s="3" t="inlineStr">
        <is>
          <t>香港</t>
        </is>
      </c>
      <c r="P919" s="3" t="inlineStr">
        <is>
          <t>香港特别行政区</t>
        </is>
      </c>
      <c r="Q919" s="3" t="n">
        <v>678422</v>
      </c>
      <c r="R919" s="3" t="inlineStr">
        <is>
          <t>BLOOMSCOFFEE(K11Musea)</t>
        </is>
      </c>
      <c r="S919" s="3" t="inlineStr">
        <is>
          <t>****26339383</t>
        </is>
      </c>
      <c r="T919" s="3" t="inlineStr">
        <is>
          <t>****26339383</t>
        </is>
      </c>
      <c r="U919" s="3" t="inlineStr">
        <is>
          <t>***** 樓327號舖</t>
        </is>
      </c>
      <c r="V919" s="3" t="inlineStr">
        <is>
          <t>香港</t>
        </is>
      </c>
      <c r="W919" s="3" t="inlineStr">
        <is>
          <t>无纺布【规格二双杯】/ 箱出, 无纺布【规格一单杯】/ 箱出</t>
        </is>
      </c>
      <c r="X919" s="3" t="inlineStr">
        <is>
          <t>ESS-SFTS-OTMS</t>
        </is>
      </c>
      <c r="Y919" s="3" t="n"/>
      <c r="Z919" s="3" t="inlineStr"/>
      <c r="AA919" s="3" t="inlineStr">
        <is>
          <t>寄付月結</t>
        </is>
      </c>
      <c r="AB919">
        <f>IFERROR(VLOOKUP(Q919&amp;"",對照表!$A:$B,1,FALSE),"")</f>
        <v/>
      </c>
      <c r="AC919">
        <f>IFERROR(VLOOKUP(Q919&amp;"",對照表!$A:$B,2,FALSE),"")</f>
        <v/>
      </c>
    </row>
    <row r="920">
      <c r="A920" s="3" t="inlineStr">
        <is>
          <t>SF5113427654274</t>
        </is>
      </c>
      <c r="B920" s="3" t="n">
        <v>58435485696086</v>
      </c>
      <c r="C920" s="3" t="inlineStr">
        <is>
          <t>已簽收</t>
        </is>
      </c>
      <c r="D920" s="3" t="inlineStr">
        <is>
          <t>2026-07-06 16:28:10</t>
        </is>
      </c>
      <c r="E920" s="3" t="inlineStr">
        <is>
          <t>2026-07-07 09:58</t>
        </is>
      </c>
      <c r="F920" s="3" t="n">
        <v>29</v>
      </c>
      <c r="G920" s="3" t="n">
        <v>2</v>
      </c>
      <c r="H920" s="3" t="n"/>
      <c r="I920" s="3" t="inlineStr"/>
      <c r="J920" s="3" t="inlineStr">
        <is>
          <t>Keeta</t>
        </is>
      </c>
      <c r="K920" s="3" t="inlineStr">
        <is>
          <t>****9568</t>
        </is>
      </c>
      <c r="L920" s="3" t="n"/>
      <c r="M920" s="3" t="inlineStr">
        <is>
          <t>***** 物流中心5樓</t>
        </is>
      </c>
      <c r="N920" s="3" t="inlineStr">
        <is>
          <t>北区</t>
        </is>
      </c>
      <c r="O920" s="3" t="inlineStr">
        <is>
          <t>香港</t>
        </is>
      </c>
      <c r="P920" s="3" t="inlineStr">
        <is>
          <t>香港特别行政区</t>
        </is>
      </c>
      <c r="Q920" s="3" t="n">
        <v>471760</v>
      </c>
      <c r="R920" s="3" t="inlineStr">
        <is>
          <t>麥當勞(鯉魚門廣場)McDonalds</t>
        </is>
      </c>
      <c r="S920" s="3" t="inlineStr">
        <is>
          <t>****31940307</t>
        </is>
      </c>
      <c r="T920" s="3" t="inlineStr">
        <is>
          <t>****31940307</t>
        </is>
      </c>
      <c r="U920" s="3" t="inlineStr">
        <is>
          <t>***** 201號舖位</t>
        </is>
      </c>
      <c r="V920" s="3" t="inlineStr">
        <is>
          <t>香港</t>
        </is>
      </c>
      <c r="W920" s="3" t="inlineStr">
        <is>
          <t>纸袋【通版】/ 箱出</t>
        </is>
      </c>
      <c r="X920" s="3" t="inlineStr">
        <is>
          <t>ESS-SFTS-OTMS</t>
        </is>
      </c>
      <c r="Y920" s="3" t="n"/>
      <c r="Z920" s="3" t="inlineStr"/>
      <c r="AA920" s="3" t="inlineStr">
        <is>
          <t>寄付月結</t>
        </is>
      </c>
      <c r="AB920">
        <f>IFERROR(VLOOKUP(Q920&amp;"",對照表!$A:$B,1,FALSE),"")</f>
        <v/>
      </c>
      <c r="AC920">
        <f>IFERROR(VLOOKUP(Q920&amp;"",對照表!$A:$B,2,FALSE),"")</f>
        <v/>
      </c>
    </row>
    <row r="921">
      <c r="A921" s="3" t="inlineStr">
        <is>
          <t>SF5113427654353</t>
        </is>
      </c>
      <c r="B921" s="3" t="n">
        <v>58435485696103</v>
      </c>
      <c r="C921" s="3" t="inlineStr">
        <is>
          <t>已簽收</t>
        </is>
      </c>
      <c r="D921" s="3" t="inlineStr">
        <is>
          <t>2026-07-06 17:05:45</t>
        </is>
      </c>
      <c r="E921" s="3" t="inlineStr">
        <is>
          <t>2026-07-07 11:31</t>
        </is>
      </c>
      <c r="F921" s="3" t="n">
        <v>2.36</v>
      </c>
      <c r="G921" s="3" t="n">
        <v>1</v>
      </c>
      <c r="H921" s="3" t="n"/>
      <c r="I921" s="3" t="inlineStr"/>
      <c r="J921" s="3" t="inlineStr">
        <is>
          <t>Keeta</t>
        </is>
      </c>
      <c r="K921" s="3" t="inlineStr">
        <is>
          <t>****9568</t>
        </is>
      </c>
      <c r="L921" s="3" t="n"/>
      <c r="M921" s="3" t="inlineStr">
        <is>
          <t>***** 物流中心5樓</t>
        </is>
      </c>
      <c r="N921" s="3" t="inlineStr">
        <is>
          <t>北区</t>
        </is>
      </c>
      <c r="O921" s="3" t="inlineStr">
        <is>
          <t>香港</t>
        </is>
      </c>
      <c r="P921" s="3" t="inlineStr">
        <is>
          <t>香港特别行政区</t>
        </is>
      </c>
      <c r="Q921" s="3" t="n">
        <v>491056</v>
      </c>
      <c r="R921" s="3" t="inlineStr">
        <is>
          <t>炙Aburi(壽司刺身專門店)</t>
        </is>
      </c>
      <c r="S921" s="3" t="inlineStr">
        <is>
          <t>****91569084</t>
        </is>
      </c>
      <c r="T921" s="3" t="inlineStr">
        <is>
          <t>****91569084</t>
        </is>
      </c>
      <c r="U921" s="3" t="inlineStr">
        <is>
          <t>***** 德寶大廈地下</t>
        </is>
      </c>
      <c r="V921" s="3" t="inlineStr">
        <is>
          <t>香港</t>
        </is>
      </c>
      <c r="W921" s="3" t="inlineStr">
        <is>
          <t>机纸/小票纸 / 包出</t>
        </is>
      </c>
      <c r="X921" s="3" t="inlineStr">
        <is>
          <t>ESS-SFTS-OTMS</t>
        </is>
      </c>
      <c r="Y921" s="3" t="n"/>
      <c r="Z921" s="3" t="inlineStr"/>
      <c r="AA921" s="3" t="inlineStr">
        <is>
          <t>寄付月結</t>
        </is>
      </c>
      <c r="AB921">
        <f>IFERROR(VLOOKUP(Q921&amp;"",對照表!$A:$B,1,FALSE),"")</f>
        <v/>
      </c>
      <c r="AC921">
        <f>IFERROR(VLOOKUP(Q921&amp;"",對照表!$A:$B,2,FALSE),"")</f>
        <v/>
      </c>
    </row>
    <row r="922">
      <c r="A922" s="3" t="inlineStr">
        <is>
          <t>SF5113427647503</t>
        </is>
      </c>
      <c r="B922" s="3" t="n">
        <v>58435485597771</v>
      </c>
      <c r="C922" s="3" t="inlineStr">
        <is>
          <t>已簽收</t>
        </is>
      </c>
      <c r="D922" s="3" t="inlineStr">
        <is>
          <t>2026-07-06 16:45:45</t>
        </is>
      </c>
      <c r="E922" s="3" t="inlineStr">
        <is>
          <t>2026-07-07 11:07</t>
        </is>
      </c>
      <c r="F922" s="3" t="n">
        <v>0.67</v>
      </c>
      <c r="G922" s="3" t="n">
        <v>1</v>
      </c>
      <c r="H922" s="3" t="n"/>
      <c r="I922" s="3" t="inlineStr"/>
      <c r="J922" s="3" t="inlineStr">
        <is>
          <t>Keeta</t>
        </is>
      </c>
      <c r="K922" s="3" t="inlineStr">
        <is>
          <t>****9568</t>
        </is>
      </c>
      <c r="L922" s="3" t="n"/>
      <c r="M922" s="3" t="inlineStr">
        <is>
          <t>***** 物流中心5樓</t>
        </is>
      </c>
      <c r="N922" s="3" t="inlineStr">
        <is>
          <t>北区</t>
        </is>
      </c>
      <c r="O922" s="3" t="inlineStr">
        <is>
          <t>香港</t>
        </is>
      </c>
      <c r="P922" s="3" t="inlineStr">
        <is>
          <t>香港特别行政区</t>
        </is>
      </c>
      <c r="Q922" s="3" t="n">
        <v>573317</v>
      </c>
      <c r="R922" s="3" t="inlineStr">
        <is>
          <t>添寶手撕雞(天盛商場)</t>
        </is>
      </c>
      <c r="S922" s="3" t="inlineStr">
        <is>
          <t>****92777376</t>
        </is>
      </c>
      <c r="T922" s="3" t="inlineStr">
        <is>
          <t>****92777376</t>
        </is>
      </c>
      <c r="U922" s="3" t="inlineStr">
        <is>
          <t>*****  326號舖</t>
        </is>
      </c>
      <c r="V922" s="3" t="inlineStr">
        <is>
          <t>香港</t>
        </is>
      </c>
      <c r="W922" s="3" t="inlineStr">
        <is>
          <t>机纸/小票纸 / 包出</t>
        </is>
      </c>
      <c r="X922" s="3" t="inlineStr">
        <is>
          <t>ESS-SFTS-OTMS</t>
        </is>
      </c>
      <c r="Y922" s="3" t="n"/>
      <c r="Z922" s="3" t="inlineStr"/>
      <c r="AA922" s="3" t="inlineStr">
        <is>
          <t>寄付月結</t>
        </is>
      </c>
      <c r="AB922">
        <f>IFERROR(VLOOKUP(Q922&amp;"",對照表!$A:$B,1,FALSE),"")</f>
        <v/>
      </c>
      <c r="AC922">
        <f>IFERROR(VLOOKUP(Q922&amp;"",對照表!$A:$B,2,FALSE),"")</f>
        <v/>
      </c>
    </row>
    <row r="923">
      <c r="A923" s="3" t="inlineStr">
        <is>
          <t>SF5113427647488</t>
        </is>
      </c>
      <c r="B923" s="3" t="n">
        <v>58435485597767</v>
      </c>
      <c r="C923" s="3" t="inlineStr">
        <is>
          <t>已簽收</t>
        </is>
      </c>
      <c r="D923" s="3" t="inlineStr">
        <is>
          <t>2026-07-06 17:04:45</t>
        </is>
      </c>
      <c r="E923" s="3" t="inlineStr">
        <is>
          <t>2026-07-07 12:33</t>
        </is>
      </c>
      <c r="F923" s="3" t="n">
        <v>2.36</v>
      </c>
      <c r="G923" s="3" t="n">
        <v>1</v>
      </c>
      <c r="H923" s="3" t="n"/>
      <c r="I923" s="3" t="inlineStr"/>
      <c r="J923" s="3" t="inlineStr">
        <is>
          <t>Keeta</t>
        </is>
      </c>
      <c r="K923" s="3" t="inlineStr">
        <is>
          <t>****9568</t>
        </is>
      </c>
      <c r="L923" s="3" t="n"/>
      <c r="M923" s="3" t="inlineStr">
        <is>
          <t>***** 物流中心5樓</t>
        </is>
      </c>
      <c r="N923" s="3" t="inlineStr">
        <is>
          <t>北区</t>
        </is>
      </c>
      <c r="O923" s="3" t="inlineStr">
        <is>
          <t>香港</t>
        </is>
      </c>
      <c r="P923" s="3" t="inlineStr">
        <is>
          <t>香港特别行政区</t>
        </is>
      </c>
      <c r="Q923" s="3" t="n">
        <v>468569</v>
      </c>
      <c r="R923" s="3" t="inlineStr">
        <is>
          <t>兩草(威德閣)</t>
        </is>
      </c>
      <c r="S923" s="3" t="inlineStr">
        <is>
          <t>****31021938</t>
        </is>
      </c>
      <c r="T923" s="3" t="inlineStr">
        <is>
          <t>****31021938</t>
        </is>
      </c>
      <c r="U923" s="3" t="inlineStr">
        <is>
          <t>***** 閣地下6號舖</t>
        </is>
      </c>
      <c r="V923" s="3" t="inlineStr">
        <is>
          <t>香港</t>
        </is>
      </c>
      <c r="W923" s="3" t="inlineStr">
        <is>
          <t>机纸/小票纸 / 包出</t>
        </is>
      </c>
      <c r="X923" s="3" t="inlineStr">
        <is>
          <t>ESS-SFTS-OTMS</t>
        </is>
      </c>
      <c r="Y923" s="3" t="n"/>
      <c r="Z923" s="3" t="inlineStr"/>
      <c r="AA923" s="3" t="inlineStr">
        <is>
          <t>寄付月結</t>
        </is>
      </c>
      <c r="AB923">
        <f>IFERROR(VLOOKUP(Q923&amp;"",對照表!$A:$B,1,FALSE),"")</f>
        <v/>
      </c>
      <c r="AC923">
        <f>IFERROR(VLOOKUP(Q923&amp;"",對照表!$A:$B,2,FALSE),"")</f>
        <v/>
      </c>
    </row>
    <row r="924">
      <c r="A924" s="3" t="inlineStr">
        <is>
          <t>SF5113427647415</t>
        </is>
      </c>
      <c r="B924" s="3" t="n">
        <v>58435485597750</v>
      </c>
      <c r="C924" s="3" t="inlineStr">
        <is>
          <t>已簽收</t>
        </is>
      </c>
      <c r="D924" s="3" t="inlineStr">
        <is>
          <t>2026-07-06 16:01:33</t>
        </is>
      </c>
      <c r="E924" s="3" t="inlineStr">
        <is>
          <t>2026-07-07 11:37</t>
        </is>
      </c>
      <c r="F924" s="3" t="n">
        <v>4.45</v>
      </c>
      <c r="G924" s="3" t="n">
        <v>1</v>
      </c>
      <c r="H924" s="3" t="n"/>
      <c r="I924" s="3" t="inlineStr"/>
      <c r="J924" s="3" t="inlineStr">
        <is>
          <t>Keeta</t>
        </is>
      </c>
      <c r="K924" s="3" t="inlineStr">
        <is>
          <t>****9568</t>
        </is>
      </c>
      <c r="L924" s="3" t="n"/>
      <c r="M924" s="3" t="inlineStr">
        <is>
          <t>***** 物流中心5樓</t>
        </is>
      </c>
      <c r="N924" s="3" t="inlineStr">
        <is>
          <t>北区</t>
        </is>
      </c>
      <c r="O924" s="3" t="inlineStr">
        <is>
          <t>香港</t>
        </is>
      </c>
      <c r="P924" s="3" t="inlineStr">
        <is>
          <t>香港特别行政区</t>
        </is>
      </c>
      <c r="Q924" s="3" t="n">
        <v>721444386</v>
      </c>
      <c r="R924" s="3" t="inlineStr">
        <is>
          <t>廣麵子(銅鑼灣)承傳老味道香港新鮮做</t>
        </is>
      </c>
      <c r="S924" s="3" t="inlineStr">
        <is>
          <t>****23823832</t>
        </is>
      </c>
      <c r="T924" s="3" t="inlineStr">
        <is>
          <t>****23823832</t>
        </is>
      </c>
      <c r="U924" s="3" t="inlineStr">
        <is>
          <t>***** 廈地下C號舖</t>
        </is>
      </c>
      <c r="V924" s="3" t="inlineStr">
        <is>
          <t>香港</t>
        </is>
      </c>
      <c r="W924" s="3" t="inlineStr">
        <is>
          <t>机纸/小票纸 / 包出</t>
        </is>
      </c>
      <c r="X924" s="3" t="inlineStr">
        <is>
          <t>ESS-SFTS-OTMS</t>
        </is>
      </c>
      <c r="Y924" s="3" t="n"/>
      <c r="Z924" s="3" t="inlineStr"/>
      <c r="AA924" s="3" t="inlineStr">
        <is>
          <t>寄付月結</t>
        </is>
      </c>
      <c r="AB924">
        <f>IFERROR(VLOOKUP(Q924&amp;"",對照表!$A:$B,1,FALSE),"")</f>
        <v/>
      </c>
      <c r="AC924">
        <f>IFERROR(VLOOKUP(Q924&amp;"",對照表!$A:$B,2,FALSE),"")</f>
        <v/>
      </c>
    </row>
    <row r="925">
      <c r="A925" s="3" t="inlineStr">
        <is>
          <t>SF5113427647760</t>
        </is>
      </c>
      <c r="B925" s="3" t="n">
        <v>58435485597836</v>
      </c>
      <c r="C925" s="3" t="inlineStr">
        <is>
          <t>已簽收</t>
        </is>
      </c>
      <c r="D925" s="3" t="inlineStr">
        <is>
          <t>2026-07-06 17:08:29</t>
        </is>
      </c>
      <c r="E925" s="3" t="inlineStr">
        <is>
          <t>2026-07-07 09:47</t>
        </is>
      </c>
      <c r="F925" s="3" t="n">
        <v>1.5</v>
      </c>
      <c r="G925" s="3" t="n">
        <v>1</v>
      </c>
      <c r="H925" s="3" t="n"/>
      <c r="I925" s="3" t="inlineStr"/>
      <c r="J925" s="3" t="inlineStr">
        <is>
          <t>Keeta</t>
        </is>
      </c>
      <c r="K925" s="3" t="inlineStr">
        <is>
          <t>****9568</t>
        </is>
      </c>
      <c r="L925" s="3" t="n"/>
      <c r="M925" s="3" t="inlineStr">
        <is>
          <t>***** 物流中心5樓</t>
        </is>
      </c>
      <c r="N925" s="3" t="inlineStr">
        <is>
          <t>北区</t>
        </is>
      </c>
      <c r="O925" s="3" t="inlineStr">
        <is>
          <t>香港</t>
        </is>
      </c>
      <c r="P925" s="3" t="inlineStr">
        <is>
          <t>香港特别行政区</t>
        </is>
      </c>
      <c r="Q925" s="3" t="n">
        <v>721520312</v>
      </c>
      <c r="R925" s="3" t="inlineStr">
        <is>
          <t>Ming Sun Noodles</t>
        </is>
      </c>
      <c r="S925" s="3" t="inlineStr">
        <is>
          <t>****69233880</t>
        </is>
      </c>
      <c r="T925" s="3" t="inlineStr">
        <is>
          <t>****69233880</t>
        </is>
      </c>
      <c r="U925" s="3" t="inlineStr">
        <is>
          <t>***** 室18號廚房</t>
        </is>
      </c>
      <c r="V925" s="3" t="inlineStr">
        <is>
          <t>香港</t>
        </is>
      </c>
      <c r="W925" s="3" t="inlineStr">
        <is>
          <t>机纸/小票纸 / 包出</t>
        </is>
      </c>
      <c r="X925" s="3" t="inlineStr">
        <is>
          <t>ESS-SFTS-OTMS</t>
        </is>
      </c>
      <c r="Y925" s="3" t="n"/>
      <c r="Z925" s="3" t="inlineStr"/>
      <c r="AA925" s="3" t="inlineStr">
        <is>
          <t>寄付月結</t>
        </is>
      </c>
      <c r="AB925">
        <f>IFERROR(VLOOKUP(Q925&amp;"",對照表!$A:$B,1,FALSE),"")</f>
        <v/>
      </c>
      <c r="AC925">
        <f>IFERROR(VLOOKUP(Q925&amp;"",對照表!$A:$B,2,FALSE),"")</f>
        <v/>
      </c>
    </row>
    <row r="926">
      <c r="A926" s="3" t="inlineStr">
        <is>
          <t>SF5113427647706</t>
        </is>
      </c>
      <c r="B926" s="3" t="n">
        <v>58435485597822</v>
      </c>
      <c r="C926" s="3" t="inlineStr">
        <is>
          <t>已簽收</t>
        </is>
      </c>
      <c r="D926" s="3" t="inlineStr">
        <is>
          <t>2026-07-06 16:01:49</t>
        </is>
      </c>
      <c r="E926" s="3" t="inlineStr">
        <is>
          <t>2026-07-07 10:15</t>
        </is>
      </c>
      <c r="F926" s="3" t="n">
        <v>4.45</v>
      </c>
      <c r="G926" s="3" t="n">
        <v>1</v>
      </c>
      <c r="H926" s="3" t="n"/>
      <c r="I926" s="3" t="inlineStr"/>
      <c r="J926" s="3" t="inlineStr">
        <is>
          <t>Keeta</t>
        </is>
      </c>
      <c r="K926" s="3" t="inlineStr">
        <is>
          <t>****9568</t>
        </is>
      </c>
      <c r="L926" s="3" t="n"/>
      <c r="M926" s="3" t="inlineStr">
        <is>
          <t>***** 物流中心5樓</t>
        </is>
      </c>
      <c r="N926" s="3" t="inlineStr">
        <is>
          <t>北区</t>
        </is>
      </c>
      <c r="O926" s="3" t="inlineStr">
        <is>
          <t>香港</t>
        </is>
      </c>
      <c r="P926" s="3" t="inlineStr">
        <is>
          <t>香港特别行政区</t>
        </is>
      </c>
      <c r="Q926" s="3" t="n">
        <v>457431</v>
      </c>
      <c r="R926" s="3" t="inlineStr">
        <is>
          <t>PizzaHut必勝客(啟德零售館3)</t>
        </is>
      </c>
      <c r="S926" s="3" t="inlineStr">
        <is>
          <t>****29679828</t>
        </is>
      </c>
      <c r="T926" s="3" t="inlineStr">
        <is>
          <t>****29679828</t>
        </is>
      </c>
      <c r="U926" s="3" t="inlineStr">
        <is>
          <t>***** -204號舖</t>
        </is>
      </c>
      <c r="V926" s="3" t="inlineStr">
        <is>
          <t>香港</t>
        </is>
      </c>
      <c r="W926" s="3" t="inlineStr">
        <is>
          <t>机纸/小票纸 / 包出</t>
        </is>
      </c>
      <c r="X926" s="3" t="inlineStr">
        <is>
          <t>ESS-SFTS-OTMS</t>
        </is>
      </c>
      <c r="Y926" s="3" t="n"/>
      <c r="Z926" s="3" t="inlineStr"/>
      <c r="AA926" s="3" t="inlineStr">
        <is>
          <t>寄付月結</t>
        </is>
      </c>
      <c r="AB926">
        <f>IFERROR(VLOOKUP(Q926&amp;"",對照表!$A:$B,1,FALSE),"")</f>
        <v/>
      </c>
      <c r="AC926">
        <f>IFERROR(VLOOKUP(Q926&amp;"",對照表!$A:$B,2,FALSE),"")</f>
        <v/>
      </c>
    </row>
    <row r="927">
      <c r="A927" s="3" t="inlineStr">
        <is>
          <t>SF5113427647858</t>
        </is>
      </c>
      <c r="B927" s="3" t="n">
        <v>58435485597857</v>
      </c>
      <c r="C927" s="3" t="inlineStr">
        <is>
          <t>已簽收</t>
        </is>
      </c>
      <c r="D927" s="3" t="inlineStr">
        <is>
          <t>2026-07-06 15:18:56</t>
        </is>
      </c>
      <c r="E927" s="3" t="inlineStr">
        <is>
          <t>2026-07-07 10:50</t>
        </is>
      </c>
      <c r="F927" s="3" t="n">
        <v>14.5</v>
      </c>
      <c r="G927" s="3" t="n">
        <v>1</v>
      </c>
      <c r="H927" s="3" t="n"/>
      <c r="I927" s="3" t="inlineStr"/>
      <c r="J927" s="3" t="inlineStr">
        <is>
          <t>Keeta</t>
        </is>
      </c>
      <c r="K927" s="3" t="inlineStr">
        <is>
          <t>****9568</t>
        </is>
      </c>
      <c r="L927" s="3" t="n"/>
      <c r="M927" s="3" t="inlineStr">
        <is>
          <t>***** 物流中心5樓</t>
        </is>
      </c>
      <c r="N927" s="3" t="inlineStr">
        <is>
          <t>北区</t>
        </is>
      </c>
      <c r="O927" s="3" t="inlineStr">
        <is>
          <t>香港</t>
        </is>
      </c>
      <c r="P927" s="3" t="inlineStr">
        <is>
          <t>香港特别行政区</t>
        </is>
      </c>
      <c r="Q927" s="3" t="n">
        <v>567722</v>
      </c>
      <c r="R927" s="3" t="inlineStr">
        <is>
          <t>雲貴軒米線專門店(葵芳廣場)</t>
        </is>
      </c>
      <c r="S927" s="3" t="inlineStr">
        <is>
          <t>****24423388</t>
        </is>
      </c>
      <c r="T927" s="3" t="inlineStr">
        <is>
          <t>****24423388</t>
        </is>
      </c>
      <c r="U927" s="3" t="inlineStr">
        <is>
          <t>***** 111A號舖</t>
        </is>
      </c>
      <c r="V927" s="3" t="inlineStr">
        <is>
          <t>香港</t>
        </is>
      </c>
      <c r="W927" s="3" t="inlineStr">
        <is>
          <t>纸袋【通版】/ 箱出</t>
        </is>
      </c>
      <c r="X927" s="3" t="inlineStr">
        <is>
          <t>ESS-SFTS-OTMS</t>
        </is>
      </c>
      <c r="Y927" s="3" t="n"/>
      <c r="Z927" s="3" t="inlineStr"/>
      <c r="AA927" s="3" t="inlineStr">
        <is>
          <t>寄付月結</t>
        </is>
      </c>
      <c r="AB927">
        <f>IFERROR(VLOOKUP(Q927&amp;"",對照表!$A:$B,1,FALSE),"")</f>
        <v/>
      </c>
      <c r="AC927">
        <f>IFERROR(VLOOKUP(Q927&amp;"",對照表!$A:$B,2,FALSE),"")</f>
        <v/>
      </c>
    </row>
    <row r="928">
      <c r="A928" s="3" t="inlineStr">
        <is>
          <t>SF5113427647919</t>
        </is>
      </c>
      <c r="B928" s="3" t="n">
        <v>58435485597869</v>
      </c>
      <c r="C928" s="3" t="inlineStr">
        <is>
          <t>已簽收</t>
        </is>
      </c>
      <c r="D928" s="3" t="inlineStr">
        <is>
          <t>2026-07-06 17:10:10</t>
        </is>
      </c>
      <c r="E928" s="3" t="inlineStr">
        <is>
          <t>2026-07-07 11:26</t>
        </is>
      </c>
      <c r="F928" s="3" t="n">
        <v>1</v>
      </c>
      <c r="G928" s="3" t="n">
        <v>1</v>
      </c>
      <c r="H928" s="3" t="n"/>
      <c r="I928" s="3" t="inlineStr"/>
      <c r="J928" s="3" t="inlineStr">
        <is>
          <t>Keeta</t>
        </is>
      </c>
      <c r="K928" s="3" t="inlineStr">
        <is>
          <t>****9568</t>
        </is>
      </c>
      <c r="L928" s="3" t="n"/>
      <c r="M928" s="3" t="inlineStr">
        <is>
          <t>***** 物流中心5樓</t>
        </is>
      </c>
      <c r="N928" s="3" t="inlineStr">
        <is>
          <t>北区</t>
        </is>
      </c>
      <c r="O928" s="3" t="inlineStr">
        <is>
          <t>香港</t>
        </is>
      </c>
      <c r="P928" s="3" t="inlineStr">
        <is>
          <t>香港特别行政区</t>
        </is>
      </c>
      <c r="Q928" s="3" t="n">
        <v>721515371</v>
      </c>
      <c r="R928" s="3" t="inlineStr">
        <is>
          <t>麥當勞(創紀之城)</t>
        </is>
      </c>
      <c r="S928" s="3" t="inlineStr">
        <is>
          <t>****22671638</t>
        </is>
      </c>
      <c r="T928" s="3" t="inlineStr">
        <is>
          <t>****22671638</t>
        </is>
      </c>
      <c r="U928" s="3" t="inlineStr">
        <is>
          <t>***** 地下1A單位</t>
        </is>
      </c>
      <c r="V928" s="3" t="inlineStr">
        <is>
          <t>香港</t>
        </is>
      </c>
      <c r="W928" s="3" t="inlineStr">
        <is>
          <t>翻新POS机【真唯】/ 件出</t>
        </is>
      </c>
      <c r="X928" s="3" t="inlineStr">
        <is>
          <t>ESS-SFTS-OTMS</t>
        </is>
      </c>
      <c r="Y928" s="3" t="n"/>
      <c r="Z928" s="3" t="inlineStr"/>
      <c r="AA928" s="3" t="inlineStr">
        <is>
          <t>寄付月結</t>
        </is>
      </c>
      <c r="AB928">
        <f>IFERROR(VLOOKUP(Q928&amp;"",對照表!$A:$B,1,FALSE),"")</f>
        <v/>
      </c>
      <c r="AC928">
        <f>IFERROR(VLOOKUP(Q928&amp;"",對照表!$A:$B,2,FALSE),"")</f>
        <v/>
      </c>
    </row>
    <row r="929">
      <c r="A929" s="3" t="inlineStr">
        <is>
          <t>SF5113427647567</t>
        </is>
      </c>
      <c r="B929" s="3" t="n">
        <v>58435485597785</v>
      </c>
      <c r="C929" s="3" t="inlineStr">
        <is>
          <t>已簽收</t>
        </is>
      </c>
      <c r="D929" s="3" t="inlineStr">
        <is>
          <t>2026-07-06 17:45:41</t>
        </is>
      </c>
      <c r="E929" s="3" t="inlineStr">
        <is>
          <t>2026-07-07 13:05</t>
        </is>
      </c>
      <c r="F929" s="3" t="n">
        <v>0.64</v>
      </c>
      <c r="G929" s="3" t="n">
        <v>1</v>
      </c>
      <c r="H929" s="3" t="n"/>
      <c r="I929" s="3" t="inlineStr"/>
      <c r="J929" s="3" t="inlineStr">
        <is>
          <t>Keeta</t>
        </is>
      </c>
      <c r="K929" s="3" t="inlineStr">
        <is>
          <t>****9568</t>
        </is>
      </c>
      <c r="L929" s="3" t="n"/>
      <c r="M929" s="3" t="inlineStr">
        <is>
          <t>***** 物流中心5樓</t>
        </is>
      </c>
      <c r="N929" s="3" t="inlineStr">
        <is>
          <t>北区</t>
        </is>
      </c>
      <c r="O929" s="3" t="inlineStr">
        <is>
          <t>香港</t>
        </is>
      </c>
      <c r="P929" s="3" t="inlineStr">
        <is>
          <t>香港特别行政区</t>
        </is>
      </c>
      <c r="Q929" s="3" t="n">
        <v>458764</v>
      </c>
      <c r="R929" s="3" t="inlineStr">
        <is>
          <t>citysuperDeli(沙田)</t>
        </is>
      </c>
      <c r="S929" s="3" t="inlineStr">
        <is>
          <t>****22773216</t>
        </is>
      </c>
      <c r="T929" s="3" t="inlineStr">
        <is>
          <t>****22773216</t>
        </is>
      </c>
      <c r="U929" s="3" t="inlineStr">
        <is>
          <t>***** -214號鋪</t>
        </is>
      </c>
      <c r="V929" s="3" t="inlineStr">
        <is>
          <t>香港</t>
        </is>
      </c>
      <c r="W929" s="3" t="inlineStr">
        <is>
          <t>塑料袋【大】/ 扎出</t>
        </is>
      </c>
      <c r="X929" s="3" t="inlineStr">
        <is>
          <t>ESS-SFTS-OTMS</t>
        </is>
      </c>
      <c r="Y929" s="3" t="n"/>
      <c r="Z929" s="3" t="inlineStr"/>
      <c r="AA929" s="3" t="inlineStr">
        <is>
          <t>寄付月結</t>
        </is>
      </c>
      <c r="AB929">
        <f>IFERROR(VLOOKUP(Q929&amp;"",對照表!$A:$B,1,FALSE),"")</f>
        <v/>
      </c>
      <c r="AC929">
        <f>IFERROR(VLOOKUP(Q929&amp;"",對照表!$A:$B,2,FALSE),"")</f>
        <v/>
      </c>
    </row>
    <row r="930">
      <c r="A930" s="3" t="inlineStr">
        <is>
          <t>SF5113427647521</t>
        </is>
      </c>
      <c r="B930" s="3" t="n">
        <v>58435485597779</v>
      </c>
      <c r="C930" s="3" t="inlineStr">
        <is>
          <t>已簽收</t>
        </is>
      </c>
      <c r="D930" s="3" t="inlineStr">
        <is>
          <t>2026-07-06 17:08:31</t>
        </is>
      </c>
      <c r="E930" s="3" t="inlineStr">
        <is>
          <t>2026-07-07 12:09</t>
        </is>
      </c>
      <c r="F930" s="3" t="n">
        <v>3.64</v>
      </c>
      <c r="G930" s="3" t="n">
        <v>1</v>
      </c>
      <c r="H930" s="3" t="n"/>
      <c r="I930" s="3" t="inlineStr"/>
      <c r="J930" s="3" t="inlineStr">
        <is>
          <t>Keeta</t>
        </is>
      </c>
      <c r="K930" s="3" t="inlineStr">
        <is>
          <t>****9568</t>
        </is>
      </c>
      <c r="L930" s="3" t="n"/>
      <c r="M930" s="3" t="inlineStr">
        <is>
          <t>***** 物流中心5樓</t>
        </is>
      </c>
      <c r="N930" s="3" t="inlineStr">
        <is>
          <t>北区</t>
        </is>
      </c>
      <c r="O930" s="3" t="inlineStr">
        <is>
          <t>香港</t>
        </is>
      </c>
      <c r="P930" s="3" t="inlineStr">
        <is>
          <t>香港特别行政区</t>
        </is>
      </c>
      <c r="Q930" s="3" t="n">
        <v>721440332</v>
      </c>
      <c r="R930" s="3" t="inlineStr">
        <is>
          <t>稻香(淘大商場店)</t>
        </is>
      </c>
      <c r="S930" s="3" t="inlineStr">
        <is>
          <t>****83008053</t>
        </is>
      </c>
      <c r="T930" s="3" t="inlineStr">
        <is>
          <t>****83008053</t>
        </is>
      </c>
      <c r="U930" s="3" t="inlineStr">
        <is>
          <t>***** -175號舖</t>
        </is>
      </c>
      <c r="V930" s="3" t="inlineStr">
        <is>
          <t>香港</t>
        </is>
      </c>
      <c r="W930" s="3" t="inlineStr">
        <is>
          <t>机纸/小票纸 / 包出</t>
        </is>
      </c>
      <c r="X930" s="3" t="inlineStr">
        <is>
          <t>ESS-SFTS-OTMS</t>
        </is>
      </c>
      <c r="Y930" s="3" t="n"/>
      <c r="Z930" s="3" t="inlineStr"/>
      <c r="AA930" s="3" t="inlineStr">
        <is>
          <t>寄付月結</t>
        </is>
      </c>
      <c r="AB930">
        <f>IFERROR(VLOOKUP(Q930&amp;"",對照表!$A:$B,1,FALSE),"")</f>
        <v/>
      </c>
      <c r="AC930">
        <f>IFERROR(VLOOKUP(Q930&amp;"",對照表!$A:$B,2,FALSE),"")</f>
        <v/>
      </c>
    </row>
    <row r="931">
      <c r="A931" s="3" t="inlineStr">
        <is>
          <t>SF5113427647733</t>
        </is>
      </c>
      <c r="B931" s="3" t="n">
        <v>58435485597827</v>
      </c>
      <c r="C931" s="3" t="inlineStr">
        <is>
          <t>已簽收</t>
        </is>
      </c>
      <c r="D931" s="3" t="inlineStr">
        <is>
          <t>2026-07-06 16:29:22</t>
        </is>
      </c>
      <c r="E931" s="3" t="inlineStr">
        <is>
          <t>2026-07-07 13:22</t>
        </is>
      </c>
      <c r="F931" s="3" t="n">
        <v>29</v>
      </c>
      <c r="G931" s="3" t="n">
        <v>2</v>
      </c>
      <c r="H931" s="3" t="n"/>
      <c r="I931" s="3" t="inlineStr"/>
      <c r="J931" s="3" t="inlineStr">
        <is>
          <t>Keeta</t>
        </is>
      </c>
      <c r="K931" s="3" t="inlineStr">
        <is>
          <t>****9568</t>
        </is>
      </c>
      <c r="L931" s="3" t="n"/>
      <c r="M931" s="3" t="inlineStr">
        <is>
          <t>***** 物流中心5樓</t>
        </is>
      </c>
      <c r="N931" s="3" t="inlineStr">
        <is>
          <t>北区</t>
        </is>
      </c>
      <c r="O931" s="3" t="inlineStr">
        <is>
          <t>香港</t>
        </is>
      </c>
      <c r="P931" s="3" t="inlineStr">
        <is>
          <t>香港特别行政区</t>
        </is>
      </c>
      <c r="Q931" s="3" t="n">
        <v>491490</v>
      </c>
      <c r="R931" s="3" t="inlineStr">
        <is>
          <t>麥當勞(綠楊坊)McDonalds</t>
        </is>
      </c>
      <c r="S931" s="3" t="inlineStr">
        <is>
          <t>****24022527</t>
        </is>
      </c>
      <c r="T931" s="3" t="inlineStr">
        <is>
          <t>****24022527</t>
        </is>
      </c>
      <c r="U931" s="3" t="inlineStr">
        <is>
          <t>***** S1-2號舖</t>
        </is>
      </c>
      <c r="V931" s="3" t="inlineStr">
        <is>
          <t>香港</t>
        </is>
      </c>
      <c r="W931" s="3" t="inlineStr">
        <is>
          <t>纸袋【通版】/ 箱出</t>
        </is>
      </c>
      <c r="X931" s="3" t="inlineStr">
        <is>
          <t>ESS-SFTS-OTMS</t>
        </is>
      </c>
      <c r="Y931" s="3" t="n"/>
      <c r="Z931" s="3" t="inlineStr"/>
      <c r="AA931" s="3" t="inlineStr">
        <is>
          <t>寄付月結</t>
        </is>
      </c>
      <c r="AB931">
        <f>IFERROR(VLOOKUP(Q931&amp;"",對照表!$A:$B,1,FALSE),"")</f>
        <v/>
      </c>
      <c r="AC931">
        <f>IFERROR(VLOOKUP(Q931&amp;"",對照表!$A:$B,2,FALSE),"")</f>
        <v/>
      </c>
    </row>
    <row r="932">
      <c r="A932" s="3" t="inlineStr">
        <is>
          <t>SF5113427647664</t>
        </is>
      </c>
      <c r="B932" s="3" t="n">
        <v>58435485597815</v>
      </c>
      <c r="C932" s="3" t="inlineStr">
        <is>
          <t>已簽收</t>
        </is>
      </c>
      <c r="D932" s="3" t="inlineStr">
        <is>
          <t>2026-07-06 16:01:52</t>
        </is>
      </c>
      <c r="E932" s="3" t="inlineStr">
        <is>
          <t>2026-07-07 12:48</t>
        </is>
      </c>
      <c r="F932" s="3" t="n">
        <v>4.45</v>
      </c>
      <c r="G932" s="3" t="n">
        <v>1</v>
      </c>
      <c r="H932" s="3" t="n"/>
      <c r="I932" s="3" t="inlineStr"/>
      <c r="J932" s="3" t="inlineStr">
        <is>
          <t>Keeta</t>
        </is>
      </c>
      <c r="K932" s="3" t="inlineStr">
        <is>
          <t>****9568</t>
        </is>
      </c>
      <c r="L932" s="3" t="n"/>
      <c r="M932" s="3" t="inlineStr">
        <is>
          <t>***** 物流中心5樓</t>
        </is>
      </c>
      <c r="N932" s="3" t="inlineStr">
        <is>
          <t>北区</t>
        </is>
      </c>
      <c r="O932" s="3" t="inlineStr">
        <is>
          <t>香港</t>
        </is>
      </c>
      <c r="P932" s="3" t="inlineStr">
        <is>
          <t>香港特别行政区</t>
        </is>
      </c>
      <c r="Q932" s="3" t="n">
        <v>471513</v>
      </c>
      <c r="R932" s="3" t="inlineStr">
        <is>
          <t>魚你相聚酸菜魚（富景花園）YuNiXiangXuSourFish</t>
        </is>
      </c>
      <c r="S932" s="3" t="inlineStr">
        <is>
          <t>****91515183</t>
        </is>
      </c>
      <c r="T932" s="3" t="inlineStr">
        <is>
          <t>****91515183</t>
        </is>
      </c>
      <c r="U932" s="3" t="inlineStr">
        <is>
          <t>***** 9-50號舖</t>
        </is>
      </c>
      <c r="V932" s="3" t="inlineStr">
        <is>
          <t>香港</t>
        </is>
      </c>
      <c r="W932" s="3" t="inlineStr">
        <is>
          <t>机纸/小票纸 / 包出</t>
        </is>
      </c>
      <c r="X932" s="3" t="inlineStr">
        <is>
          <t>ESS-SFTS-OTMS</t>
        </is>
      </c>
      <c r="Y932" s="3" t="n"/>
      <c r="Z932" s="3" t="inlineStr"/>
      <c r="AA932" s="3" t="inlineStr">
        <is>
          <t>寄付月結</t>
        </is>
      </c>
      <c r="AB932">
        <f>IFERROR(VLOOKUP(Q932&amp;"",對照表!$A:$B,1,FALSE),"")</f>
        <v/>
      </c>
      <c r="AC932">
        <f>IFERROR(VLOOKUP(Q932&amp;"",對照表!$A:$B,2,FALSE),"")</f>
        <v/>
      </c>
    </row>
    <row r="933">
      <c r="A933" s="3" t="inlineStr">
        <is>
          <t>SF5113427647788</t>
        </is>
      </c>
      <c r="B933" s="3" t="n">
        <v>58435485597841</v>
      </c>
      <c r="C933" s="3" t="inlineStr">
        <is>
          <t>已簽收</t>
        </is>
      </c>
      <c r="D933" s="3" t="inlineStr">
        <is>
          <t>2026-07-06 17:08:26</t>
        </is>
      </c>
      <c r="E933" s="3" t="inlineStr">
        <is>
          <t>2026-07-07 13:52</t>
        </is>
      </c>
      <c r="F933" s="3" t="n">
        <v>1</v>
      </c>
      <c r="G933" s="3" t="n">
        <v>1</v>
      </c>
      <c r="H933" s="3" t="n"/>
      <c r="I933" s="3" t="inlineStr"/>
      <c r="J933" s="3" t="inlineStr">
        <is>
          <t>Keeta</t>
        </is>
      </c>
      <c r="K933" s="3" t="inlineStr">
        <is>
          <t>****9568</t>
        </is>
      </c>
      <c r="L933" s="3" t="n"/>
      <c r="M933" s="3" t="inlineStr">
        <is>
          <t>***** 物流中心5樓</t>
        </is>
      </c>
      <c r="N933" s="3" t="inlineStr">
        <is>
          <t>北区</t>
        </is>
      </c>
      <c r="O933" s="3" t="inlineStr">
        <is>
          <t>香港</t>
        </is>
      </c>
      <c r="P933" s="3" t="inlineStr">
        <is>
          <t>香港特别行政区</t>
        </is>
      </c>
      <c r="Q933" s="3" t="n">
        <v>478631</v>
      </c>
      <c r="R933" s="3" t="inlineStr">
        <is>
          <t>爭鮮外帶壽司（青山坊）</t>
        </is>
      </c>
      <c r="S933" s="3" t="inlineStr">
        <is>
          <t>****23626528</t>
        </is>
      </c>
      <c r="T933" s="3" t="inlineStr">
        <is>
          <t>****23626528</t>
        </is>
      </c>
      <c r="U933" s="3" t="inlineStr">
        <is>
          <t>***** tion A</t>
        </is>
      </c>
      <c r="V933" s="3" t="inlineStr">
        <is>
          <t>香港</t>
        </is>
      </c>
      <c r="W933" s="3" t="inlineStr">
        <is>
          <t>翻新POS机【真唯】/ 件出</t>
        </is>
      </c>
      <c r="X933" s="3" t="inlineStr">
        <is>
          <t>ESS-SFTS-OTMS</t>
        </is>
      </c>
      <c r="Y933" s="3" t="n"/>
      <c r="Z933" s="3" t="inlineStr"/>
      <c r="AA933" s="3" t="inlineStr">
        <is>
          <t>寄付月結</t>
        </is>
      </c>
      <c r="AB933">
        <f>IFERROR(VLOOKUP(Q933&amp;"",對照表!$A:$B,1,FALSE),"")</f>
        <v/>
      </c>
      <c r="AC933">
        <f>IFERROR(VLOOKUP(Q933&amp;"",對照表!$A:$B,2,FALSE),"")</f>
        <v/>
      </c>
    </row>
    <row r="934">
      <c r="A934" s="3" t="inlineStr">
        <is>
          <t>SF5113427647497</t>
        </is>
      </c>
      <c r="B934" s="3" t="n">
        <v>58435485597768</v>
      </c>
      <c r="C934" s="3" t="inlineStr">
        <is>
          <t>已簽收</t>
        </is>
      </c>
      <c r="D934" s="3" t="inlineStr">
        <is>
          <t>2026-07-06 17:45:36</t>
        </is>
      </c>
      <c r="E934" s="3" t="inlineStr">
        <is>
          <t>2026-07-07 10:42</t>
        </is>
      </c>
      <c r="F934" s="3" t="n">
        <v>6.5</v>
      </c>
      <c r="G934" s="3" t="n">
        <v>1</v>
      </c>
      <c r="H934" s="3" t="n"/>
      <c r="I934" s="3" t="inlineStr"/>
      <c r="J934" s="3" t="inlineStr">
        <is>
          <t>Keeta</t>
        </is>
      </c>
      <c r="K934" s="3" t="inlineStr">
        <is>
          <t>****9568</t>
        </is>
      </c>
      <c r="L934" s="3" t="n"/>
      <c r="M934" s="3" t="inlineStr">
        <is>
          <t>***** 物流中心5樓</t>
        </is>
      </c>
      <c r="N934" s="3" t="inlineStr">
        <is>
          <t>北区</t>
        </is>
      </c>
      <c r="O934" s="3" t="inlineStr">
        <is>
          <t>香港</t>
        </is>
      </c>
      <c r="P934" s="3" t="inlineStr">
        <is>
          <t>香港特别行政区</t>
        </is>
      </c>
      <c r="Q934" s="3" t="n">
        <v>454353</v>
      </c>
      <c r="R934" s="3" t="inlineStr">
        <is>
          <t>龍順軒海鮮酒家（欣田）全部即叫即整朝早黎叫點心夜晚一家大細食小菜</t>
        </is>
      </c>
      <c r="S934" s="3" t="inlineStr">
        <is>
          <t>****91620448</t>
        </is>
      </c>
      <c r="T934" s="3" t="inlineStr">
        <is>
          <t>****91620448</t>
        </is>
      </c>
      <c r="U934" s="3" t="inlineStr">
        <is>
          <t>***** 樓101號舖</t>
        </is>
      </c>
      <c r="V934" s="3" t="inlineStr">
        <is>
          <t>香港</t>
        </is>
      </c>
      <c r="W934" s="3" t="inlineStr">
        <is>
          <t>塑料袋【大】/ 扎出</t>
        </is>
      </c>
      <c r="X934" s="3" t="inlineStr">
        <is>
          <t>ESS-SFTS-OTMS</t>
        </is>
      </c>
      <c r="Y934" s="3" t="n"/>
      <c r="Z934" s="3" t="inlineStr"/>
      <c r="AA934" s="3" t="inlineStr">
        <is>
          <t>寄付月結</t>
        </is>
      </c>
      <c r="AB934">
        <f>IFERROR(VLOOKUP(Q934&amp;"",對照表!$A:$B,1,FALSE),"")</f>
        <v/>
      </c>
      <c r="AC934">
        <f>IFERROR(VLOOKUP(Q934&amp;"",對照表!$A:$B,2,FALSE),"")</f>
        <v/>
      </c>
    </row>
    <row r="935">
      <c r="A935" s="3" t="inlineStr">
        <is>
          <t>SF5113427647628</t>
        </is>
      </c>
      <c r="B935" s="3" t="n">
        <v>58435485597800</v>
      </c>
      <c r="C935" s="3" t="inlineStr">
        <is>
          <t>已簽收</t>
        </is>
      </c>
      <c r="D935" s="3" t="inlineStr">
        <is>
          <t>2026-07-06 16:01:35</t>
        </is>
      </c>
      <c r="E935" s="3" t="inlineStr">
        <is>
          <t>2026-07-07 10:05</t>
        </is>
      </c>
      <c r="F935" s="3" t="n">
        <v>4.45</v>
      </c>
      <c r="G935" s="3" t="n">
        <v>1</v>
      </c>
      <c r="H935" s="3" t="n"/>
      <c r="I935" s="3" t="inlineStr"/>
      <c r="J935" s="3" t="inlineStr">
        <is>
          <t>Keeta</t>
        </is>
      </c>
      <c r="K935" s="3" t="inlineStr">
        <is>
          <t>****9568</t>
        </is>
      </c>
      <c r="L935" s="3" t="n"/>
      <c r="M935" s="3" t="inlineStr">
        <is>
          <t>***** 物流中心5樓</t>
        </is>
      </c>
      <c r="N935" s="3" t="inlineStr">
        <is>
          <t>北区</t>
        </is>
      </c>
      <c r="O935" s="3" t="inlineStr">
        <is>
          <t>香港</t>
        </is>
      </c>
      <c r="P935" s="3" t="inlineStr">
        <is>
          <t>香港特别行政区</t>
        </is>
      </c>
      <c r="Q935" s="3" t="n">
        <v>721144</v>
      </c>
      <c r="R935" s="3" t="inlineStr">
        <is>
          <t>袁記雲餃(葵涌花園)全球近5000家門店</t>
        </is>
      </c>
      <c r="S935" s="3" t="inlineStr">
        <is>
          <t>****67692725</t>
        </is>
      </c>
      <c r="T935" s="3" t="inlineStr">
        <is>
          <t>****67692725</t>
        </is>
      </c>
      <c r="U935" s="3" t="inlineStr">
        <is>
          <t>***** A及5B號舖</t>
        </is>
      </c>
      <c r="V935" s="3" t="inlineStr">
        <is>
          <t>香港</t>
        </is>
      </c>
      <c r="W935" s="3" t="inlineStr">
        <is>
          <t>机纸/小票纸 / 包出</t>
        </is>
      </c>
      <c r="X935" s="3" t="inlineStr">
        <is>
          <t>ESS-SFTS-OTMS</t>
        </is>
      </c>
      <c r="Y935" s="3" t="n"/>
      <c r="Z935" s="3" t="inlineStr"/>
      <c r="AA935" s="3" t="inlineStr">
        <is>
          <t>寄付月結</t>
        </is>
      </c>
      <c r="AB935">
        <f>IFERROR(VLOOKUP(Q935&amp;"",對照表!$A:$B,1,FALSE),"")</f>
        <v/>
      </c>
      <c r="AC935">
        <f>IFERROR(VLOOKUP(Q935&amp;"",對照表!$A:$B,2,FALSE),"")</f>
        <v/>
      </c>
    </row>
    <row r="936">
      <c r="A936" s="3" t="inlineStr">
        <is>
          <t>SF5113427647576</t>
        </is>
      </c>
      <c r="B936" s="3" t="n">
        <v>58435485597788</v>
      </c>
      <c r="C936" s="3" t="inlineStr">
        <is>
          <t>已簽收</t>
        </is>
      </c>
      <c r="D936" s="3" t="inlineStr">
        <is>
          <t>2026-07-06 17:45:42</t>
        </is>
      </c>
      <c r="E936" s="3" t="inlineStr">
        <is>
          <t>2026-07-07 09:34</t>
        </is>
      </c>
      <c r="F936" s="3" t="n">
        <v>0.64</v>
      </c>
      <c r="G936" s="3" t="n">
        <v>1</v>
      </c>
      <c r="H936" s="3" t="n"/>
      <c r="I936" s="3" t="inlineStr"/>
      <c r="J936" s="3" t="inlineStr">
        <is>
          <t>Keeta</t>
        </is>
      </c>
      <c r="K936" s="3" t="inlineStr">
        <is>
          <t>****9568</t>
        </is>
      </c>
      <c r="L936" s="3" t="n"/>
      <c r="M936" s="3" t="inlineStr">
        <is>
          <t>***** 物流中心5樓</t>
        </is>
      </c>
      <c r="N936" s="3" t="inlineStr">
        <is>
          <t>北区</t>
        </is>
      </c>
      <c r="O936" s="3" t="inlineStr">
        <is>
          <t>香港</t>
        </is>
      </c>
      <c r="P936" s="3" t="inlineStr">
        <is>
          <t>香港特别行政区</t>
        </is>
      </c>
      <c r="Q936" s="3" t="n">
        <v>475213</v>
      </c>
      <c r="R936" s="3" t="inlineStr">
        <is>
          <t>citysuperDeli(中環)</t>
        </is>
      </c>
      <c r="S936" s="3" t="inlineStr">
        <is>
          <t>****22773215</t>
        </is>
      </c>
      <c r="T936" s="3" t="inlineStr">
        <is>
          <t>****22773215</t>
        </is>
      </c>
      <c r="U936" s="3" t="inlineStr">
        <is>
          <t>***** entral</t>
        </is>
      </c>
      <c r="V936" s="3" t="inlineStr">
        <is>
          <t>香港</t>
        </is>
      </c>
      <c r="W936" s="3" t="inlineStr">
        <is>
          <t>塑料袋【大】/ 扎出</t>
        </is>
      </c>
      <c r="X936" s="3" t="inlineStr">
        <is>
          <t>ESS-SFTS-OTMS</t>
        </is>
      </c>
      <c r="Y936" s="3" t="n"/>
      <c r="Z936" s="3" t="inlineStr"/>
      <c r="AA936" s="3" t="inlineStr">
        <is>
          <t>寄付月結</t>
        </is>
      </c>
      <c r="AB936">
        <f>IFERROR(VLOOKUP(Q936&amp;"",對照表!$A:$B,1,FALSE),"")</f>
        <v/>
      </c>
      <c r="AC936">
        <f>IFERROR(VLOOKUP(Q936&amp;"",對照表!$A:$B,2,FALSE),"")</f>
        <v/>
      </c>
    </row>
    <row r="937">
      <c r="A937" s="3" t="inlineStr">
        <is>
          <t>SF5113427647682</t>
        </is>
      </c>
      <c r="B937" s="3" t="n">
        <v>58435485597819</v>
      </c>
      <c r="C937" s="3" t="inlineStr">
        <is>
          <t>已簽收</t>
        </is>
      </c>
      <c r="D937" s="3" t="inlineStr">
        <is>
          <t>2026-07-06 16:01:40</t>
        </is>
      </c>
      <c r="E937" s="3" t="inlineStr">
        <is>
          <t>2026-07-07 13:49</t>
        </is>
      </c>
      <c r="F937" s="3" t="n">
        <v>4.45</v>
      </c>
      <c r="G937" s="3" t="n">
        <v>1</v>
      </c>
      <c r="H937" s="3" t="n"/>
      <c r="I937" s="3" t="inlineStr"/>
      <c r="J937" s="3" t="inlineStr">
        <is>
          <t>Keeta</t>
        </is>
      </c>
      <c r="K937" s="3" t="inlineStr">
        <is>
          <t>****9568</t>
        </is>
      </c>
      <c r="L937" s="3" t="n"/>
      <c r="M937" s="3" t="inlineStr">
        <is>
          <t>***** 物流中心5樓</t>
        </is>
      </c>
      <c r="N937" s="3" t="inlineStr">
        <is>
          <t>北区</t>
        </is>
      </c>
      <c r="O937" s="3" t="inlineStr">
        <is>
          <t>香港</t>
        </is>
      </c>
      <c r="P937" s="3" t="inlineStr">
        <is>
          <t>香港特别行政区</t>
        </is>
      </c>
      <c r="Q937" s="3" t="n">
        <v>458381</v>
      </c>
      <c r="R937" s="3" t="inlineStr">
        <is>
          <t>四寶食堂(銅鑼灣)必食招牌蔥油豬扒太陽蛋飯</t>
        </is>
      </c>
      <c r="S937" s="3" t="inlineStr">
        <is>
          <t>****23422323</t>
        </is>
      </c>
      <c r="T937" s="3" t="inlineStr">
        <is>
          <t>****23422323</t>
        </is>
      </c>
      <c r="U937" s="3" t="inlineStr">
        <is>
          <t>***** 下1-3號舖</t>
        </is>
      </c>
      <c r="V937" s="3" t="inlineStr">
        <is>
          <t>香港</t>
        </is>
      </c>
      <c r="W937" s="3" t="inlineStr">
        <is>
          <t>机纸/小票纸 / 包出</t>
        </is>
      </c>
      <c r="X937" s="3" t="inlineStr">
        <is>
          <t>ESS-SFTS-OTMS</t>
        </is>
      </c>
      <c r="Y937" s="3" t="n"/>
      <c r="Z937" s="3" t="inlineStr"/>
      <c r="AA937" s="3" t="inlineStr">
        <is>
          <t>寄付月結</t>
        </is>
      </c>
      <c r="AB937">
        <f>IFERROR(VLOOKUP(Q937&amp;"",對照表!$A:$B,1,FALSE),"")</f>
        <v/>
      </c>
      <c r="AC937">
        <f>IFERROR(VLOOKUP(Q937&amp;"",對照表!$A:$B,2,FALSE),"")</f>
        <v/>
      </c>
    </row>
    <row r="938">
      <c r="A938" s="3" t="inlineStr">
        <is>
          <t>SF5113427647512</t>
        </is>
      </c>
      <c r="B938" s="3" t="n">
        <v>58435485597772</v>
      </c>
      <c r="C938" s="3" t="inlineStr">
        <is>
          <t>已簽收</t>
        </is>
      </c>
      <c r="D938" s="3" t="inlineStr">
        <is>
          <t>2026-07-06 17:06:20</t>
        </is>
      </c>
      <c r="E938" s="3" t="inlineStr">
        <is>
          <t>2026-07-07 12:31</t>
        </is>
      </c>
      <c r="F938" s="3" t="n">
        <v>1.02</v>
      </c>
      <c r="G938" s="3" t="n">
        <v>1</v>
      </c>
      <c r="H938" s="3" t="n"/>
      <c r="I938" s="3" t="inlineStr"/>
      <c r="J938" s="3" t="inlineStr">
        <is>
          <t>Keeta</t>
        </is>
      </c>
      <c r="K938" s="3" t="inlineStr">
        <is>
          <t>****9568</t>
        </is>
      </c>
      <c r="L938" s="3" t="n"/>
      <c r="M938" s="3" t="inlineStr">
        <is>
          <t>***** 物流中心5樓</t>
        </is>
      </c>
      <c r="N938" s="3" t="inlineStr">
        <is>
          <t>北区</t>
        </is>
      </c>
      <c r="O938" s="3" t="inlineStr">
        <is>
          <t>香港</t>
        </is>
      </c>
      <c r="P938" s="3" t="inlineStr">
        <is>
          <t>香港特别行政区</t>
        </is>
      </c>
      <c r="Q938" s="3" t="n">
        <v>449018</v>
      </c>
      <c r="R938" s="3" t="inlineStr">
        <is>
          <t>大阪章三哥日式小食專門店大阪章魚燒關東煮大阪燒涼拌烏冬新口味</t>
        </is>
      </c>
      <c r="S938" s="3" t="inlineStr">
        <is>
          <t>****96781295</t>
        </is>
      </c>
      <c r="T938" s="3" t="inlineStr">
        <is>
          <t>****96781295</t>
        </is>
      </c>
      <c r="U938" s="3" t="inlineStr">
        <is>
          <t>***** 3樓43號舖</t>
        </is>
      </c>
      <c r="V938" s="3" t="inlineStr">
        <is>
          <t>香港</t>
        </is>
      </c>
      <c r="W938" s="3" t="inlineStr">
        <is>
          <t>机纸/小票纸 / 包出, 封签【通版】/ 扎出</t>
        </is>
      </c>
      <c r="X938" s="3" t="inlineStr">
        <is>
          <t>ESS-SFTS-OTMS</t>
        </is>
      </c>
      <c r="Y938" s="3" t="n"/>
      <c r="Z938" s="3" t="inlineStr"/>
      <c r="AA938" s="3" t="inlineStr">
        <is>
          <t>寄付月結</t>
        </is>
      </c>
      <c r="AB938">
        <f>IFERROR(VLOOKUP(Q938&amp;"",對照表!$A:$B,1,FALSE),"")</f>
        <v/>
      </c>
      <c r="AC938">
        <f>IFERROR(VLOOKUP(Q938&amp;"",對照表!$A:$B,2,FALSE),"")</f>
        <v/>
      </c>
    </row>
    <row r="939">
      <c r="A939" s="3" t="inlineStr">
        <is>
          <t>SF5113427647646</t>
        </is>
      </c>
      <c r="B939" s="3" t="n">
        <v>58435485597809</v>
      </c>
      <c r="C939" s="3" t="inlineStr">
        <is>
          <t>已簽收</t>
        </is>
      </c>
      <c r="D939" s="3" t="inlineStr">
        <is>
          <t>2026-07-06 16:01:42</t>
        </is>
      </c>
      <c r="E939" s="3" t="inlineStr">
        <is>
          <t>2026-07-07 11:24</t>
        </is>
      </c>
      <c r="F939" s="3" t="n">
        <v>4.45</v>
      </c>
      <c r="G939" s="3" t="n">
        <v>1</v>
      </c>
      <c r="H939" s="3" t="n"/>
      <c r="I939" s="3" t="inlineStr"/>
      <c r="J939" s="3" t="inlineStr">
        <is>
          <t>Keeta</t>
        </is>
      </c>
      <c r="K939" s="3" t="inlineStr">
        <is>
          <t>****9568</t>
        </is>
      </c>
      <c r="L939" s="3" t="n"/>
      <c r="M939" s="3" t="inlineStr">
        <is>
          <t>***** 物流中心5樓</t>
        </is>
      </c>
      <c r="N939" s="3" t="inlineStr">
        <is>
          <t>北区</t>
        </is>
      </c>
      <c r="O939" s="3" t="inlineStr">
        <is>
          <t>香港</t>
        </is>
      </c>
      <c r="P939" s="3" t="inlineStr">
        <is>
          <t>香港特别行政区</t>
        </is>
      </c>
      <c r="Q939" s="3" t="n">
        <v>573294</v>
      </c>
      <c r="R939" s="3" t="inlineStr">
        <is>
          <t>太興(新上廣)</t>
        </is>
      </c>
      <c r="S939" s="3" t="inlineStr">
        <is>
          <t>****26285070</t>
        </is>
      </c>
      <c r="T939" s="3" t="inlineStr">
        <is>
          <t>****26285070</t>
        </is>
      </c>
      <c r="U939" s="3" t="inlineStr">
        <is>
          <t>***** 406 號舖</t>
        </is>
      </c>
      <c r="V939" s="3" t="inlineStr">
        <is>
          <t>香港</t>
        </is>
      </c>
      <c r="W939" s="3" t="inlineStr">
        <is>
          <t>机纸/小票纸 / 包出</t>
        </is>
      </c>
      <c r="X939" s="3" t="inlineStr">
        <is>
          <t>ESS-SFTS-OTMS</t>
        </is>
      </c>
      <c r="Y939" s="3" t="n"/>
      <c r="Z939" s="3" t="inlineStr"/>
      <c r="AA939" s="3" t="inlineStr">
        <is>
          <t>寄付月結</t>
        </is>
      </c>
      <c r="AB939">
        <f>IFERROR(VLOOKUP(Q939&amp;"",對照表!$A:$B,1,FALSE),"")</f>
        <v/>
      </c>
      <c r="AC939">
        <f>IFERROR(VLOOKUP(Q939&amp;"",對照表!$A:$B,2,FALSE),"")</f>
        <v/>
      </c>
    </row>
    <row r="940">
      <c r="A940" s="3" t="inlineStr">
        <is>
          <t>SF5113427647779</t>
        </is>
      </c>
      <c r="B940" s="3" t="n">
        <v>58435485597839</v>
      </c>
      <c r="C940" s="3" t="inlineStr">
        <is>
          <t>已簽收</t>
        </is>
      </c>
      <c r="D940" s="3" t="inlineStr">
        <is>
          <t>2026-07-06 16:01:41</t>
        </is>
      </c>
      <c r="E940" s="3" t="inlineStr">
        <is>
          <t>2026-07-07 10:48</t>
        </is>
      </c>
      <c r="F940" s="3" t="n">
        <v>4.45</v>
      </c>
      <c r="G940" s="3" t="n">
        <v>1</v>
      </c>
      <c r="H940" s="3" t="n"/>
      <c r="I940" s="3" t="inlineStr"/>
      <c r="J940" s="3" t="inlineStr">
        <is>
          <t>Keeta</t>
        </is>
      </c>
      <c r="K940" s="3" t="inlineStr">
        <is>
          <t>****9568</t>
        </is>
      </c>
      <c r="L940" s="3" t="n"/>
      <c r="M940" s="3" t="inlineStr">
        <is>
          <t>***** 物流中心5樓</t>
        </is>
      </c>
      <c r="N940" s="3" t="inlineStr">
        <is>
          <t>北区</t>
        </is>
      </c>
      <c r="O940" s="3" t="inlineStr">
        <is>
          <t>香港</t>
        </is>
      </c>
      <c r="P940" s="3" t="inlineStr">
        <is>
          <t>香港特别行政区</t>
        </is>
      </c>
      <c r="Q940" s="3" t="n">
        <v>484463</v>
      </c>
      <c r="R940" s="3" t="inlineStr">
        <is>
          <t>金二少冰室傳統冰室細味承傳</t>
        </is>
      </c>
      <c r="S940" s="3" t="inlineStr">
        <is>
          <t>****67710322</t>
        </is>
      </c>
      <c r="T940" s="3" t="inlineStr">
        <is>
          <t>****67710322</t>
        </is>
      </c>
      <c r="U940" s="3" t="inlineStr">
        <is>
          <t>***** 士甸道71號</t>
        </is>
      </c>
      <c r="V940" s="3" t="inlineStr">
        <is>
          <t>香港</t>
        </is>
      </c>
      <c r="W940" s="3" t="inlineStr">
        <is>
          <t>机纸/小票纸 / 包出</t>
        </is>
      </c>
      <c r="X940" s="3" t="inlineStr">
        <is>
          <t>ESS-SFTS-OTMS</t>
        </is>
      </c>
      <c r="Y940" s="3" t="n"/>
      <c r="Z940" s="3" t="inlineStr"/>
      <c r="AA940" s="3" t="inlineStr">
        <is>
          <t>寄付月結</t>
        </is>
      </c>
      <c r="AB940">
        <f>IFERROR(VLOOKUP(Q940&amp;"",對照表!$A:$B,1,FALSE),"")</f>
        <v/>
      </c>
      <c r="AC940">
        <f>IFERROR(VLOOKUP(Q940&amp;"",對照表!$A:$B,2,FALSE),"")</f>
        <v/>
      </c>
    </row>
    <row r="941">
      <c r="A941" s="3" t="inlineStr">
        <is>
          <t>SF5113427647812</t>
        </is>
      </c>
      <c r="B941" s="3" t="n">
        <v>58435485597849</v>
      </c>
      <c r="C941" s="3" t="inlineStr">
        <is>
          <t>已簽收</t>
        </is>
      </c>
      <c r="D941" s="3" t="inlineStr">
        <is>
          <t>2026-07-06 16:01:44</t>
        </is>
      </c>
      <c r="E941" s="3" t="inlineStr">
        <is>
          <t>2026-07-07 13:29</t>
        </is>
      </c>
      <c r="F941" s="3" t="n">
        <v>4.45</v>
      </c>
      <c r="G941" s="3" t="n">
        <v>1</v>
      </c>
      <c r="H941" s="3" t="n"/>
      <c r="I941" s="3" t="inlineStr"/>
      <c r="J941" s="3" t="inlineStr">
        <is>
          <t>Keeta</t>
        </is>
      </c>
      <c r="K941" s="3" t="inlineStr">
        <is>
          <t>****9568</t>
        </is>
      </c>
      <c r="L941" s="3" t="n"/>
      <c r="M941" s="3" t="inlineStr">
        <is>
          <t>***** 物流中心5樓</t>
        </is>
      </c>
      <c r="N941" s="3" t="inlineStr">
        <is>
          <t>北区</t>
        </is>
      </c>
      <c r="O941" s="3" t="inlineStr">
        <is>
          <t>香港</t>
        </is>
      </c>
      <c r="P941" s="3" t="inlineStr">
        <is>
          <t>香港特别行政区</t>
        </is>
      </c>
      <c r="Q941" s="3" t="n">
        <v>721521389</v>
      </c>
      <c r="R941" s="3" t="inlineStr">
        <is>
          <t>泰靚手撕雞x打手魚旦</t>
        </is>
      </c>
      <c r="S941" s="3" t="inlineStr">
        <is>
          <t>****95126002</t>
        </is>
      </c>
      <c r="T941" s="3" t="inlineStr">
        <is>
          <t>****95126002</t>
        </is>
      </c>
      <c r="U941" s="3" t="inlineStr">
        <is>
          <t>***** 號地下F號舖</t>
        </is>
      </c>
      <c r="V941" s="3" t="inlineStr">
        <is>
          <t>香港</t>
        </is>
      </c>
      <c r="W941" s="3" t="inlineStr">
        <is>
          <t>机纸/小票纸 / 包出</t>
        </is>
      </c>
      <c r="X941" s="3" t="inlineStr">
        <is>
          <t>ESS-SFTS-OTMS</t>
        </is>
      </c>
      <c r="Y941" s="3" t="n"/>
      <c r="Z941" s="3" t="inlineStr"/>
      <c r="AA941" s="3" t="inlineStr">
        <is>
          <t>寄付月結</t>
        </is>
      </c>
      <c r="AB941">
        <f>IFERROR(VLOOKUP(Q941&amp;"",對照表!$A:$B,1,FALSE),"")</f>
        <v/>
      </c>
      <c r="AC941">
        <f>IFERROR(VLOOKUP(Q941&amp;"",對照表!$A:$B,2,FALSE),"")</f>
        <v/>
      </c>
    </row>
    <row r="942">
      <c r="A942" s="3" t="inlineStr">
        <is>
          <t>SF5113427647715</t>
        </is>
      </c>
      <c r="B942" s="3" t="n">
        <v>58435485597825</v>
      </c>
      <c r="C942" s="3" t="inlineStr">
        <is>
          <t>已簽收</t>
        </is>
      </c>
      <c r="D942" s="3" t="inlineStr">
        <is>
          <t>2026-07-06 16:29:23</t>
        </is>
      </c>
      <c r="E942" s="3" t="inlineStr">
        <is>
          <t>2026-07-07 12:38</t>
        </is>
      </c>
      <c r="F942" s="3" t="n">
        <v>29</v>
      </c>
      <c r="G942" s="3" t="n">
        <v>2</v>
      </c>
      <c r="H942" s="3" t="n"/>
      <c r="I942" s="3" t="inlineStr"/>
      <c r="J942" s="3" t="inlineStr">
        <is>
          <t>Keeta</t>
        </is>
      </c>
      <c r="K942" s="3" t="inlineStr">
        <is>
          <t>****9568</t>
        </is>
      </c>
      <c r="L942" s="3" t="n"/>
      <c r="M942" s="3" t="inlineStr">
        <is>
          <t>***** 物流中心5樓</t>
        </is>
      </c>
      <c r="N942" s="3" t="inlineStr">
        <is>
          <t>北区</t>
        </is>
      </c>
      <c r="O942" s="3" t="inlineStr">
        <is>
          <t>香港</t>
        </is>
      </c>
      <c r="P942" s="3" t="inlineStr">
        <is>
          <t>香港特别行政区</t>
        </is>
      </c>
      <c r="Q942" s="3" t="n">
        <v>475183</v>
      </c>
      <c r="R942" s="3" t="inlineStr">
        <is>
          <t>麥當勞(花都廣場)McDonalds</t>
        </is>
      </c>
      <c r="S942" s="3" t="inlineStr">
        <is>
          <t>****26826084</t>
        </is>
      </c>
      <c r="T942" s="3" t="inlineStr">
        <is>
          <t>****26826084</t>
        </is>
      </c>
      <c r="U942" s="3" t="inlineStr">
        <is>
          <t>***** 3-95號舖</t>
        </is>
      </c>
      <c r="V942" s="3" t="inlineStr">
        <is>
          <t>香港</t>
        </is>
      </c>
      <c r="W942" s="3" t="inlineStr">
        <is>
          <t>纸袋【通版】/ 箱出</t>
        </is>
      </c>
      <c r="X942" s="3" t="inlineStr">
        <is>
          <t>ESS-SFTS-OTMS</t>
        </is>
      </c>
      <c r="Y942" s="3" t="n"/>
      <c r="Z942" s="3" t="inlineStr"/>
      <c r="AA942" s="3" t="inlineStr">
        <is>
          <t>寄付月結</t>
        </is>
      </c>
      <c r="AB942">
        <f>IFERROR(VLOOKUP(Q942&amp;"",對照表!$A:$B,1,FALSE),"")</f>
        <v/>
      </c>
      <c r="AC942">
        <f>IFERROR(VLOOKUP(Q942&amp;"",對照表!$A:$B,2,FALSE),"")</f>
        <v/>
      </c>
    </row>
    <row r="943">
      <c r="A943" s="3" t="inlineStr">
        <is>
          <t>SF5113427647558</t>
        </is>
      </c>
      <c r="B943" s="3" t="n">
        <v>58435485597782</v>
      </c>
      <c r="C943" s="3" t="inlineStr">
        <is>
          <t>已簽收</t>
        </is>
      </c>
      <c r="D943" s="3" t="inlineStr">
        <is>
          <t>2026-07-06 16:01:37</t>
        </is>
      </c>
      <c r="E943" s="3" t="inlineStr">
        <is>
          <t>2026-07-07 09:58</t>
        </is>
      </c>
      <c r="F943" s="3" t="n">
        <v>4.45</v>
      </c>
      <c r="G943" s="3" t="n">
        <v>1</v>
      </c>
      <c r="H943" s="3" t="n"/>
      <c r="I943" s="3" t="inlineStr"/>
      <c r="J943" s="3" t="inlineStr">
        <is>
          <t>Keeta</t>
        </is>
      </c>
      <c r="K943" s="3" t="inlineStr">
        <is>
          <t>****9568</t>
        </is>
      </c>
      <c r="L943" s="3" t="n"/>
      <c r="M943" s="3" t="inlineStr">
        <is>
          <t>***** 物流中心5樓</t>
        </is>
      </c>
      <c r="N943" s="3" t="inlineStr">
        <is>
          <t>北区</t>
        </is>
      </c>
      <c r="O943" s="3" t="inlineStr">
        <is>
          <t>香港</t>
        </is>
      </c>
      <c r="P943" s="3" t="inlineStr">
        <is>
          <t>香港特别行政区</t>
        </is>
      </c>
      <c r="Q943" s="3" t="n">
        <v>474149</v>
      </c>
      <c r="R943" s="3" t="inlineStr">
        <is>
          <t>MurveyBoxHealthyFood輕食健康餐（上環店）</t>
        </is>
      </c>
      <c r="S943" s="3" t="inlineStr">
        <is>
          <t>****52049886</t>
        </is>
      </c>
      <c r="T943" s="3" t="inlineStr">
        <is>
          <t>****52049886</t>
        </is>
      </c>
      <c r="U943" s="3" t="inlineStr">
        <is>
          <t>***** ne K27</t>
        </is>
      </c>
      <c r="V943" s="3" t="inlineStr">
        <is>
          <t>香港</t>
        </is>
      </c>
      <c r="W943" s="3" t="inlineStr">
        <is>
          <t>机纸/小票纸 / 包出</t>
        </is>
      </c>
      <c r="X943" s="3" t="inlineStr">
        <is>
          <t>ESS-SFTS-OTMS</t>
        </is>
      </c>
      <c r="Y943" s="3" t="n"/>
      <c r="Z943" s="3" t="inlineStr"/>
      <c r="AA943" s="3" t="inlineStr">
        <is>
          <t>寄付月結</t>
        </is>
      </c>
      <c r="AB943">
        <f>IFERROR(VLOOKUP(Q943&amp;"",對照表!$A:$B,1,FALSE),"")</f>
        <v/>
      </c>
      <c r="AC943">
        <f>IFERROR(VLOOKUP(Q943&amp;"",對照表!$A:$B,2,FALSE),"")</f>
        <v/>
      </c>
    </row>
    <row r="944">
      <c r="A944" s="3" t="inlineStr">
        <is>
          <t>SF5113427647594</t>
        </is>
      </c>
      <c r="B944" s="3" t="n">
        <v>58435485597792</v>
      </c>
      <c r="C944" s="3" t="inlineStr">
        <is>
          <t>已簽收</t>
        </is>
      </c>
      <c r="D944" s="3" t="inlineStr">
        <is>
          <t>2026-07-06 17:45:33</t>
        </is>
      </c>
      <c r="E944" s="3" t="inlineStr">
        <is>
          <t>2026-07-07 15:35</t>
        </is>
      </c>
      <c r="F944" s="3" t="n">
        <v>1.96</v>
      </c>
      <c r="G944" s="3" t="n">
        <v>1</v>
      </c>
      <c r="H944" s="3" t="n"/>
      <c r="I944" s="3" t="inlineStr"/>
      <c r="J944" s="3" t="inlineStr">
        <is>
          <t>Keeta</t>
        </is>
      </c>
      <c r="K944" s="3" t="inlineStr">
        <is>
          <t>****9568</t>
        </is>
      </c>
      <c r="L944" s="3" t="n"/>
      <c r="M944" s="3" t="inlineStr">
        <is>
          <t>***** 物流中心5樓</t>
        </is>
      </c>
      <c r="N944" s="3" t="inlineStr">
        <is>
          <t>北区</t>
        </is>
      </c>
      <c r="O944" s="3" t="inlineStr">
        <is>
          <t>香港</t>
        </is>
      </c>
      <c r="P944" s="3" t="inlineStr">
        <is>
          <t>香港特别行政区</t>
        </is>
      </c>
      <c r="Q944" s="3" t="n">
        <v>452355</v>
      </c>
      <c r="R944" s="3" t="inlineStr">
        <is>
          <t>7Eleven（九龍塘又一樓）1820</t>
        </is>
      </c>
      <c r="S944" s="3" t="inlineStr">
        <is>
          <t>****23752296</t>
        </is>
      </c>
      <c r="T944" s="3" t="inlineStr">
        <is>
          <t>****23752296</t>
        </is>
      </c>
      <c r="U944" s="3" t="inlineStr">
        <is>
          <t>***** 地下10號舖</t>
        </is>
      </c>
      <c r="V944" s="3" t="inlineStr">
        <is>
          <t>香港</t>
        </is>
      </c>
      <c r="W944" s="3" t="inlineStr">
        <is>
          <t>塑料袋【大】/ 扎出</t>
        </is>
      </c>
      <c r="X944" s="3" t="inlineStr">
        <is>
          <t>ESS-SFTS-OTMS</t>
        </is>
      </c>
      <c r="Y944" s="3" t="n"/>
      <c r="Z944" s="3" t="inlineStr"/>
      <c r="AA944" s="3" t="inlineStr">
        <is>
          <t>寄付月結</t>
        </is>
      </c>
      <c r="AB944">
        <f>IFERROR(VLOOKUP(Q944&amp;"",對照表!$A:$B,1,FALSE),"")</f>
        <v/>
      </c>
      <c r="AC944">
        <f>IFERROR(VLOOKUP(Q944&amp;"",對照表!$A:$B,2,FALSE),"")</f>
        <v/>
      </c>
    </row>
    <row r="945">
      <c r="A945" s="3" t="inlineStr">
        <is>
          <t>SF5113427647946</t>
        </is>
      </c>
      <c r="B945" s="3" t="n">
        <v>58435485597875</v>
      </c>
      <c r="C945" s="3" t="inlineStr">
        <is>
          <t>已簽收</t>
        </is>
      </c>
      <c r="D945" s="3" t="inlineStr">
        <is>
          <t>2026-07-06 16:03:14</t>
        </is>
      </c>
      <c r="E945" s="3" t="inlineStr">
        <is>
          <t>2026-07-07 12:15</t>
        </is>
      </c>
      <c r="F945" s="3" t="n">
        <v>4.45</v>
      </c>
      <c r="G945" s="3" t="n">
        <v>1</v>
      </c>
      <c r="H945" s="3" t="n"/>
      <c r="I945" s="3" t="inlineStr"/>
      <c r="J945" s="3" t="inlineStr">
        <is>
          <t>Keeta</t>
        </is>
      </c>
      <c r="K945" s="3" t="inlineStr">
        <is>
          <t>****9568</t>
        </is>
      </c>
      <c r="L945" s="3" t="n"/>
      <c r="M945" s="3" t="inlineStr">
        <is>
          <t>***** 物流中心5樓</t>
        </is>
      </c>
      <c r="N945" s="3" t="inlineStr">
        <is>
          <t>北区</t>
        </is>
      </c>
      <c r="O945" s="3" t="inlineStr">
        <is>
          <t>香港</t>
        </is>
      </c>
      <c r="P945" s="3" t="inlineStr">
        <is>
          <t>香港特别行政区</t>
        </is>
      </c>
      <c r="Q945" s="3" t="n">
        <v>455332</v>
      </c>
      <c r="R945" s="3" t="inlineStr">
        <is>
          <t>威記粥品招牌生滾粥美味腸粉特色蛋黃粽</t>
        </is>
      </c>
      <c r="S945" s="3" t="inlineStr">
        <is>
          <t>****25256878</t>
        </is>
      </c>
      <c r="T945" s="3" t="inlineStr">
        <is>
          <t>****25256878</t>
        </is>
      </c>
      <c r="U945" s="3" t="inlineStr">
        <is>
          <t>***** 號地下C號舖</t>
        </is>
      </c>
      <c r="V945" s="3" t="inlineStr">
        <is>
          <t>香港</t>
        </is>
      </c>
      <c r="W945" s="3" t="inlineStr">
        <is>
          <t>机纸/小票纸 / 包出</t>
        </is>
      </c>
      <c r="X945" s="3" t="inlineStr">
        <is>
          <t>ESS-SFTS-OTMS</t>
        </is>
      </c>
      <c r="Y945" s="3" t="n"/>
      <c r="Z945" s="3" t="inlineStr"/>
      <c r="AA945" s="3" t="inlineStr">
        <is>
          <t>寄付月結</t>
        </is>
      </c>
      <c r="AB945">
        <f>IFERROR(VLOOKUP(Q945&amp;"",對照表!$A:$B,1,FALSE),"")</f>
        <v/>
      </c>
      <c r="AC945">
        <f>IFERROR(VLOOKUP(Q945&amp;"",對照表!$A:$B,2,FALSE),"")</f>
        <v/>
      </c>
    </row>
    <row r="946">
      <c r="A946" s="3" t="inlineStr">
        <is>
          <t>SF5113427647637</t>
        </is>
      </c>
      <c r="B946" s="3" t="n">
        <v>58435485597807</v>
      </c>
      <c r="C946" s="3" t="inlineStr">
        <is>
          <t>已簽收</t>
        </is>
      </c>
      <c r="D946" s="3" t="inlineStr">
        <is>
          <t>2026-07-06 16:01:38</t>
        </is>
      </c>
      <c r="E946" s="3" t="inlineStr">
        <is>
          <t>2026-07-07 12:55</t>
        </is>
      </c>
      <c r="F946" s="3" t="n">
        <v>4.45</v>
      </c>
      <c r="G946" s="3" t="n">
        <v>1</v>
      </c>
      <c r="H946" s="3" t="n"/>
      <c r="I946" s="3" t="inlineStr"/>
      <c r="J946" s="3" t="inlineStr">
        <is>
          <t>Keeta</t>
        </is>
      </c>
      <c r="K946" s="3" t="inlineStr">
        <is>
          <t>****9568</t>
        </is>
      </c>
      <c r="L946" s="3" t="n"/>
      <c r="M946" s="3" t="inlineStr">
        <is>
          <t>***** 物流中心5樓</t>
        </is>
      </c>
      <c r="N946" s="3" t="inlineStr">
        <is>
          <t>北区</t>
        </is>
      </c>
      <c r="O946" s="3" t="inlineStr">
        <is>
          <t>香港</t>
        </is>
      </c>
      <c r="P946" s="3" t="inlineStr">
        <is>
          <t>香港特别行政区</t>
        </is>
      </c>
      <c r="Q946" s="3" t="n">
        <v>480486</v>
      </c>
      <c r="R946" s="3" t="inlineStr">
        <is>
          <t>火桶XOtaste獨特炭烤味的大邱豬肉抵食定食</t>
        </is>
      </c>
      <c r="S946" s="3" t="inlineStr">
        <is>
          <t>****84028726</t>
        </is>
      </c>
      <c r="T946" s="3" t="inlineStr">
        <is>
          <t>****84028726</t>
        </is>
      </c>
      <c r="U946" s="3" t="inlineStr">
        <is>
          <t>***** 街3B號地舖</t>
        </is>
      </c>
      <c r="V946" s="3" t="inlineStr">
        <is>
          <t>香港</t>
        </is>
      </c>
      <c r="W946" s="3" t="inlineStr">
        <is>
          <t>机纸/小票纸 / 包出</t>
        </is>
      </c>
      <c r="X946" s="3" t="inlineStr">
        <is>
          <t>ESS-SFTS-OTMS</t>
        </is>
      </c>
      <c r="Y946" s="3" t="n"/>
      <c r="Z946" s="3" t="inlineStr"/>
      <c r="AA946" s="3" t="inlineStr">
        <is>
          <t>寄付月結</t>
        </is>
      </c>
      <c r="AB946">
        <f>IFERROR(VLOOKUP(Q946&amp;"",對照表!$A:$B,1,FALSE),"")</f>
        <v/>
      </c>
      <c r="AC946">
        <f>IFERROR(VLOOKUP(Q946&amp;"",對照表!$A:$B,2,FALSE),"")</f>
        <v/>
      </c>
    </row>
    <row r="947">
      <c r="A947" s="3" t="inlineStr">
        <is>
          <t>SF5113427647655</t>
        </is>
      </c>
      <c r="B947" s="3" t="n">
        <v>58435485597812</v>
      </c>
      <c r="C947" s="3" t="inlineStr">
        <is>
          <t>已簽收</t>
        </is>
      </c>
      <c r="D947" s="3" t="inlineStr">
        <is>
          <t>2026-07-06 16:28:42</t>
        </is>
      </c>
      <c r="E947" s="3" t="inlineStr">
        <is>
          <t>2026-07-07 10:46</t>
        </is>
      </c>
      <c r="F947" s="3" t="n">
        <v>29</v>
      </c>
      <c r="G947" s="3" t="n">
        <v>2</v>
      </c>
      <c r="H947" s="3" t="n"/>
      <c r="I947" s="3" t="inlineStr"/>
      <c r="J947" s="3" t="inlineStr">
        <is>
          <t>Keeta</t>
        </is>
      </c>
      <c r="K947" s="3" t="inlineStr">
        <is>
          <t>****9568</t>
        </is>
      </c>
      <c r="L947" s="3" t="n"/>
      <c r="M947" s="3" t="inlineStr">
        <is>
          <t>***** 物流中心5樓</t>
        </is>
      </c>
      <c r="N947" s="3" t="inlineStr">
        <is>
          <t>北区</t>
        </is>
      </c>
      <c r="O947" s="3" t="inlineStr">
        <is>
          <t>香港</t>
        </is>
      </c>
      <c r="P947" s="3" t="inlineStr">
        <is>
          <t>香港特别行政区</t>
        </is>
      </c>
      <c r="Q947" s="3" t="n">
        <v>464838</v>
      </c>
      <c r="R947" s="3" t="inlineStr">
        <is>
          <t>快樂蜂(家壹)Jollibee(TheAddition)</t>
        </is>
      </c>
      <c r="S947" s="3" t="inlineStr">
        <is>
          <t>****26778332</t>
        </is>
      </c>
      <c r="T947" s="3" t="inlineStr">
        <is>
          <t>****26778332</t>
        </is>
      </c>
      <c r="U947" s="3" t="inlineStr">
        <is>
          <t>***** 1樓12號舖</t>
        </is>
      </c>
      <c r="V947" s="3" t="inlineStr">
        <is>
          <t>香港</t>
        </is>
      </c>
      <c r="W947" s="3" t="inlineStr">
        <is>
          <t>纸袋【通版】/ 箱出</t>
        </is>
      </c>
      <c r="X947" s="3" t="inlineStr">
        <is>
          <t>ESS-SFTS-OTMS</t>
        </is>
      </c>
      <c r="Y947" s="3" t="n"/>
      <c r="Z947" s="3" t="inlineStr"/>
      <c r="AA947" s="3" t="inlineStr">
        <is>
          <t>寄付月結</t>
        </is>
      </c>
      <c r="AB947">
        <f>IFERROR(VLOOKUP(Q947&amp;"",對照表!$A:$B,1,FALSE),"")</f>
        <v/>
      </c>
      <c r="AC947">
        <f>IFERROR(VLOOKUP(Q947&amp;"",對照表!$A:$B,2,FALSE),"")</f>
        <v/>
      </c>
    </row>
    <row r="948">
      <c r="A948" s="3" t="inlineStr">
        <is>
          <t>SF5113427647928</t>
        </is>
      </c>
      <c r="B948" s="3" t="n">
        <v>58435485597871</v>
      </c>
      <c r="C948" s="3" t="inlineStr">
        <is>
          <t>已簽收</t>
        </is>
      </c>
      <c r="D948" s="3" t="inlineStr">
        <is>
          <t>2026-07-06 16:03:10</t>
        </is>
      </c>
      <c r="E948" s="3" t="inlineStr">
        <is>
          <t>2026-07-07 15:40</t>
        </is>
      </c>
      <c r="F948" s="3" t="n">
        <v>4.45</v>
      </c>
      <c r="G948" s="3" t="n">
        <v>1</v>
      </c>
      <c r="H948" s="3" t="n"/>
      <c r="I948" s="3" t="inlineStr"/>
      <c r="J948" s="3" t="inlineStr">
        <is>
          <t>Keeta</t>
        </is>
      </c>
      <c r="K948" s="3" t="inlineStr">
        <is>
          <t>****9568</t>
        </is>
      </c>
      <c r="L948" s="3" t="n"/>
      <c r="M948" s="3" t="inlineStr">
        <is>
          <t>***** 物流中心5樓</t>
        </is>
      </c>
      <c r="N948" s="3" t="inlineStr">
        <is>
          <t>北区</t>
        </is>
      </c>
      <c r="O948" s="3" t="inlineStr">
        <is>
          <t>香港</t>
        </is>
      </c>
      <c r="P948" s="3" t="inlineStr">
        <is>
          <t>香港特别行政区</t>
        </is>
      </c>
      <c r="Q948" s="3" t="n">
        <v>452077</v>
      </c>
      <c r="R948" s="3" t="inlineStr">
        <is>
          <t>廣源小廚茶餐廳KwongYuenKitchen（沙田）</t>
        </is>
      </c>
      <c r="S948" s="3" t="inlineStr">
        <is>
          <t>****68800681</t>
        </is>
      </c>
      <c r="T948" s="3" t="inlineStr">
        <is>
          <t>****68800681</t>
        </is>
      </c>
      <c r="U948" s="3" t="inlineStr">
        <is>
          <t>***** 場三座6號舖</t>
        </is>
      </c>
      <c r="V948" s="3" t="inlineStr">
        <is>
          <t>香港</t>
        </is>
      </c>
      <c r="W948" s="3" t="inlineStr">
        <is>
          <t>机纸/小票纸 / 包出</t>
        </is>
      </c>
      <c r="X948" s="3" t="inlineStr">
        <is>
          <t>ESS-SFTS-OTMS</t>
        </is>
      </c>
      <c r="Y948" s="3" t="n"/>
      <c r="Z948" s="3" t="inlineStr"/>
      <c r="AA948" s="3" t="inlineStr">
        <is>
          <t>寄付月結</t>
        </is>
      </c>
      <c r="AB948">
        <f>IFERROR(VLOOKUP(Q948&amp;"",對照表!$A:$B,1,FALSE),"")</f>
        <v/>
      </c>
      <c r="AC948">
        <f>IFERROR(VLOOKUP(Q948&amp;"",對照表!$A:$B,2,FALSE),"")</f>
        <v/>
      </c>
    </row>
    <row r="949">
      <c r="A949" s="3" t="inlineStr">
        <is>
          <t>SF5113427647821</t>
        </is>
      </c>
      <c r="B949" s="3" t="n">
        <v>58435485597851</v>
      </c>
      <c r="C949" s="3" t="inlineStr">
        <is>
          <t>已簽收</t>
        </is>
      </c>
      <c r="D949" s="3" t="inlineStr">
        <is>
          <t>2026-07-06 16:29:13</t>
        </is>
      </c>
      <c r="E949" s="3" t="inlineStr">
        <is>
          <t>2026-07-07 13:35</t>
        </is>
      </c>
      <c r="F949" s="3" t="n">
        <v>29</v>
      </c>
      <c r="G949" s="3" t="n">
        <v>2</v>
      </c>
      <c r="H949" s="3" t="n"/>
      <c r="I949" s="3" t="inlineStr"/>
      <c r="J949" s="3" t="inlineStr">
        <is>
          <t>Keeta</t>
        </is>
      </c>
      <c r="K949" s="3" t="inlineStr">
        <is>
          <t>****9568</t>
        </is>
      </c>
      <c r="L949" s="3" t="n"/>
      <c r="M949" s="3" t="inlineStr">
        <is>
          <t>***** 物流中心5樓</t>
        </is>
      </c>
      <c r="N949" s="3" t="inlineStr">
        <is>
          <t>北区</t>
        </is>
      </c>
      <c r="O949" s="3" t="inlineStr">
        <is>
          <t>香港</t>
        </is>
      </c>
      <c r="P949" s="3" t="inlineStr">
        <is>
          <t>香港特别行政区</t>
        </is>
      </c>
      <c r="Q949" s="3" t="n">
        <v>560153</v>
      </c>
      <c r="R949" s="3" t="inlineStr">
        <is>
          <t>麥當勞(亞皆老街)McDonalds</t>
        </is>
      </c>
      <c r="S949" s="3" t="inlineStr">
        <is>
          <t>****23962415</t>
        </is>
      </c>
      <c r="T949" s="3" t="inlineStr">
        <is>
          <t>****23962415</t>
        </is>
      </c>
      <c r="U949" s="3" t="inlineStr">
        <is>
          <t>***** 號地下及閣樓</t>
        </is>
      </c>
      <c r="V949" s="3" t="inlineStr">
        <is>
          <t>香港</t>
        </is>
      </c>
      <c r="W949" s="3" t="inlineStr">
        <is>
          <t>纸袋【通版】/ 箱出</t>
        </is>
      </c>
      <c r="X949" s="3" t="inlineStr">
        <is>
          <t>ESS-SFTS-OTMS</t>
        </is>
      </c>
      <c r="Y949" s="3" t="n"/>
      <c r="Z949" s="3" t="inlineStr"/>
      <c r="AA949" s="3" t="inlineStr">
        <is>
          <t>寄付月結</t>
        </is>
      </c>
      <c r="AB949">
        <f>IFERROR(VLOOKUP(Q949&amp;"",對照表!$A:$B,1,FALSE),"")</f>
        <v/>
      </c>
      <c r="AC949">
        <f>IFERROR(VLOOKUP(Q949&amp;"",對照表!$A:$B,2,FALSE),"")</f>
        <v/>
      </c>
    </row>
    <row r="950">
      <c r="A950" s="3" t="inlineStr">
        <is>
          <t>SF5113427647894</t>
        </is>
      </c>
      <c r="B950" s="3" t="n">
        <v>58435485597864</v>
      </c>
      <c r="C950" s="3" t="inlineStr">
        <is>
          <t>已簽收</t>
        </is>
      </c>
      <c r="D950" s="3" t="inlineStr">
        <is>
          <t>2026-07-06 15:44:10</t>
        </is>
      </c>
      <c r="E950" s="3" t="inlineStr">
        <is>
          <t>2026-07-07 09:35</t>
        </is>
      </c>
      <c r="F950" s="3" t="n">
        <v>72.5</v>
      </c>
      <c r="G950" s="3" t="n">
        <v>5</v>
      </c>
      <c r="H950" s="3" t="n"/>
      <c r="I950" s="3" t="inlineStr"/>
      <c r="J950" s="3" t="inlineStr">
        <is>
          <t>Keeta</t>
        </is>
      </c>
      <c r="K950" s="3" t="inlineStr">
        <is>
          <t>****9568</t>
        </is>
      </c>
      <c r="L950" s="3" t="n"/>
      <c r="M950" s="3" t="inlineStr">
        <is>
          <t>***** 物流中心5樓</t>
        </is>
      </c>
      <c r="N950" s="3" t="inlineStr">
        <is>
          <t>北区</t>
        </is>
      </c>
      <c r="O950" s="3" t="inlineStr">
        <is>
          <t>香港</t>
        </is>
      </c>
      <c r="P950" s="3" t="inlineStr">
        <is>
          <t>香港特别行政区</t>
        </is>
      </c>
      <c r="Q950" s="3" t="n">
        <v>570010</v>
      </c>
      <c r="R950" s="3" t="inlineStr">
        <is>
          <t>麥當勞(晴朗)McDonalds</t>
        </is>
      </c>
      <c r="S950" s="3" t="inlineStr">
        <is>
          <t>****23820518</t>
        </is>
      </c>
      <c r="T950" s="3" t="inlineStr">
        <is>
          <t>****23820518</t>
        </is>
      </c>
      <c r="U950" s="3" t="inlineStr">
        <is>
          <t>***** B001號舖</t>
        </is>
      </c>
      <c r="V950" s="3" t="inlineStr">
        <is>
          <t>香港</t>
        </is>
      </c>
      <c r="W950" s="3" t="inlineStr">
        <is>
          <t>纸袋【通版】/ 箱出</t>
        </is>
      </c>
      <c r="X950" s="3" t="inlineStr">
        <is>
          <t>ESS-SFTS-OTMS</t>
        </is>
      </c>
      <c r="Y950" s="3" t="n"/>
      <c r="Z950" s="3" t="inlineStr"/>
      <c r="AA950" s="3" t="inlineStr">
        <is>
          <t>寄付月結</t>
        </is>
      </c>
      <c r="AB950">
        <f>IFERROR(VLOOKUP(Q950&amp;"",對照表!$A:$B,1,FALSE),"")</f>
        <v/>
      </c>
      <c r="AC950">
        <f>IFERROR(VLOOKUP(Q950&amp;"",對照表!$A:$B,2,FALSE),"")</f>
        <v/>
      </c>
    </row>
    <row r="951">
      <c r="A951" s="3" t="inlineStr">
        <is>
          <t>SF5113427647530</t>
        </is>
      </c>
      <c r="B951" s="3" t="n">
        <v>58435485597777</v>
      </c>
      <c r="C951" s="3" t="inlineStr">
        <is>
          <t>已簽收</t>
        </is>
      </c>
      <c r="D951" s="3" t="inlineStr">
        <is>
          <t>2026-07-06 17:05:58</t>
        </is>
      </c>
      <c r="E951" s="3" t="inlineStr">
        <is>
          <t>2026-07-07 16:14</t>
        </is>
      </c>
      <c r="F951" s="3" t="n">
        <v>1</v>
      </c>
      <c r="G951" s="3" t="n">
        <v>1</v>
      </c>
      <c r="H951" s="3" t="n"/>
      <c r="I951" s="3" t="inlineStr"/>
      <c r="J951" s="3" t="inlineStr">
        <is>
          <t>Keeta</t>
        </is>
      </c>
      <c r="K951" s="3" t="inlineStr">
        <is>
          <t>****9568</t>
        </is>
      </c>
      <c r="L951" s="3" t="n"/>
      <c r="M951" s="3" t="inlineStr">
        <is>
          <t>***** 物流中心5樓</t>
        </is>
      </c>
      <c r="N951" s="3" t="inlineStr">
        <is>
          <t>北区</t>
        </is>
      </c>
      <c r="O951" s="3" t="inlineStr">
        <is>
          <t>香港</t>
        </is>
      </c>
      <c r="P951" s="3" t="inlineStr">
        <is>
          <t>香港特别行政区</t>
        </is>
      </c>
      <c r="Q951" s="3" t="n">
        <v>408891</v>
      </c>
      <c r="R951" s="3" t="inlineStr">
        <is>
          <t>KFC肯德基(奧海城二期)</t>
        </is>
      </c>
      <c r="S951" s="3" t="inlineStr">
        <is>
          <t>****29401866</t>
        </is>
      </c>
      <c r="T951" s="3" t="inlineStr">
        <is>
          <t>****29401866</t>
        </is>
      </c>
      <c r="U951" s="3" t="inlineStr">
        <is>
          <t>***** 及G39號舖</t>
        </is>
      </c>
      <c r="V951" s="3" t="inlineStr">
        <is>
          <t>香港</t>
        </is>
      </c>
      <c r="W951" s="3" t="inlineStr">
        <is>
          <t>翻新POS机【真唯】/ 件出</t>
        </is>
      </c>
      <c r="X951" s="3" t="inlineStr">
        <is>
          <t>ESS-SFTS-OTMS</t>
        </is>
      </c>
      <c r="Y951" s="3" t="n"/>
      <c r="Z951" s="3" t="inlineStr"/>
      <c r="AA951" s="3" t="inlineStr">
        <is>
          <t>寄付月結</t>
        </is>
      </c>
      <c r="AB951">
        <f>IFERROR(VLOOKUP(Q951&amp;"",對照表!$A:$B,1,FALSE),"")</f>
        <v/>
      </c>
      <c r="AC951">
        <f>IFERROR(VLOOKUP(Q951&amp;"",對照表!$A:$B,2,FALSE),"")</f>
        <v/>
      </c>
    </row>
    <row r="952">
      <c r="A952" s="3" t="inlineStr">
        <is>
          <t>SF5113427647619</t>
        </is>
      </c>
      <c r="B952" s="3" t="n">
        <v>58435485597799</v>
      </c>
      <c r="C952" s="3" t="inlineStr">
        <is>
          <t>已簽收</t>
        </is>
      </c>
      <c r="D952" s="3" t="inlineStr">
        <is>
          <t>2026-07-06 16:28:44</t>
        </is>
      </c>
      <c r="E952" s="3" t="inlineStr">
        <is>
          <t>2026-07-07 09:15</t>
        </is>
      </c>
      <c r="F952" s="3" t="n">
        <v>29</v>
      </c>
      <c r="G952" s="3" t="n">
        <v>2</v>
      </c>
      <c r="H952" s="3" t="n"/>
      <c r="I952" s="3" t="inlineStr"/>
      <c r="J952" s="3" t="inlineStr">
        <is>
          <t>Keeta</t>
        </is>
      </c>
      <c r="K952" s="3" t="inlineStr">
        <is>
          <t>****9568</t>
        </is>
      </c>
      <c r="L952" s="3" t="n"/>
      <c r="M952" s="3" t="inlineStr">
        <is>
          <t>***** 物流中心5樓</t>
        </is>
      </c>
      <c r="N952" s="3" t="inlineStr">
        <is>
          <t>北区</t>
        </is>
      </c>
      <c r="O952" s="3" t="inlineStr">
        <is>
          <t>香港</t>
        </is>
      </c>
      <c r="P952" s="3" t="inlineStr">
        <is>
          <t>香港特别行政区</t>
        </is>
      </c>
      <c r="Q952" s="3" t="n">
        <v>484653</v>
      </c>
      <c r="R952" s="3" t="inlineStr">
        <is>
          <t>麥當勞(駿業街)McDonalds</t>
        </is>
      </c>
      <c r="S952" s="3" t="inlineStr">
        <is>
          <t>****37096983</t>
        </is>
      </c>
      <c r="T952" s="3" t="inlineStr">
        <is>
          <t>****37096983</t>
        </is>
      </c>
      <c r="U952" s="3" t="inlineStr">
        <is>
          <t>***** 心1樓K號鋪</t>
        </is>
      </c>
      <c r="V952" s="3" t="inlineStr">
        <is>
          <t>香港</t>
        </is>
      </c>
      <c r="W952" s="3" t="inlineStr">
        <is>
          <t>纸袋【通版】/ 箱出</t>
        </is>
      </c>
      <c r="X952" s="3" t="inlineStr">
        <is>
          <t>ESS-SFTS-OTMS</t>
        </is>
      </c>
      <c r="Y952" s="3" t="n"/>
      <c r="Z952" s="3" t="inlineStr"/>
      <c r="AA952" s="3" t="inlineStr">
        <is>
          <t>寄付月結</t>
        </is>
      </c>
      <c r="AB952">
        <f>IFERROR(VLOOKUP(Q952&amp;"",對照表!$A:$B,1,FALSE),"")</f>
        <v/>
      </c>
      <c r="AC952">
        <f>IFERROR(VLOOKUP(Q952&amp;"",對照表!$A:$B,2,FALSE),"")</f>
        <v/>
      </c>
    </row>
    <row r="953">
      <c r="A953" s="3" t="inlineStr">
        <is>
          <t>SF5113427647673</t>
        </is>
      </c>
      <c r="B953" s="3" t="n">
        <v>58435485597817</v>
      </c>
      <c r="C953" s="3" t="inlineStr">
        <is>
          <t>已簽收</t>
        </is>
      </c>
      <c r="D953" s="3" t="inlineStr">
        <is>
          <t>2026-07-06 16:28:46</t>
        </is>
      </c>
      <c r="E953" s="3" t="inlineStr">
        <is>
          <t>2026-07-07 16:29</t>
        </is>
      </c>
      <c r="F953" s="3" t="n">
        <v>29</v>
      </c>
      <c r="G953" s="3" t="n">
        <v>2</v>
      </c>
      <c r="H953" s="3" t="n"/>
      <c r="I953" s="3" t="inlineStr"/>
      <c r="J953" s="3" t="inlineStr">
        <is>
          <t>Keeta</t>
        </is>
      </c>
      <c r="K953" s="3" t="inlineStr">
        <is>
          <t>****9568</t>
        </is>
      </c>
      <c r="L953" s="3" t="n"/>
      <c r="M953" s="3" t="inlineStr">
        <is>
          <t>***** 物流中心5樓</t>
        </is>
      </c>
      <c r="N953" s="3" t="inlineStr">
        <is>
          <t>北区</t>
        </is>
      </c>
      <c r="O953" s="3" t="inlineStr">
        <is>
          <t>香港</t>
        </is>
      </c>
      <c r="P953" s="3" t="inlineStr">
        <is>
          <t>香港特别行政区</t>
        </is>
      </c>
      <c r="Q953" s="3" t="n">
        <v>721442356</v>
      </c>
      <c r="R953" s="3" t="inlineStr">
        <is>
          <t>麥當勞(清濤)McDonalds</t>
        </is>
      </c>
      <c r="S953" s="3" t="inlineStr">
        <is>
          <t>****27559822</t>
        </is>
      </c>
      <c r="T953" s="3" t="inlineStr">
        <is>
          <t>****27559822</t>
        </is>
      </c>
      <c r="U953" s="3" t="inlineStr">
        <is>
          <t>***** 樓101號舖</t>
        </is>
      </c>
      <c r="V953" s="3" t="inlineStr">
        <is>
          <t>香港</t>
        </is>
      </c>
      <c r="W953" s="3" t="inlineStr">
        <is>
          <t>纸袋【通版】/ 箱出</t>
        </is>
      </c>
      <c r="X953" s="3" t="inlineStr">
        <is>
          <t>ESS-SFTS-OTMS</t>
        </is>
      </c>
      <c r="Y953" s="3" t="n"/>
      <c r="Z953" s="3" t="inlineStr"/>
      <c r="AA953" s="3" t="inlineStr">
        <is>
          <t>寄付月結</t>
        </is>
      </c>
      <c r="AB953">
        <f>IFERROR(VLOOKUP(Q953&amp;"",對照表!$A:$B,1,FALSE),"")</f>
        <v/>
      </c>
      <c r="AC953">
        <f>IFERROR(VLOOKUP(Q953&amp;"",對照表!$A:$B,2,FALSE),"")</f>
        <v/>
      </c>
    </row>
    <row r="954">
      <c r="A954" s="3" t="inlineStr">
        <is>
          <t>SF5113427647751</t>
        </is>
      </c>
      <c r="B954" s="3" t="n">
        <v>58435485597835</v>
      </c>
      <c r="C954" s="3" t="inlineStr">
        <is>
          <t>已簽收</t>
        </is>
      </c>
      <c r="D954" s="3" t="inlineStr">
        <is>
          <t>2026-07-06 16:01:36</t>
        </is>
      </c>
      <c r="E954" s="3" t="inlineStr">
        <is>
          <t>2026-07-07 16:35</t>
        </is>
      </c>
      <c r="F954" s="3" t="n">
        <v>4.45</v>
      </c>
      <c r="G954" s="3" t="n">
        <v>1</v>
      </c>
      <c r="H954" s="3" t="n"/>
      <c r="I954" s="3" t="inlineStr"/>
      <c r="J954" s="3" t="inlineStr">
        <is>
          <t>Keeta</t>
        </is>
      </c>
      <c r="K954" s="3" t="inlineStr">
        <is>
          <t>****9568</t>
        </is>
      </c>
      <c r="L954" s="3" t="n"/>
      <c r="M954" s="3" t="inlineStr">
        <is>
          <t>***** 物流中心5樓</t>
        </is>
      </c>
      <c r="N954" s="3" t="inlineStr">
        <is>
          <t>北区</t>
        </is>
      </c>
      <c r="O954" s="3" t="inlineStr">
        <is>
          <t>香港</t>
        </is>
      </c>
      <c r="P954" s="3" t="inlineStr">
        <is>
          <t>香港特别行政区</t>
        </is>
      </c>
      <c r="Q954" s="3" t="n">
        <v>721441343</v>
      </c>
      <c r="R954" s="3" t="inlineStr">
        <is>
          <t>正新雞排（北角店）</t>
        </is>
      </c>
      <c r="S954" s="3" t="inlineStr">
        <is>
          <t>****66741811</t>
        </is>
      </c>
      <c r="T954" s="3" t="inlineStr">
        <is>
          <t>****66741811</t>
        </is>
      </c>
      <c r="U954" s="3" t="inlineStr">
        <is>
          <t>***** 道商場2號舖</t>
        </is>
      </c>
      <c r="V954" s="3" t="inlineStr">
        <is>
          <t>香港</t>
        </is>
      </c>
      <c r="W954" s="3" t="inlineStr">
        <is>
          <t>机纸/小票纸 / 包出</t>
        </is>
      </c>
      <c r="X954" s="3" t="inlineStr">
        <is>
          <t>ESS-SFTS-OTMS</t>
        </is>
      </c>
      <c r="Y954" s="3" t="n"/>
      <c r="Z954" s="3" t="inlineStr"/>
      <c r="AA954" s="3" t="inlineStr">
        <is>
          <t>寄付月結</t>
        </is>
      </c>
      <c r="AB954">
        <f>IFERROR(VLOOKUP(Q954&amp;"",對照表!$A:$B,1,FALSE),"")</f>
        <v/>
      </c>
      <c r="AC954">
        <f>IFERROR(VLOOKUP(Q954&amp;"",對照表!$A:$B,2,FALSE),"")</f>
        <v/>
      </c>
    </row>
    <row r="955">
      <c r="A955" s="3" t="inlineStr">
        <is>
          <t>SF5113427647479</t>
        </is>
      </c>
      <c r="B955" s="3" t="n">
        <v>58435485597765</v>
      </c>
      <c r="C955" s="3" t="inlineStr">
        <is>
          <t>已簽收</t>
        </is>
      </c>
      <c r="D955" s="3" t="inlineStr">
        <is>
          <t>2026-07-06 16:01:46</t>
        </is>
      </c>
      <c r="E955" s="3" t="inlineStr">
        <is>
          <t>2026-07-07 11:41</t>
        </is>
      </c>
      <c r="F955" s="3" t="n">
        <v>4.45</v>
      </c>
      <c r="G955" s="3" t="n">
        <v>1</v>
      </c>
      <c r="H955" s="3" t="n"/>
      <c r="I955" s="3" t="inlineStr"/>
      <c r="J955" s="3" t="inlineStr">
        <is>
          <t>Keeta</t>
        </is>
      </c>
      <c r="K955" s="3" t="inlineStr">
        <is>
          <t>****9568</t>
        </is>
      </c>
      <c r="L955" s="3" t="n"/>
      <c r="M955" s="3" t="inlineStr">
        <is>
          <t>***** 物流中心5樓</t>
        </is>
      </c>
      <c r="N955" s="3" t="inlineStr">
        <is>
          <t>北区</t>
        </is>
      </c>
      <c r="O955" s="3" t="inlineStr">
        <is>
          <t>香港</t>
        </is>
      </c>
      <c r="P955" s="3" t="inlineStr">
        <is>
          <t>香港特别行政区</t>
        </is>
      </c>
      <c r="Q955" s="3" t="n">
        <v>561114</v>
      </c>
      <c r="R955" s="3" t="inlineStr">
        <is>
          <t>水門泰式海南雞飯專門店(將軍澳)</t>
        </is>
      </c>
      <c r="S955" s="3" t="inlineStr">
        <is>
          <t>****93863674</t>
        </is>
      </c>
      <c r="T955" s="3" t="inlineStr">
        <is>
          <t>****93863674</t>
        </is>
      </c>
      <c r="U955" s="3" t="inlineStr">
        <is>
          <t>***** EF07號舖</t>
        </is>
      </c>
      <c r="V955" s="3" t="inlineStr">
        <is>
          <t>香港</t>
        </is>
      </c>
      <c r="W955" s="3" t="inlineStr">
        <is>
          <t>机纸/小票纸 / 包出</t>
        </is>
      </c>
      <c r="X955" s="3" t="inlineStr">
        <is>
          <t>ESS-SFTS-OTMS</t>
        </is>
      </c>
      <c r="Y955" s="3" t="n"/>
      <c r="Z955" s="3" t="inlineStr"/>
      <c r="AA955" s="3" t="inlineStr">
        <is>
          <t>寄付月結</t>
        </is>
      </c>
      <c r="AB955">
        <f>IFERROR(VLOOKUP(Q955&amp;"",對照表!$A:$B,1,FALSE),"")</f>
        <v/>
      </c>
      <c r="AC955">
        <f>IFERROR(VLOOKUP(Q955&amp;"",對照表!$A:$B,2,FALSE),"")</f>
        <v/>
      </c>
    </row>
    <row r="956">
      <c r="A956" s="3" t="inlineStr">
        <is>
          <t>SF5113427647724</t>
        </is>
      </c>
      <c r="B956" s="3" t="n">
        <v>58435485597829</v>
      </c>
      <c r="C956" s="3" t="inlineStr">
        <is>
          <t>已簽收</t>
        </is>
      </c>
      <c r="D956" s="3" t="inlineStr">
        <is>
          <t>2026-07-06 16:01:53</t>
        </is>
      </c>
      <c r="E956" s="3" t="inlineStr">
        <is>
          <t>2026-07-07 12:45</t>
        </is>
      </c>
      <c r="F956" s="3" t="n">
        <v>4.45</v>
      </c>
      <c r="G956" s="3" t="n">
        <v>1</v>
      </c>
      <c r="H956" s="3" t="n"/>
      <c r="I956" s="3" t="inlineStr"/>
      <c r="J956" s="3" t="inlineStr">
        <is>
          <t>Keeta</t>
        </is>
      </c>
      <c r="K956" s="3" t="inlineStr">
        <is>
          <t>****9568</t>
        </is>
      </c>
      <c r="L956" s="3" t="n"/>
      <c r="M956" s="3" t="inlineStr">
        <is>
          <t>***** 物流中心5樓</t>
        </is>
      </c>
      <c r="N956" s="3" t="inlineStr">
        <is>
          <t>北区</t>
        </is>
      </c>
      <c r="O956" s="3" t="inlineStr">
        <is>
          <t>香港</t>
        </is>
      </c>
      <c r="P956" s="3" t="inlineStr">
        <is>
          <t>香港特别行政区</t>
        </is>
      </c>
      <c r="Q956" s="3" t="n">
        <v>721520340</v>
      </c>
      <c r="R956" s="3" t="inlineStr">
        <is>
          <t>葉香留每日新鮮即制涼茶中環</t>
        </is>
      </c>
      <c r="S956" s="3" t="inlineStr">
        <is>
          <t>****60106913</t>
        </is>
      </c>
      <c r="T956" s="3" t="inlineStr">
        <is>
          <t>****60106913</t>
        </is>
      </c>
      <c r="U956" s="3" t="inlineStr">
        <is>
          <t>***** ain旁邊）</t>
        </is>
      </c>
      <c r="V956" s="3" t="inlineStr">
        <is>
          <t>香港</t>
        </is>
      </c>
      <c r="W956" s="3" t="inlineStr">
        <is>
          <t>机纸/小票纸 / 包出</t>
        </is>
      </c>
      <c r="X956" s="3" t="inlineStr">
        <is>
          <t>ESS-SFTS-OTMS</t>
        </is>
      </c>
      <c r="Y956" s="3" t="n"/>
      <c r="Z956" s="3" t="inlineStr"/>
      <c r="AA956" s="3" t="inlineStr">
        <is>
          <t>寄付月結</t>
        </is>
      </c>
      <c r="AB956">
        <f>IFERROR(VLOOKUP(Q956&amp;"",對照表!$A:$B,1,FALSE),"")</f>
        <v/>
      </c>
      <c r="AC956">
        <f>IFERROR(VLOOKUP(Q956&amp;"",對照表!$A:$B,2,FALSE),"")</f>
        <v/>
      </c>
    </row>
    <row r="957">
      <c r="A957" s="3" t="inlineStr">
        <is>
          <t>SF5113427647691</t>
        </is>
      </c>
      <c r="B957" s="3" t="n">
        <v>58435485597820</v>
      </c>
      <c r="C957" s="3" t="inlineStr">
        <is>
          <t>已簽收</t>
        </is>
      </c>
      <c r="D957" s="3" t="inlineStr">
        <is>
          <t>2026-07-06 17:08:35</t>
        </is>
      </c>
      <c r="E957" s="3" t="inlineStr">
        <is>
          <t>2026-07-07 08:57</t>
        </is>
      </c>
      <c r="F957" s="3" t="n">
        <v>3.64</v>
      </c>
      <c r="G957" s="3" t="n">
        <v>1</v>
      </c>
      <c r="H957" s="3" t="n"/>
      <c r="I957" s="3" t="inlineStr"/>
      <c r="J957" s="3" t="inlineStr">
        <is>
          <t>Keeta</t>
        </is>
      </c>
      <c r="K957" s="3" t="inlineStr">
        <is>
          <t>****9568</t>
        </is>
      </c>
      <c r="L957" s="3" t="n"/>
      <c r="M957" s="3" t="inlineStr">
        <is>
          <t>***** 物流中心5樓</t>
        </is>
      </c>
      <c r="N957" s="3" t="inlineStr">
        <is>
          <t>北区</t>
        </is>
      </c>
      <c r="O957" s="3" t="inlineStr">
        <is>
          <t>香港</t>
        </is>
      </c>
      <c r="P957" s="3" t="inlineStr">
        <is>
          <t>香港特别行政区</t>
        </is>
      </c>
      <c r="Q957" s="3" t="n">
        <v>721443344</v>
      </c>
      <c r="R957" s="3" t="inlineStr">
        <is>
          <t>noc(中環寶軒酒店)</t>
        </is>
      </c>
      <c r="S957" s="3" t="inlineStr">
        <is>
          <t>****31608348</t>
        </is>
      </c>
      <c r="T957" s="3" t="inlineStr">
        <is>
          <t>****31608348</t>
        </is>
      </c>
      <c r="U957" s="3" t="inlineStr">
        <is>
          <t>***** 酒店地下A鋪</t>
        </is>
      </c>
      <c r="V957" s="3" t="inlineStr">
        <is>
          <t>香港</t>
        </is>
      </c>
      <c r="W957" s="3" t="inlineStr">
        <is>
          <t>机纸/小票纸 / 包出</t>
        </is>
      </c>
      <c r="X957" s="3" t="inlineStr">
        <is>
          <t>ESS-SFTS-OTMS</t>
        </is>
      </c>
      <c r="Y957" s="3" t="n"/>
      <c r="Z957" s="3" t="inlineStr"/>
      <c r="AA957" s="3" t="inlineStr">
        <is>
          <t>寄付月結</t>
        </is>
      </c>
      <c r="AB957">
        <f>IFERROR(VLOOKUP(Q957&amp;"",對照表!$A:$B,1,FALSE),"")</f>
        <v/>
      </c>
      <c r="AC957">
        <f>IFERROR(VLOOKUP(Q957&amp;"",對照表!$A:$B,2,FALSE),"")</f>
        <v/>
      </c>
    </row>
    <row r="958">
      <c r="A958" s="3" t="inlineStr">
        <is>
          <t>SF5113427647885</t>
        </is>
      </c>
      <c r="B958" s="3" t="n">
        <v>58435485597862</v>
      </c>
      <c r="C958" s="3" t="inlineStr">
        <is>
          <t>已簽收</t>
        </is>
      </c>
      <c r="D958" s="3" t="inlineStr">
        <is>
          <t>2026-07-06 16:03:07</t>
        </is>
      </c>
      <c r="E958" s="3" t="inlineStr">
        <is>
          <t>2026-07-07 13:12</t>
        </is>
      </c>
      <c r="F958" s="3" t="n">
        <v>4.45</v>
      </c>
      <c r="G958" s="3" t="n">
        <v>1</v>
      </c>
      <c r="H958" s="3" t="n"/>
      <c r="I958" s="3" t="inlineStr"/>
      <c r="J958" s="3" t="inlineStr">
        <is>
          <t>Keeta</t>
        </is>
      </c>
      <c r="K958" s="3" t="inlineStr">
        <is>
          <t>****9568</t>
        </is>
      </c>
      <c r="L958" s="3" t="n"/>
      <c r="M958" s="3" t="inlineStr">
        <is>
          <t>***** 物流中心5樓</t>
        </is>
      </c>
      <c r="N958" s="3" t="inlineStr">
        <is>
          <t>北区</t>
        </is>
      </c>
      <c r="O958" s="3" t="inlineStr">
        <is>
          <t>香港</t>
        </is>
      </c>
      <c r="P958" s="3" t="inlineStr">
        <is>
          <t>香港特别行政区</t>
        </is>
      </c>
      <c r="Q958" s="3" t="n">
        <v>721523313</v>
      </c>
      <c r="R958" s="3" t="inlineStr">
        <is>
          <t>我家韓食府(樂富廣場)</t>
        </is>
      </c>
      <c r="S958" s="3" t="inlineStr">
        <is>
          <t>****23682698</t>
        </is>
      </c>
      <c r="T958" s="3" t="inlineStr">
        <is>
          <t>****23682698</t>
        </is>
      </c>
      <c r="U958" s="3" t="inlineStr">
        <is>
          <t>***** 118號舖B</t>
        </is>
      </c>
      <c r="V958" s="3" t="inlineStr">
        <is>
          <t>香港</t>
        </is>
      </c>
      <c r="W958" s="3" t="inlineStr">
        <is>
          <t>机纸/小票纸 / 包出</t>
        </is>
      </c>
      <c r="X958" s="3" t="inlineStr">
        <is>
          <t>ESS-SFTS-OTMS</t>
        </is>
      </c>
      <c r="Y958" s="3" t="n"/>
      <c r="Z958" s="3" t="inlineStr"/>
      <c r="AA958" s="3" t="inlineStr">
        <is>
          <t>寄付月結</t>
        </is>
      </c>
      <c r="AB958">
        <f>IFERROR(VLOOKUP(Q958&amp;"",對照表!$A:$B,1,FALSE),"")</f>
        <v/>
      </c>
      <c r="AC958">
        <f>IFERROR(VLOOKUP(Q958&amp;"",對照表!$A:$B,2,FALSE),"")</f>
        <v/>
      </c>
    </row>
    <row r="959">
      <c r="A959" s="3" t="inlineStr">
        <is>
          <t>SF5113427647373</t>
        </is>
      </c>
      <c r="B959" s="3" t="n">
        <v>58435485597739</v>
      </c>
      <c r="C959" s="3" t="inlineStr">
        <is>
          <t>已簽收</t>
        </is>
      </c>
      <c r="D959" s="3" t="inlineStr">
        <is>
          <t>2026-07-06 17:06:24</t>
        </is>
      </c>
      <c r="E959" s="3" t="inlineStr">
        <is>
          <t>2026-07-07 12:47</t>
        </is>
      </c>
      <c r="F959" s="3" t="n">
        <v>1.32</v>
      </c>
      <c r="G959" s="3" t="n">
        <v>1</v>
      </c>
      <c r="H959" s="3" t="n"/>
      <c r="I959" s="3" t="inlineStr"/>
      <c r="J959" s="3" t="inlineStr">
        <is>
          <t>Keeta</t>
        </is>
      </c>
      <c r="K959" s="3" t="inlineStr">
        <is>
          <t>****9568</t>
        </is>
      </c>
      <c r="L959" s="3" t="n"/>
      <c r="M959" s="3" t="inlineStr">
        <is>
          <t>***** 物流中心5樓</t>
        </is>
      </c>
      <c r="N959" s="3" t="inlineStr">
        <is>
          <t>北区</t>
        </is>
      </c>
      <c r="O959" s="3" t="inlineStr">
        <is>
          <t>香港</t>
        </is>
      </c>
      <c r="P959" s="3" t="inlineStr">
        <is>
          <t>香港特别行政区</t>
        </is>
      </c>
      <c r="Q959" s="3" t="n">
        <v>458462</v>
      </c>
      <c r="R959" s="3" t="inlineStr">
        <is>
          <t>郭仔記車仔麵元朗最抵車仔麵</t>
        </is>
      </c>
      <c r="S959" s="3" t="inlineStr">
        <is>
          <t>****28787898</t>
        </is>
      </c>
      <c r="T959" s="3" t="inlineStr">
        <is>
          <t>****28787898</t>
        </is>
      </c>
      <c r="U959" s="3" t="inlineStr">
        <is>
          <t>***** 廈地下F號舖</t>
        </is>
      </c>
      <c r="V959" s="3" t="inlineStr">
        <is>
          <t>香港</t>
        </is>
      </c>
      <c r="W959" s="3" t="inlineStr">
        <is>
          <t>封签【通版】/ 扎出</t>
        </is>
      </c>
      <c r="X959" s="3" t="inlineStr">
        <is>
          <t>ESS-SFTS-OTMS</t>
        </is>
      </c>
      <c r="Y959" s="3" t="n"/>
      <c r="Z959" s="3" t="inlineStr"/>
      <c r="AA959" s="3" t="inlineStr">
        <is>
          <t>寄付月結</t>
        </is>
      </c>
      <c r="AB959">
        <f>IFERROR(VLOOKUP(Q959&amp;"",對照表!$A:$B,1,FALSE),"")</f>
        <v/>
      </c>
      <c r="AC959">
        <f>IFERROR(VLOOKUP(Q959&amp;"",對照表!$A:$B,2,FALSE),"")</f>
        <v/>
      </c>
    </row>
    <row r="960">
      <c r="A960" s="3" t="inlineStr">
        <is>
          <t>SF5113427647973</t>
        </is>
      </c>
      <c r="B960" s="3" t="n">
        <v>58435485597882</v>
      </c>
      <c r="C960" s="3" t="inlineStr">
        <is>
          <t>已簽收</t>
        </is>
      </c>
      <c r="D960" s="3" t="inlineStr">
        <is>
          <t>2026-07-06 16:01:43</t>
        </is>
      </c>
      <c r="E960" s="3" t="inlineStr">
        <is>
          <t>2026-07-07 12:34</t>
        </is>
      </c>
      <c r="F960" s="3" t="n">
        <v>4.45</v>
      </c>
      <c r="G960" s="3" t="n">
        <v>1</v>
      </c>
      <c r="H960" s="3" t="n"/>
      <c r="I960" s="3" t="inlineStr"/>
      <c r="J960" s="3" t="inlineStr">
        <is>
          <t>Keeta</t>
        </is>
      </c>
      <c r="K960" s="3" t="inlineStr">
        <is>
          <t>****9568</t>
        </is>
      </c>
      <c r="L960" s="3" t="n"/>
      <c r="M960" s="3" t="inlineStr">
        <is>
          <t>***** 物流中心5樓</t>
        </is>
      </c>
      <c r="N960" s="3" t="inlineStr">
        <is>
          <t>北区</t>
        </is>
      </c>
      <c r="O960" s="3" t="inlineStr">
        <is>
          <t>香港</t>
        </is>
      </c>
      <c r="P960" s="3" t="inlineStr">
        <is>
          <t>香港特别行政区</t>
        </is>
      </c>
      <c r="Q960" s="3" t="n">
        <v>607284</v>
      </c>
      <c r="R960" s="3" t="inlineStr">
        <is>
          <t>沙嗲王(WOO嘉湖二期)</t>
        </is>
      </c>
      <c r="S960" s="3" t="inlineStr">
        <is>
          <t>****21267261</t>
        </is>
      </c>
      <c r="T960" s="3" t="inlineStr">
        <is>
          <t>****21267261</t>
        </is>
      </c>
      <c r="U960" s="3" t="inlineStr">
        <is>
          <t>***** G01C號舖</t>
        </is>
      </c>
      <c r="V960" s="3" t="inlineStr">
        <is>
          <t>香港</t>
        </is>
      </c>
      <c r="W960" s="3" t="inlineStr">
        <is>
          <t>机纸/小票纸 / 包出</t>
        </is>
      </c>
      <c r="X960" s="3" t="inlineStr">
        <is>
          <t>ESS-SFTS-OTMS</t>
        </is>
      </c>
      <c r="Y960" s="3" t="n"/>
      <c r="Z960" s="3" t="inlineStr"/>
      <c r="AA960" s="3" t="inlineStr">
        <is>
          <t>寄付月結</t>
        </is>
      </c>
      <c r="AB960">
        <f>IFERROR(VLOOKUP(Q960&amp;"",對照表!$A:$B,1,FALSE),"")</f>
        <v/>
      </c>
      <c r="AC960">
        <f>IFERROR(VLOOKUP(Q960&amp;"",對照表!$A:$B,2,FALSE),"")</f>
        <v/>
      </c>
    </row>
    <row r="961">
      <c r="A961" s="3" t="inlineStr">
        <is>
          <t>SF5113427647549</t>
        </is>
      </c>
      <c r="B961" s="3" t="n">
        <v>58435485597781</v>
      </c>
      <c r="C961" s="3" t="inlineStr">
        <is>
          <t>已簽收</t>
        </is>
      </c>
      <c r="D961" s="3" t="inlineStr">
        <is>
          <t>2026-07-06 15:18:55</t>
        </is>
      </c>
      <c r="E961" s="3" t="inlineStr">
        <is>
          <t>2026-07-07 10:09</t>
        </is>
      </c>
      <c r="F961" s="3" t="n">
        <v>14.5</v>
      </c>
      <c r="G961" s="3" t="n">
        <v>1</v>
      </c>
      <c r="H961" s="3" t="n"/>
      <c r="I961" s="3" t="inlineStr"/>
      <c r="J961" s="3" t="inlineStr">
        <is>
          <t>Keeta</t>
        </is>
      </c>
      <c r="K961" s="3" t="inlineStr">
        <is>
          <t>****9568</t>
        </is>
      </c>
      <c r="L961" s="3" t="n"/>
      <c r="M961" s="3" t="inlineStr">
        <is>
          <t>***** 物流中心5樓</t>
        </is>
      </c>
      <c r="N961" s="3" t="inlineStr">
        <is>
          <t>北区</t>
        </is>
      </c>
      <c r="O961" s="3" t="inlineStr">
        <is>
          <t>香港</t>
        </is>
      </c>
      <c r="P961" s="3" t="inlineStr">
        <is>
          <t>香港特别行政区</t>
        </is>
      </c>
      <c r="Q961" s="3" t="n">
        <v>451899</v>
      </c>
      <c r="R961" s="3" t="inlineStr">
        <is>
          <t>鐵板神蒜福星高照二人套餐</t>
        </is>
      </c>
      <c r="S961" s="3" t="inlineStr">
        <is>
          <t>****97199907</t>
        </is>
      </c>
      <c r="T961" s="3" t="inlineStr">
        <is>
          <t>****97199907</t>
        </is>
      </c>
      <c r="U961" s="3" t="inlineStr">
        <is>
          <t>***** 東街市7號舖</t>
        </is>
      </c>
      <c r="V961" s="3" t="inlineStr">
        <is>
          <t>香港</t>
        </is>
      </c>
      <c r="W961" s="3" t="inlineStr">
        <is>
          <t>纸袋【通版】/ 箱出</t>
        </is>
      </c>
      <c r="X961" s="3" t="inlineStr">
        <is>
          <t>ESS-SFTS-OTMS</t>
        </is>
      </c>
      <c r="Y961" s="3" t="n"/>
      <c r="Z961" s="3" t="inlineStr"/>
      <c r="AA961" s="3" t="inlineStr">
        <is>
          <t>寄付月結</t>
        </is>
      </c>
      <c r="AB961">
        <f>IFERROR(VLOOKUP(Q961&amp;"",對照表!$A:$B,1,FALSE),"")</f>
        <v/>
      </c>
      <c r="AC961">
        <f>IFERROR(VLOOKUP(Q961&amp;"",對照表!$A:$B,2,FALSE),"")</f>
        <v/>
      </c>
    </row>
    <row r="962">
      <c r="A962" s="3" t="inlineStr">
        <is>
          <t>SF5113427647867</t>
        </is>
      </c>
      <c r="B962" s="3" t="n">
        <v>58435485597858</v>
      </c>
      <c r="C962" s="3" t="inlineStr">
        <is>
          <t>已簽收</t>
        </is>
      </c>
      <c r="D962" s="3" t="inlineStr">
        <is>
          <t>2026-07-06 17:04:49</t>
        </is>
      </c>
      <c r="E962" s="3" t="inlineStr">
        <is>
          <t>2026-07-07 17:24</t>
        </is>
      </c>
      <c r="F962" s="3" t="n">
        <v>2.36</v>
      </c>
      <c r="G962" s="3" t="n">
        <v>1</v>
      </c>
      <c r="H962" s="3" t="n"/>
      <c r="I962" s="3" t="inlineStr"/>
      <c r="J962" s="3" t="inlineStr">
        <is>
          <t>Keeta</t>
        </is>
      </c>
      <c r="K962" s="3" t="inlineStr">
        <is>
          <t>****9568</t>
        </is>
      </c>
      <c r="L962" s="3" t="n"/>
      <c r="M962" s="3" t="inlineStr">
        <is>
          <t>***** 物流中心5樓</t>
        </is>
      </c>
      <c r="N962" s="3" t="inlineStr">
        <is>
          <t>北区</t>
        </is>
      </c>
      <c r="O962" s="3" t="inlineStr">
        <is>
          <t>香港</t>
        </is>
      </c>
      <c r="P962" s="3" t="inlineStr">
        <is>
          <t>香港特别行政区</t>
        </is>
      </c>
      <c r="Q962" s="3" t="n">
        <v>474806</v>
      </c>
      <c r="R962" s="3" t="inlineStr">
        <is>
          <t>雪山冰廳（嘉頓旁）</t>
        </is>
      </c>
      <c r="S962" s="3" t="inlineStr">
        <is>
          <t>****23865025</t>
        </is>
      </c>
      <c r="T962" s="3" t="inlineStr">
        <is>
          <t>****23865025</t>
        </is>
      </c>
      <c r="U962" s="3" t="inlineStr">
        <is>
          <t>***** 62D號地舖</t>
        </is>
      </c>
      <c r="V962" s="3" t="inlineStr">
        <is>
          <t>香港</t>
        </is>
      </c>
      <c r="W962" s="3" t="inlineStr">
        <is>
          <t>机纸/小票纸 / 包出</t>
        </is>
      </c>
      <c r="X962" s="3" t="inlineStr">
        <is>
          <t>ESS-SFTS-OTMS</t>
        </is>
      </c>
      <c r="Y962" s="3" t="n"/>
      <c r="Z962" s="3" t="inlineStr"/>
      <c r="AA962" s="3" t="inlineStr">
        <is>
          <t>寄付月結</t>
        </is>
      </c>
      <c r="AB962">
        <f>IFERROR(VLOOKUP(Q962&amp;"",對照表!$A:$B,1,FALSE),"")</f>
        <v/>
      </c>
      <c r="AC962">
        <f>IFERROR(VLOOKUP(Q962&amp;"",對照表!$A:$B,2,FALSE),"")</f>
        <v/>
      </c>
    </row>
    <row r="963">
      <c r="A963" s="3" t="inlineStr">
        <is>
          <t>SF5113427647876</t>
        </is>
      </c>
      <c r="B963" s="3" t="n">
        <v>58435485597861</v>
      </c>
      <c r="C963" s="3" t="inlineStr">
        <is>
          <t>已簽收</t>
        </is>
      </c>
      <c r="D963" s="3" t="inlineStr">
        <is>
          <t>2026-07-06 16:01:45</t>
        </is>
      </c>
      <c r="E963" s="3" t="inlineStr">
        <is>
          <t>2026-07-07 11:52</t>
        </is>
      </c>
      <c r="F963" s="3" t="n">
        <v>4.45</v>
      </c>
      <c r="G963" s="3" t="n">
        <v>1</v>
      </c>
      <c r="H963" s="3" t="n"/>
      <c r="I963" s="3" t="inlineStr"/>
      <c r="J963" s="3" t="inlineStr">
        <is>
          <t>Keeta</t>
        </is>
      </c>
      <c r="K963" s="3" t="inlineStr">
        <is>
          <t>****9568</t>
        </is>
      </c>
      <c r="L963" s="3" t="n"/>
      <c r="M963" s="3" t="inlineStr">
        <is>
          <t>***** 物流中心5樓</t>
        </is>
      </c>
      <c r="N963" s="3" t="inlineStr">
        <is>
          <t>北区</t>
        </is>
      </c>
      <c r="O963" s="3" t="inlineStr">
        <is>
          <t>香港</t>
        </is>
      </c>
      <c r="P963" s="3" t="inlineStr">
        <is>
          <t>香港特别行政区</t>
        </is>
      </c>
      <c r="Q963" s="3" t="n">
        <v>451715</v>
      </c>
      <c r="R963" s="3" t="inlineStr">
        <is>
          <t>德美壽司</t>
        </is>
      </c>
      <c r="S963" s="3" t="inlineStr">
        <is>
          <t>****92755447</t>
        </is>
      </c>
      <c r="T963" s="3" t="inlineStr">
        <is>
          <t>****92755447</t>
        </is>
      </c>
      <c r="U963" s="3" t="inlineStr">
        <is>
          <t>***** 園閣地下E舗</t>
        </is>
      </c>
      <c r="V963" s="3" t="inlineStr">
        <is>
          <t>香港</t>
        </is>
      </c>
      <c r="W963" s="3" t="inlineStr">
        <is>
          <t>机纸/小票纸 / 包出</t>
        </is>
      </c>
      <c r="X963" s="3" t="inlineStr">
        <is>
          <t>ESS-SFTS-OTMS</t>
        </is>
      </c>
      <c r="Y963" s="3" t="n"/>
      <c r="Z963" s="3" t="inlineStr"/>
      <c r="AA963" s="3" t="inlineStr">
        <is>
          <t>寄付月結</t>
        </is>
      </c>
      <c r="AB963">
        <f>IFERROR(VLOOKUP(Q963&amp;"",對照表!$A:$B,1,FALSE),"")</f>
        <v/>
      </c>
      <c r="AC963">
        <f>IFERROR(VLOOKUP(Q963&amp;"",對照表!$A:$B,2,FALSE),"")</f>
        <v/>
      </c>
    </row>
    <row r="964">
      <c r="A964" s="3" t="inlineStr">
        <is>
          <t>SF5113427647442</t>
        </is>
      </c>
      <c r="B964" s="3" t="n">
        <v>58435485597756</v>
      </c>
      <c r="C964" s="3" t="inlineStr">
        <is>
          <t>已簽收</t>
        </is>
      </c>
      <c r="D964" s="3" t="inlineStr">
        <is>
          <t>2026-07-06 17:08:34</t>
        </is>
      </c>
      <c r="E964" s="3" t="inlineStr">
        <is>
          <t>2026-07-07 15:25</t>
        </is>
      </c>
      <c r="F964" s="3" t="n">
        <v>3.64</v>
      </c>
      <c r="G964" s="3" t="n">
        <v>1</v>
      </c>
      <c r="H964" s="3" t="n"/>
      <c r="I964" s="3" t="inlineStr"/>
      <c r="J964" s="3" t="inlineStr">
        <is>
          <t>Keeta</t>
        </is>
      </c>
      <c r="K964" s="3" t="inlineStr">
        <is>
          <t>****9568</t>
        </is>
      </c>
      <c r="L964" s="3" t="n"/>
      <c r="M964" s="3" t="inlineStr">
        <is>
          <t>***** 物流中心5樓</t>
        </is>
      </c>
      <c r="N964" s="3" t="inlineStr">
        <is>
          <t>北区</t>
        </is>
      </c>
      <c r="O964" s="3" t="inlineStr">
        <is>
          <t>香港</t>
        </is>
      </c>
      <c r="P964" s="3" t="inlineStr">
        <is>
          <t>香港特别行政区</t>
        </is>
      </c>
      <c r="Q964" s="3" t="n">
        <v>458718</v>
      </c>
      <c r="R964" s="3" t="inlineStr">
        <is>
          <t>一品雞煲火鍋（旺角）TheGreatRestaurant</t>
        </is>
      </c>
      <c r="S964" s="3" t="inlineStr">
        <is>
          <t>****22953337</t>
        </is>
      </c>
      <c r="T964" s="3" t="inlineStr">
        <is>
          <t>****22953337</t>
        </is>
      </c>
      <c r="U964" s="3" t="inlineStr">
        <is>
          <t>***** 商業中心二樓</t>
        </is>
      </c>
      <c r="V964" s="3" t="inlineStr">
        <is>
          <t>香港</t>
        </is>
      </c>
      <c r="W964" s="3" t="inlineStr">
        <is>
          <t>机纸/小票纸 / 包出</t>
        </is>
      </c>
      <c r="X964" s="3" t="inlineStr">
        <is>
          <t>ESS-SFTS-OTMS</t>
        </is>
      </c>
      <c r="Y964" s="3" t="n"/>
      <c r="Z964" s="3" t="inlineStr"/>
      <c r="AA964" s="3" t="inlineStr">
        <is>
          <t>寄付月結</t>
        </is>
      </c>
      <c r="AB964">
        <f>IFERROR(VLOOKUP(Q964&amp;"",對照表!$A:$B,1,FALSE),"")</f>
        <v/>
      </c>
      <c r="AC964">
        <f>IFERROR(VLOOKUP(Q964&amp;"",對照表!$A:$B,2,FALSE),"")</f>
        <v/>
      </c>
    </row>
    <row r="965">
      <c r="A965" s="3" t="inlineStr">
        <is>
          <t>SF5113427647797</t>
        </is>
      </c>
      <c r="B965" s="3" t="n">
        <v>58435485597842</v>
      </c>
      <c r="C965" s="3" t="inlineStr">
        <is>
          <t>派送中</t>
        </is>
      </c>
      <c r="D965" s="3" t="inlineStr">
        <is>
          <t>2026-07-06 15:35:22</t>
        </is>
      </c>
      <c r="E965" s="3" t="n"/>
      <c r="F965" s="3" t="n">
        <v>87</v>
      </c>
      <c r="G965" s="3" t="n">
        <v>6</v>
      </c>
      <c r="H965" s="3" t="n"/>
      <c r="I965" s="3" t="inlineStr"/>
      <c r="J965" s="3" t="inlineStr">
        <is>
          <t>Keeta</t>
        </is>
      </c>
      <c r="K965" s="3" t="inlineStr">
        <is>
          <t>****9568</t>
        </is>
      </c>
      <c r="L965" s="3" t="n"/>
      <c r="M965" s="3" t="inlineStr">
        <is>
          <t>***** 物流中心5樓</t>
        </is>
      </c>
      <c r="N965" s="3" t="inlineStr">
        <is>
          <t>北区</t>
        </is>
      </c>
      <c r="O965" s="3" t="inlineStr">
        <is>
          <t>香港</t>
        </is>
      </c>
      <c r="P965" s="3" t="inlineStr">
        <is>
          <t>香港特别行政区</t>
        </is>
      </c>
      <c r="Q965" s="3" t="n">
        <v>491491</v>
      </c>
      <c r="R965" s="3" t="inlineStr">
        <is>
          <t>麥當勞(海悅豪園)McDonalds</t>
        </is>
      </c>
      <c r="S965" s="3" t="inlineStr">
        <is>
          <t>****22744106</t>
        </is>
      </c>
      <c r="T965" s="3" t="inlineStr">
        <is>
          <t>****22744106</t>
        </is>
      </c>
      <c r="U965" s="3" t="inlineStr">
        <is>
          <t>***** 園地下九號舖</t>
        </is>
      </c>
      <c r="V965" s="3" t="inlineStr">
        <is>
          <t>香港</t>
        </is>
      </c>
      <c r="W965" s="3" t="inlineStr">
        <is>
          <t>纸袋【通版】/ 箱出</t>
        </is>
      </c>
      <c r="X965" s="3" t="inlineStr">
        <is>
          <t>ESS-SFTS-OTMS</t>
        </is>
      </c>
      <c r="Y965" s="3" t="n"/>
      <c r="Z965" s="3" t="inlineStr"/>
      <c r="AA965" s="3" t="inlineStr">
        <is>
          <t>寄付月結</t>
        </is>
      </c>
      <c r="AB965">
        <f>IFERROR(VLOOKUP(Q965&amp;"",對照表!$A:$B,1,FALSE),"")</f>
        <v/>
      </c>
      <c r="AC965">
        <f>IFERROR(VLOOKUP(Q965&amp;"",對照表!$A:$B,2,FALSE),"")</f>
        <v/>
      </c>
    </row>
    <row r="966">
      <c r="A966" s="3" t="inlineStr">
        <is>
          <t>SF5113427647585</t>
        </is>
      </c>
      <c r="B966" s="3" t="n">
        <v>58435485597791</v>
      </c>
      <c r="C966" s="3" t="inlineStr">
        <is>
          <t>已簽收</t>
        </is>
      </c>
      <c r="D966" s="3" t="inlineStr">
        <is>
          <t>2026-07-06 15:46:28</t>
        </is>
      </c>
      <c r="E966" s="3" t="inlineStr">
        <is>
          <t>2026-07-07 20:05</t>
        </is>
      </c>
      <c r="F966" s="3" t="n">
        <v>58</v>
      </c>
      <c r="G966" s="3" t="n">
        <v>4</v>
      </c>
      <c r="H966" s="3" t="n"/>
      <c r="I966" s="3" t="inlineStr"/>
      <c r="J966" s="3" t="inlineStr">
        <is>
          <t>Keeta</t>
        </is>
      </c>
      <c r="K966" s="3" t="inlineStr">
        <is>
          <t>****9568</t>
        </is>
      </c>
      <c r="L966" s="3" t="n"/>
      <c r="M966" s="3" t="inlineStr">
        <is>
          <t>***** 物流中心5樓</t>
        </is>
      </c>
      <c r="N966" s="3" t="inlineStr">
        <is>
          <t>北区</t>
        </is>
      </c>
      <c r="O966" s="3" t="inlineStr">
        <is>
          <t>香港</t>
        </is>
      </c>
      <c r="P966" s="3" t="inlineStr">
        <is>
          <t>香港特别行政区</t>
        </is>
      </c>
      <c r="Q966" s="3" t="n">
        <v>452066</v>
      </c>
      <c r="R966" s="3" t="inlineStr">
        <is>
          <t>麥當勞(新屯門)McDonalds</t>
        </is>
      </c>
      <c r="S966" s="3" t="inlineStr">
        <is>
          <t>****24683707</t>
        </is>
      </c>
      <c r="T966" s="3" t="inlineStr">
        <is>
          <t>****24683707</t>
        </is>
      </c>
      <c r="U966" s="3" t="inlineStr">
        <is>
          <t>***** 9-11號舖</t>
        </is>
      </c>
      <c r="V966" s="3" t="inlineStr">
        <is>
          <t>香港</t>
        </is>
      </c>
      <c r="W966" s="3" t="inlineStr">
        <is>
          <t>纸袋【通版】/ 箱出</t>
        </is>
      </c>
      <c r="X966" s="3" t="inlineStr">
        <is>
          <t>ESS-SFTS-OTMS</t>
        </is>
      </c>
      <c r="Y966" s="3" t="n"/>
      <c r="Z966" s="3" t="inlineStr"/>
      <c r="AA966" s="3" t="inlineStr">
        <is>
          <t>寄付月結</t>
        </is>
      </c>
      <c r="AB966">
        <f>IFERROR(VLOOKUP(Q966&amp;"",對照表!$A:$B,1,FALSE),"")</f>
        <v/>
      </c>
      <c r="AC966">
        <f>IFERROR(VLOOKUP(Q966&amp;"",對照表!$A:$B,2,FALSE),"")</f>
        <v/>
      </c>
    </row>
    <row r="967">
      <c r="A967" s="3" t="inlineStr">
        <is>
          <t>SF5113427647742</t>
        </is>
      </c>
      <c r="B967" s="3" t="n">
        <v>58435485597832</v>
      </c>
      <c r="C967" s="3" t="inlineStr">
        <is>
          <t>已簽收</t>
        </is>
      </c>
      <c r="D967" s="3" t="inlineStr">
        <is>
          <t>2026-07-06 16:44:22</t>
        </is>
      </c>
      <c r="E967" s="3" t="inlineStr">
        <is>
          <t>2026-07-07 11:14</t>
        </is>
      </c>
      <c r="F967" s="3" t="n">
        <v>0.67</v>
      </c>
      <c r="G967" s="3" t="n">
        <v>1</v>
      </c>
      <c r="H967" s="3" t="n"/>
      <c r="I967" s="3" t="inlineStr"/>
      <c r="J967" s="3" t="inlineStr">
        <is>
          <t>Keeta</t>
        </is>
      </c>
      <c r="K967" s="3" t="inlineStr">
        <is>
          <t>****9568</t>
        </is>
      </c>
      <c r="L967" s="3" t="n"/>
      <c r="M967" s="3" t="inlineStr">
        <is>
          <t>***** 物流中心5樓</t>
        </is>
      </c>
      <c r="N967" s="3" t="inlineStr">
        <is>
          <t>北区</t>
        </is>
      </c>
      <c r="O967" s="3" t="inlineStr">
        <is>
          <t>香港</t>
        </is>
      </c>
      <c r="P967" s="3" t="inlineStr">
        <is>
          <t>香港特别行政区</t>
        </is>
      </c>
      <c r="Q967" s="3" t="n">
        <v>721434399</v>
      </c>
      <c r="R967" s="3" t="inlineStr">
        <is>
          <t>富華冰室（銅鑼灣渣甸坊店）《招牌馳名燒味》</t>
        </is>
      </c>
      <c r="S967" s="3" t="inlineStr">
        <is>
          <t>****25202299</t>
        </is>
      </c>
      <c r="T967" s="3" t="inlineStr">
        <is>
          <t>****25202299</t>
        </is>
      </c>
      <c r="U967" s="3" t="inlineStr">
        <is>
          <t>***** 下3至7號舖</t>
        </is>
      </c>
      <c r="V967" s="3" t="inlineStr">
        <is>
          <t>香港</t>
        </is>
      </c>
      <c r="W967" s="3" t="inlineStr">
        <is>
          <t>机纸/小票纸 / 包出</t>
        </is>
      </c>
      <c r="X967" s="3" t="inlineStr">
        <is>
          <t>ESS-SFTS-OTMS</t>
        </is>
      </c>
      <c r="Y967" s="3" t="n"/>
      <c r="Z967" s="3" t="inlineStr"/>
      <c r="AA967" s="3" t="inlineStr">
        <is>
          <t>寄付月結</t>
        </is>
      </c>
      <c r="AB967">
        <f>IFERROR(VLOOKUP(Q967&amp;"",對照表!$A:$B,1,FALSE),"")</f>
        <v/>
      </c>
      <c r="AC967">
        <f>IFERROR(VLOOKUP(Q967&amp;"",對照表!$A:$B,2,FALSE),"")</f>
        <v/>
      </c>
    </row>
    <row r="968">
      <c r="A968" s="3" t="inlineStr">
        <is>
          <t>SF5113427647849</t>
        </is>
      </c>
      <c r="B968" s="3" t="n">
        <v>58435485597854</v>
      </c>
      <c r="C968" s="3" t="inlineStr">
        <is>
          <t>已簽收</t>
        </is>
      </c>
      <c r="D968" s="3" t="inlineStr">
        <is>
          <t>2026-07-06 16:29:12</t>
        </is>
      </c>
      <c r="E968" s="3" t="inlineStr">
        <is>
          <t>2026-07-07 13:13</t>
        </is>
      </c>
      <c r="F968" s="3" t="n">
        <v>29</v>
      </c>
      <c r="G968" s="3" t="n">
        <v>2</v>
      </c>
      <c r="H968" s="3" t="n"/>
      <c r="I968" s="3" t="inlineStr"/>
      <c r="J968" s="3" t="inlineStr">
        <is>
          <t>Keeta</t>
        </is>
      </c>
      <c r="K968" s="3" t="inlineStr">
        <is>
          <t>****9568</t>
        </is>
      </c>
      <c r="L968" s="3" t="n"/>
      <c r="M968" s="3" t="inlineStr">
        <is>
          <t>***** 物流中心5樓</t>
        </is>
      </c>
      <c r="N968" s="3" t="inlineStr">
        <is>
          <t>北区</t>
        </is>
      </c>
      <c r="O968" s="3" t="inlineStr">
        <is>
          <t>香港</t>
        </is>
      </c>
      <c r="P968" s="3" t="inlineStr">
        <is>
          <t>香港特别行政区</t>
        </is>
      </c>
      <c r="Q968" s="3" t="n">
        <v>578206</v>
      </c>
      <c r="R968" s="3" t="inlineStr">
        <is>
          <t>麥當勞(愛東)McDonalds</t>
        </is>
      </c>
      <c r="S968" s="3" t="inlineStr">
        <is>
          <t>****25604242</t>
        </is>
      </c>
      <c r="T968" s="3" t="inlineStr">
        <is>
          <t>****25604242</t>
        </is>
      </c>
      <c r="U968" s="3" t="inlineStr">
        <is>
          <t>***** 地下11號舖</t>
        </is>
      </c>
      <c r="V968" s="3" t="inlineStr">
        <is>
          <t>香港</t>
        </is>
      </c>
      <c r="W968" s="3" t="inlineStr">
        <is>
          <t>纸袋【通版】/ 箱出</t>
        </is>
      </c>
      <c r="X968" s="3" t="inlineStr">
        <is>
          <t>ESS-SFTS-OTMS</t>
        </is>
      </c>
      <c r="Y968" s="3" t="n"/>
      <c r="Z968" s="3" t="inlineStr"/>
      <c r="AA968" s="3" t="inlineStr">
        <is>
          <t>寄付月結</t>
        </is>
      </c>
      <c r="AB968">
        <f>IFERROR(VLOOKUP(Q968&amp;"",對照表!$A:$B,1,FALSE),"")</f>
        <v/>
      </c>
      <c r="AC968">
        <f>IFERROR(VLOOKUP(Q968&amp;"",對照表!$A:$B,2,FALSE),"")</f>
        <v/>
      </c>
    </row>
    <row r="969">
      <c r="A969" s="3" t="inlineStr">
        <is>
          <t>SF5113427647600</t>
        </is>
      </c>
      <c r="B969" s="3" t="n">
        <v>58435485597796</v>
      </c>
      <c r="C969" s="3" t="inlineStr">
        <is>
          <t>已簽收</t>
        </is>
      </c>
      <c r="D969" s="3" t="inlineStr">
        <is>
          <t>2026-07-06 17:45:27</t>
        </is>
      </c>
      <c r="E969" s="3" t="inlineStr">
        <is>
          <t>2026-07-07 13:50</t>
        </is>
      </c>
      <c r="F969" s="3" t="n">
        <v>2.52</v>
      </c>
      <c r="G969" s="3" t="n">
        <v>1</v>
      </c>
      <c r="H969" s="3" t="n"/>
      <c r="I969" s="3" t="inlineStr"/>
      <c r="J969" s="3" t="inlineStr">
        <is>
          <t>Keeta</t>
        </is>
      </c>
      <c r="K969" s="3" t="inlineStr">
        <is>
          <t>****9568</t>
        </is>
      </c>
      <c r="L969" s="3" t="n"/>
      <c r="M969" s="3" t="inlineStr">
        <is>
          <t>***** 物流中心5樓</t>
        </is>
      </c>
      <c r="N969" s="3" t="inlineStr">
        <is>
          <t>北区</t>
        </is>
      </c>
      <c r="O969" s="3" t="inlineStr">
        <is>
          <t>香港</t>
        </is>
      </c>
      <c r="P969" s="3" t="inlineStr">
        <is>
          <t>香港特别行政区</t>
        </is>
      </c>
      <c r="Q969" s="3" t="n">
        <v>472859</v>
      </c>
      <c r="R969" s="3" t="inlineStr">
        <is>
          <t>SeoulNoodles超濃牛骨湯韓式刀削麵</t>
        </is>
      </c>
      <c r="S969" s="3" t="inlineStr">
        <is>
          <t>****44216343</t>
        </is>
      </c>
      <c r="T969" s="3" t="inlineStr">
        <is>
          <t>****44216343</t>
        </is>
      </c>
      <c r="U969" s="3" t="inlineStr">
        <is>
          <t>***** 下4-6號舖</t>
        </is>
      </c>
      <c r="V969" s="3" t="inlineStr">
        <is>
          <t>香港</t>
        </is>
      </c>
      <c r="W969" s="3" t="inlineStr">
        <is>
          <t>塑料袋【小】/ 扎出</t>
        </is>
      </c>
      <c r="X969" s="3" t="inlineStr">
        <is>
          <t>ESS-SFTS-OTMS</t>
        </is>
      </c>
      <c r="Y969" s="3" t="n"/>
      <c r="Z969" s="3" t="inlineStr"/>
      <c r="AA969" s="3" t="inlineStr">
        <is>
          <t>寄付月結</t>
        </is>
      </c>
      <c r="AB969">
        <f>IFERROR(VLOOKUP(Q969&amp;"",對照表!$A:$B,1,FALSE),"")</f>
        <v/>
      </c>
      <c r="AC969">
        <f>IFERROR(VLOOKUP(Q969&amp;"",對照表!$A:$B,2,FALSE),"")</f>
        <v/>
      </c>
    </row>
    <row r="970">
      <c r="A970" s="3" t="inlineStr">
        <is>
          <t>SF5113427647803</t>
        </is>
      </c>
      <c r="B970" s="3" t="n">
        <v>58435485597846</v>
      </c>
      <c r="C970" s="3" t="inlineStr">
        <is>
          <t>已簽收</t>
        </is>
      </c>
      <c r="D970" s="3" t="inlineStr">
        <is>
          <t>2026-07-06 16:01:55</t>
        </is>
      </c>
      <c r="E970" s="3" t="inlineStr">
        <is>
          <t>2026-07-07 09:21</t>
        </is>
      </c>
      <c r="F970" s="3" t="n">
        <v>4.45</v>
      </c>
      <c r="G970" s="3" t="n">
        <v>1</v>
      </c>
      <c r="H970" s="3" t="n"/>
      <c r="I970" s="3" t="inlineStr"/>
      <c r="J970" s="3" t="inlineStr">
        <is>
          <t>Keeta</t>
        </is>
      </c>
      <c r="K970" s="3" t="inlineStr">
        <is>
          <t>****9568</t>
        </is>
      </c>
      <c r="L970" s="3" t="n"/>
      <c r="M970" s="3" t="inlineStr">
        <is>
          <t>***** 物流中心5樓</t>
        </is>
      </c>
      <c r="N970" s="3" t="inlineStr">
        <is>
          <t>北区</t>
        </is>
      </c>
      <c r="O970" s="3" t="inlineStr">
        <is>
          <t>香港</t>
        </is>
      </c>
      <c r="P970" s="3" t="inlineStr">
        <is>
          <t>香港特别行政区</t>
        </is>
      </c>
      <c r="Q970" s="3" t="n">
        <v>475091</v>
      </c>
      <c r="R970" s="3" t="inlineStr">
        <is>
          <t>揚食屋(中環)人氣招牌日式丼飯性價比極高</t>
        </is>
      </c>
      <c r="S970" s="3" t="inlineStr">
        <is>
          <t>****28815628</t>
        </is>
      </c>
      <c r="T970" s="3" t="inlineStr">
        <is>
          <t>****28815628</t>
        </is>
      </c>
      <c r="U970" s="3" t="inlineStr">
        <is>
          <t>*****  A舖 (勵</t>
        </is>
      </c>
      <c r="V970" s="3" t="inlineStr">
        <is>
          <t>香港</t>
        </is>
      </c>
      <c r="W970" s="3" t="inlineStr">
        <is>
          <t>机纸/小票纸 / 包出</t>
        </is>
      </c>
      <c r="X970" s="3" t="inlineStr">
        <is>
          <t>ESS-SFTS-OTMS</t>
        </is>
      </c>
      <c r="Y970" s="3" t="n"/>
      <c r="Z970" s="3" t="inlineStr"/>
      <c r="AA970" s="3" t="inlineStr">
        <is>
          <t>寄付月結</t>
        </is>
      </c>
      <c r="AB970">
        <f>IFERROR(VLOOKUP(Q970&amp;"",對照表!$A:$B,1,FALSE),"")</f>
        <v/>
      </c>
      <c r="AC970">
        <f>IFERROR(VLOOKUP(Q970&amp;"",對照表!$A:$B,2,FALSE),"")</f>
        <v/>
      </c>
    </row>
    <row r="971">
      <c r="A971" s="3" t="inlineStr">
        <is>
          <t>SF5113427647900</t>
        </is>
      </c>
      <c r="B971" s="3" t="n">
        <v>58435485597866</v>
      </c>
      <c r="C971" s="3" t="inlineStr">
        <is>
          <t>已簽收</t>
        </is>
      </c>
      <c r="D971" s="3" t="inlineStr">
        <is>
          <t>2026-07-06 16:44:30</t>
        </is>
      </c>
      <c r="E971" s="3" t="inlineStr">
        <is>
          <t>2026-07-07 12:01</t>
        </is>
      </c>
      <c r="F971" s="3" t="n">
        <v>0.67</v>
      </c>
      <c r="G971" s="3" t="n">
        <v>1</v>
      </c>
      <c r="H971" s="3" t="n"/>
      <c r="I971" s="3" t="inlineStr"/>
      <c r="J971" s="3" t="inlineStr">
        <is>
          <t>Keeta</t>
        </is>
      </c>
      <c r="K971" s="3" t="inlineStr">
        <is>
          <t>****9568</t>
        </is>
      </c>
      <c r="L971" s="3" t="n"/>
      <c r="M971" s="3" t="inlineStr">
        <is>
          <t>***** 物流中心5樓</t>
        </is>
      </c>
      <c r="N971" s="3" t="inlineStr">
        <is>
          <t>北区</t>
        </is>
      </c>
      <c r="O971" s="3" t="inlineStr">
        <is>
          <t>香港</t>
        </is>
      </c>
      <c r="P971" s="3" t="inlineStr">
        <is>
          <t>香港特别行政区</t>
        </is>
      </c>
      <c r="Q971" s="3" t="n">
        <v>458696</v>
      </c>
      <c r="R971" s="3" t="inlineStr">
        <is>
          <t>味源MeiYuen(洪福街市)</t>
        </is>
      </c>
      <c r="S971" s="3" t="inlineStr">
        <is>
          <t>****56455206</t>
        </is>
      </c>
      <c r="T971" s="3" t="inlineStr">
        <is>
          <t>****56455206</t>
        </is>
      </c>
      <c r="U971" s="3" t="inlineStr">
        <is>
          <t>***** n Long</t>
        </is>
      </c>
      <c r="V971" s="3" t="inlineStr">
        <is>
          <t>香港</t>
        </is>
      </c>
      <c r="W971" s="3" t="inlineStr">
        <is>
          <t>机纸/小票纸 / 包出</t>
        </is>
      </c>
      <c r="X971" s="3" t="inlineStr">
        <is>
          <t>ESS-SFTS-OTMS</t>
        </is>
      </c>
      <c r="Y971" s="3" t="n"/>
      <c r="Z971" s="3" t="inlineStr"/>
      <c r="AA971" s="3" t="inlineStr">
        <is>
          <t>寄付月結</t>
        </is>
      </c>
      <c r="AB971">
        <f>IFERROR(VLOOKUP(Q971&amp;"",對照表!$A:$B,1,FALSE),"")</f>
        <v/>
      </c>
      <c r="AC971">
        <f>IFERROR(VLOOKUP(Q971&amp;"",對照表!$A:$B,2,FALSE),"")</f>
        <v/>
      </c>
    </row>
    <row r="972">
      <c r="A972" s="3" t="inlineStr">
        <is>
          <t>SF5113427647830</t>
        </is>
      </c>
      <c r="B972" s="3" t="n">
        <v>58435485597852</v>
      </c>
      <c r="C972" s="3" t="inlineStr">
        <is>
          <t>已簽收</t>
        </is>
      </c>
      <c r="D972" s="3" t="inlineStr">
        <is>
          <t>2026-07-06 17:09:14</t>
        </is>
      </c>
      <c r="E972" s="3" t="inlineStr">
        <is>
          <t>2026-07-07 19:09</t>
        </is>
      </c>
      <c r="F972" s="3" t="n">
        <v>1</v>
      </c>
      <c r="G972" s="3" t="n">
        <v>1</v>
      </c>
      <c r="H972" s="3" t="n"/>
      <c r="I972" s="3" t="inlineStr"/>
      <c r="J972" s="3" t="inlineStr">
        <is>
          <t>Keeta</t>
        </is>
      </c>
      <c r="K972" s="3" t="inlineStr">
        <is>
          <t>****9568</t>
        </is>
      </c>
      <c r="L972" s="3" t="n"/>
      <c r="M972" s="3" t="inlineStr">
        <is>
          <t>***** 物流中心5樓</t>
        </is>
      </c>
      <c r="N972" s="3" t="inlineStr">
        <is>
          <t>北区</t>
        </is>
      </c>
      <c r="O972" s="3" t="inlineStr">
        <is>
          <t>香港</t>
        </is>
      </c>
      <c r="P972" s="3" t="inlineStr">
        <is>
          <t>香港特别行政区</t>
        </is>
      </c>
      <c r="Q972" s="3" t="n">
        <v>721443323</v>
      </c>
      <c r="R972" s="3" t="inlineStr">
        <is>
          <t>解饞烤冷面</t>
        </is>
      </c>
      <c r="S972" s="3" t="inlineStr">
        <is>
          <t>****54262197</t>
        </is>
      </c>
      <c r="T972" s="3" t="inlineStr">
        <is>
          <t>****54262197</t>
        </is>
      </c>
      <c r="U972" s="3" t="inlineStr">
        <is>
          <t>***** 街27號地舖</t>
        </is>
      </c>
      <c r="V972" s="3" t="inlineStr">
        <is>
          <t>香港</t>
        </is>
      </c>
      <c r="W972" s="3" t="inlineStr">
        <is>
          <t>翻新POS机【真唯】/ 件出</t>
        </is>
      </c>
      <c r="X972" s="3" t="inlineStr">
        <is>
          <t>ESS-SFTS-OTMS</t>
        </is>
      </c>
      <c r="Y972" s="3" t="n"/>
      <c r="Z972" s="3" t="inlineStr"/>
      <c r="AA972" s="3" t="inlineStr">
        <is>
          <t>寄付月結</t>
        </is>
      </c>
      <c r="AB972">
        <f>IFERROR(VLOOKUP(Q972&amp;"",對照表!$A:$B,1,FALSE),"")</f>
        <v/>
      </c>
      <c r="AC972">
        <f>IFERROR(VLOOKUP(Q972&amp;"",對照表!$A:$B,2,FALSE),"")</f>
        <v/>
      </c>
    </row>
    <row r="973">
      <c r="A973" s="3" t="inlineStr">
        <is>
          <t>SF5113427648119</t>
        </is>
      </c>
      <c r="B973" s="3" t="n">
        <v>58435485630496</v>
      </c>
      <c r="C973" s="3" t="inlineStr">
        <is>
          <t>已簽收</t>
        </is>
      </c>
      <c r="D973" s="3" t="inlineStr">
        <is>
          <t>2026-07-06 17:12:39</t>
        </is>
      </c>
      <c r="E973" s="3" t="inlineStr">
        <is>
          <t>2026-07-07 19:53</t>
        </is>
      </c>
      <c r="F973" s="3" t="n">
        <v>1</v>
      </c>
      <c r="G973" s="3" t="n">
        <v>1</v>
      </c>
      <c r="H973" s="3" t="n"/>
      <c r="I973" s="3" t="inlineStr"/>
      <c r="J973" s="3" t="inlineStr">
        <is>
          <t>Keeta</t>
        </is>
      </c>
      <c r="K973" s="3" t="inlineStr">
        <is>
          <t>****9568</t>
        </is>
      </c>
      <c r="L973" s="3" t="n"/>
      <c r="M973" s="3" t="inlineStr">
        <is>
          <t>***** 物流中心5樓</t>
        </is>
      </c>
      <c r="N973" s="3" t="inlineStr">
        <is>
          <t>北区</t>
        </is>
      </c>
      <c r="O973" s="3" t="inlineStr">
        <is>
          <t>香港</t>
        </is>
      </c>
      <c r="P973" s="3" t="inlineStr">
        <is>
          <t>香港特别行政区</t>
        </is>
      </c>
      <c r="Q973" s="3" t="n">
        <v>721435347</v>
      </c>
      <c r="R973" s="3" t="inlineStr">
        <is>
          <t>Tomacado花廚高質西餐沙律烤雞意粉</t>
        </is>
      </c>
      <c r="S973" s="3" t="inlineStr">
        <is>
          <t>****60380503</t>
        </is>
      </c>
      <c r="T973" s="3" t="inlineStr">
        <is>
          <t>****60380503</t>
        </is>
      </c>
      <c r="U973" s="3" t="inlineStr">
        <is>
          <t>***** 2-06號舖</t>
        </is>
      </c>
      <c r="V973" s="3" t="inlineStr">
        <is>
          <t>香港</t>
        </is>
      </c>
      <c r="W973" s="3" t="inlineStr">
        <is>
          <t>翻新POS机【真唯】/ 件出</t>
        </is>
      </c>
      <c r="X973" s="3" t="inlineStr">
        <is>
          <t>ESS-SFTS-OTMS</t>
        </is>
      </c>
      <c r="Y973" s="3" t="n"/>
      <c r="Z973" s="3" t="inlineStr"/>
      <c r="AA973" s="3" t="inlineStr">
        <is>
          <t>寄付月結</t>
        </is>
      </c>
      <c r="AB973">
        <f>IFERROR(VLOOKUP(Q973&amp;"",對照表!$A:$B,1,FALSE),"")</f>
        <v/>
      </c>
      <c r="AC973">
        <f>IFERROR(VLOOKUP(Q973&amp;"",對照表!$A:$B,2,FALSE),"")</f>
        <v/>
      </c>
    </row>
    <row r="974">
      <c r="A974" s="3" t="inlineStr">
        <is>
          <t>SF5113427648395</t>
        </is>
      </c>
      <c r="B974" s="3" t="n">
        <v>58435485630560</v>
      </c>
      <c r="C974" s="3" t="inlineStr">
        <is>
          <t>已簽收</t>
        </is>
      </c>
      <c r="D974" s="3" t="inlineStr">
        <is>
          <t>2026-07-06 16:28:55</t>
        </is>
      </c>
      <c r="E974" s="3" t="inlineStr">
        <is>
          <t>2026-07-07 10:12</t>
        </is>
      </c>
      <c r="F974" s="3" t="n">
        <v>29</v>
      </c>
      <c r="G974" s="3" t="n">
        <v>2</v>
      </c>
      <c r="H974" s="3" t="n"/>
      <c r="I974" s="3" t="inlineStr"/>
      <c r="J974" s="3" t="inlineStr">
        <is>
          <t>Keeta</t>
        </is>
      </c>
      <c r="K974" s="3" t="inlineStr">
        <is>
          <t>****9568</t>
        </is>
      </c>
      <c r="L974" s="3" t="n"/>
      <c r="M974" s="3" t="inlineStr">
        <is>
          <t>***** 物流中心5樓</t>
        </is>
      </c>
      <c r="N974" s="3" t="inlineStr">
        <is>
          <t>北区</t>
        </is>
      </c>
      <c r="O974" s="3" t="inlineStr">
        <is>
          <t>香港</t>
        </is>
      </c>
      <c r="P974" s="3" t="inlineStr">
        <is>
          <t>香港特别行政区</t>
        </is>
      </c>
      <c r="Q974" s="3" t="n">
        <v>478373</v>
      </c>
      <c r="R974" s="3" t="inlineStr">
        <is>
          <t>麥當勞(駿景廣場)McDonalds</t>
        </is>
      </c>
      <c r="S974" s="3" t="inlineStr">
        <is>
          <t>****26348734</t>
        </is>
      </c>
      <c r="T974" s="3" t="inlineStr">
        <is>
          <t>****26348734</t>
        </is>
      </c>
      <c r="U974" s="3" t="inlineStr">
        <is>
          <t>***** -G85號舖</t>
        </is>
      </c>
      <c r="V974" s="3" t="inlineStr">
        <is>
          <t>香港</t>
        </is>
      </c>
      <c r="W974" s="3" t="inlineStr">
        <is>
          <t>纸袋【通版】/ 箱出</t>
        </is>
      </c>
      <c r="X974" s="3" t="inlineStr">
        <is>
          <t>ESS-SFTS-OTMS</t>
        </is>
      </c>
      <c r="Y974" s="3" t="n"/>
      <c r="Z974" s="3" t="inlineStr"/>
      <c r="AA974" s="3" t="inlineStr">
        <is>
          <t>寄付月結</t>
        </is>
      </c>
      <c r="AB974">
        <f>IFERROR(VLOOKUP(Q974&amp;"",對照表!$A:$B,1,FALSE),"")</f>
        <v/>
      </c>
      <c r="AC974">
        <f>IFERROR(VLOOKUP(Q974&amp;"",對照表!$A:$B,2,FALSE),"")</f>
        <v/>
      </c>
    </row>
    <row r="975">
      <c r="A975" s="3" t="inlineStr">
        <is>
          <t>SF5113427648085</t>
        </is>
      </c>
      <c r="B975" s="3" t="n">
        <v>58435485630489</v>
      </c>
      <c r="C975" s="3" t="inlineStr">
        <is>
          <t>已簽收</t>
        </is>
      </c>
      <c r="D975" s="3" t="inlineStr">
        <is>
          <t>2026-07-06 16:28:59</t>
        </is>
      </c>
      <c r="E975" s="3" t="inlineStr">
        <is>
          <t>2026-07-07 13:48</t>
        </is>
      </c>
      <c r="F975" s="3" t="n">
        <v>29</v>
      </c>
      <c r="G975" s="3" t="n">
        <v>2</v>
      </c>
      <c r="H975" s="3" t="n"/>
      <c r="I975" s="3" t="inlineStr"/>
      <c r="J975" s="3" t="inlineStr">
        <is>
          <t>Keeta</t>
        </is>
      </c>
      <c r="K975" s="3" t="inlineStr">
        <is>
          <t>****9568</t>
        </is>
      </c>
      <c r="L975" s="3" t="n"/>
      <c r="M975" s="3" t="inlineStr">
        <is>
          <t>***** 物流中心5樓</t>
        </is>
      </c>
      <c r="N975" s="3" t="inlineStr">
        <is>
          <t>北区</t>
        </is>
      </c>
      <c r="O975" s="3" t="inlineStr">
        <is>
          <t>香港</t>
        </is>
      </c>
      <c r="P975" s="3" t="inlineStr">
        <is>
          <t>香港特别行政区</t>
        </is>
      </c>
      <c r="Q975" s="3" t="n">
        <v>721534383</v>
      </c>
      <c r="R975" s="3" t="inlineStr">
        <is>
          <t>麥當勞(愉翠)McDonalds</t>
        </is>
      </c>
      <c r="S975" s="3" t="inlineStr">
        <is>
          <t>****22780155</t>
        </is>
      </c>
      <c r="T975" s="3" t="inlineStr">
        <is>
          <t>****22780155</t>
        </is>
      </c>
      <c r="U975" s="3" t="inlineStr">
        <is>
          <t>***** 樓101號舖</t>
        </is>
      </c>
      <c r="V975" s="3" t="inlineStr">
        <is>
          <t>香港</t>
        </is>
      </c>
      <c r="W975" s="3" t="inlineStr">
        <is>
          <t>纸袋【通版】/ 箱出</t>
        </is>
      </c>
      <c r="X975" s="3" t="inlineStr">
        <is>
          <t>ESS-SFTS-OTMS</t>
        </is>
      </c>
      <c r="Y975" s="3" t="n"/>
      <c r="Z975" s="3" t="inlineStr"/>
      <c r="AA975" s="3" t="inlineStr">
        <is>
          <t>寄付月結</t>
        </is>
      </c>
      <c r="AB975">
        <f>IFERROR(VLOOKUP(Q975&amp;"",對照表!$A:$B,1,FALSE),"")</f>
        <v/>
      </c>
      <c r="AC975">
        <f>IFERROR(VLOOKUP(Q975&amp;"",對照表!$A:$B,2,FALSE),"")</f>
        <v/>
      </c>
    </row>
    <row r="976">
      <c r="A976" s="3" t="inlineStr">
        <is>
          <t>SF5113427648012</t>
        </is>
      </c>
      <c r="B976" s="3" t="n">
        <v>58435485597899</v>
      </c>
      <c r="C976" s="3" t="inlineStr">
        <is>
          <t>已簽收</t>
        </is>
      </c>
      <c r="D976" s="3" t="inlineStr">
        <is>
          <t>2026-07-06 17:48:18</t>
        </is>
      </c>
      <c r="E976" s="3" t="inlineStr">
        <is>
          <t>2026-07-07 11:32</t>
        </is>
      </c>
      <c r="F976" s="3" t="n">
        <v>28</v>
      </c>
      <c r="G976" s="3" t="n">
        <v>4</v>
      </c>
      <c r="H976" s="3" t="n"/>
      <c r="I976" s="3" t="inlineStr"/>
      <c r="J976" s="3" t="inlineStr">
        <is>
          <t>Keeta</t>
        </is>
      </c>
      <c r="K976" s="3" t="inlineStr">
        <is>
          <t>****9568</t>
        </is>
      </c>
      <c r="L976" s="3" t="n"/>
      <c r="M976" s="3" t="inlineStr">
        <is>
          <t>***** 物流中心5樓</t>
        </is>
      </c>
      <c r="N976" s="3" t="inlineStr">
        <is>
          <t>北区</t>
        </is>
      </c>
      <c r="O976" s="3" t="inlineStr">
        <is>
          <t>香港</t>
        </is>
      </c>
      <c r="P976" s="3" t="inlineStr">
        <is>
          <t>香港特别行政区</t>
        </is>
      </c>
      <c r="Q976" s="3" t="n">
        <v>744191</v>
      </c>
      <c r="R976" s="3" t="inlineStr">
        <is>
          <t>NBURGER（堅尼地城）</t>
        </is>
      </c>
      <c r="S976" s="3" t="inlineStr">
        <is>
          <t>****60950218</t>
        </is>
      </c>
      <c r="T976" s="3" t="inlineStr">
        <is>
          <t>****60950218</t>
        </is>
      </c>
      <c r="U976" s="3" t="inlineStr">
        <is>
          <t>***** 2號及3號舖</t>
        </is>
      </c>
      <c r="V976" s="3" t="inlineStr">
        <is>
          <t>香港</t>
        </is>
      </c>
      <c r="W976" s="3" t="inlineStr">
        <is>
          <t>无纺布【规格二双杯】/ 箱出, 无纺布【规格一单杯】/ 箱出</t>
        </is>
      </c>
      <c r="X976" s="3" t="inlineStr">
        <is>
          <t>ESS-SFTS-OTMS</t>
        </is>
      </c>
      <c r="Y976" s="3" t="n"/>
      <c r="Z976" s="3" t="inlineStr"/>
      <c r="AA976" s="3" t="inlineStr">
        <is>
          <t>寄付月結</t>
        </is>
      </c>
      <c r="AB976">
        <f>IFERROR(VLOOKUP(Q976&amp;"",對照表!$A:$B,1,FALSE),"")</f>
        <v/>
      </c>
      <c r="AC976">
        <f>IFERROR(VLOOKUP(Q976&amp;"",對照表!$A:$B,2,FALSE),"")</f>
        <v/>
      </c>
    </row>
    <row r="977">
      <c r="A977" s="3" t="inlineStr">
        <is>
          <t>SF5113427647937</t>
        </is>
      </c>
      <c r="B977" s="3" t="n">
        <v>58435485597873</v>
      </c>
      <c r="C977" s="3" t="inlineStr">
        <is>
          <t>已簽收</t>
        </is>
      </c>
      <c r="D977" s="3" t="inlineStr">
        <is>
          <t>2026-07-06 16:03:11</t>
        </is>
      </c>
      <c r="E977" s="3" t="inlineStr">
        <is>
          <t>2026-07-07 10:47</t>
        </is>
      </c>
      <c r="F977" s="3" t="n">
        <v>4.45</v>
      </c>
      <c r="G977" s="3" t="n">
        <v>1</v>
      </c>
      <c r="H977" s="3" t="n"/>
      <c r="I977" s="3" t="inlineStr"/>
      <c r="J977" s="3" t="inlineStr">
        <is>
          <t>Keeta</t>
        </is>
      </c>
      <c r="K977" s="3" t="inlineStr">
        <is>
          <t>****9568</t>
        </is>
      </c>
      <c r="L977" s="3" t="n"/>
      <c r="M977" s="3" t="inlineStr">
        <is>
          <t>***** 物流中心5樓</t>
        </is>
      </c>
      <c r="N977" s="3" t="inlineStr">
        <is>
          <t>北区</t>
        </is>
      </c>
      <c r="O977" s="3" t="inlineStr">
        <is>
          <t>香港</t>
        </is>
      </c>
      <c r="P977" s="3" t="inlineStr">
        <is>
          <t>香港特别行政区</t>
        </is>
      </c>
      <c r="Q977" s="3" t="n">
        <v>485165</v>
      </c>
      <c r="R977" s="3" t="inlineStr">
        <is>
          <t>楊國福麻辣燙（中環店）</t>
        </is>
      </c>
      <c r="S977" s="3" t="inlineStr">
        <is>
          <t>****61101439</t>
        </is>
      </c>
      <c r="T977" s="3" t="inlineStr">
        <is>
          <t>****61101439</t>
        </is>
      </c>
      <c r="U977" s="3" t="inlineStr">
        <is>
          <t>***** 及G06號舖</t>
        </is>
      </c>
      <c r="V977" s="3" t="inlineStr">
        <is>
          <t>香港</t>
        </is>
      </c>
      <c r="W977" s="3" t="inlineStr">
        <is>
          <t>机纸/小票纸 / 包出</t>
        </is>
      </c>
      <c r="X977" s="3" t="inlineStr">
        <is>
          <t>ESS-SFTS-OTMS</t>
        </is>
      </c>
      <c r="Y977" s="3" t="n"/>
      <c r="Z977" s="3" t="inlineStr"/>
      <c r="AA977" s="3" t="inlineStr">
        <is>
          <t>寄付月結</t>
        </is>
      </c>
      <c r="AB977">
        <f>IFERROR(VLOOKUP(Q977&amp;"",對照表!$A:$B,1,FALSE),"")</f>
        <v/>
      </c>
      <c r="AC977">
        <f>IFERROR(VLOOKUP(Q977&amp;"",對照表!$A:$B,2,FALSE),"")</f>
        <v/>
      </c>
    </row>
    <row r="978">
      <c r="A978" s="3" t="inlineStr">
        <is>
          <t>SF5113427648076</t>
        </is>
      </c>
      <c r="B978" s="3" t="n">
        <v>58435485630485</v>
      </c>
      <c r="C978" s="3" t="inlineStr">
        <is>
          <t>已簽收</t>
        </is>
      </c>
      <c r="D978" s="3" t="inlineStr">
        <is>
          <t>2026-07-06 17:09:20</t>
        </is>
      </c>
      <c r="E978" s="3" t="inlineStr">
        <is>
          <t>2026-07-07 13:44</t>
        </is>
      </c>
      <c r="F978" s="3" t="n">
        <v>2.36</v>
      </c>
      <c r="G978" s="3" t="n">
        <v>1</v>
      </c>
      <c r="H978" s="3" t="n"/>
      <c r="I978" s="3" t="inlineStr"/>
      <c r="J978" s="3" t="inlineStr">
        <is>
          <t>Keeta</t>
        </is>
      </c>
      <c r="K978" s="3" t="inlineStr">
        <is>
          <t>****9568</t>
        </is>
      </c>
      <c r="L978" s="3" t="n"/>
      <c r="M978" s="3" t="inlineStr">
        <is>
          <t>***** 物流中心5樓</t>
        </is>
      </c>
      <c r="N978" s="3" t="inlineStr">
        <is>
          <t>北区</t>
        </is>
      </c>
      <c r="O978" s="3" t="inlineStr">
        <is>
          <t>香港</t>
        </is>
      </c>
      <c r="P978" s="3" t="inlineStr">
        <is>
          <t>香港特别行政区</t>
        </is>
      </c>
      <c r="Q978" s="3" t="n">
        <v>448325</v>
      </c>
      <c r="R978" s="3" t="inlineStr">
        <is>
          <t>勝利餐廳小廚醒神早餐之選</t>
        </is>
      </c>
      <c r="S978" s="3" t="inlineStr">
        <is>
          <t>****27130456</t>
        </is>
      </c>
      <c r="T978" s="3" t="inlineStr">
        <is>
          <t>****27130456</t>
        </is>
      </c>
      <c r="U978" s="3" t="inlineStr">
        <is>
          <t>***** 143號地下</t>
        </is>
      </c>
      <c r="V978" s="3" t="inlineStr">
        <is>
          <t>香港</t>
        </is>
      </c>
      <c r="W978" s="3" t="inlineStr">
        <is>
          <t>机纸/小票纸 / 包出</t>
        </is>
      </c>
      <c r="X978" s="3" t="inlineStr">
        <is>
          <t>ESS-SFTS-OTMS</t>
        </is>
      </c>
      <c r="Y978" s="3" t="n"/>
      <c r="Z978" s="3" t="inlineStr"/>
      <c r="AA978" s="3" t="inlineStr">
        <is>
          <t>寄付月結</t>
        </is>
      </c>
      <c r="AB978">
        <f>IFERROR(VLOOKUP(Q978&amp;"",對照表!$A:$B,1,FALSE),"")</f>
        <v/>
      </c>
      <c r="AC978">
        <f>IFERROR(VLOOKUP(Q978&amp;"",對照表!$A:$B,2,FALSE),"")</f>
        <v/>
      </c>
    </row>
    <row r="979">
      <c r="A979" s="3" t="inlineStr">
        <is>
          <t>SF5113427647982</t>
        </is>
      </c>
      <c r="B979" s="3" t="n">
        <v>58435485597885</v>
      </c>
      <c r="C979" s="3" t="inlineStr">
        <is>
          <t>已簽收</t>
        </is>
      </c>
      <c r="D979" s="3" t="inlineStr">
        <is>
          <t>2026-07-06 16:29:06</t>
        </is>
      </c>
      <c r="E979" s="3" t="inlineStr">
        <is>
          <t>2026-07-07 10:49</t>
        </is>
      </c>
      <c r="F979" s="3" t="n">
        <v>29</v>
      </c>
      <c r="G979" s="3" t="n">
        <v>2</v>
      </c>
      <c r="H979" s="3" t="n"/>
      <c r="I979" s="3" t="inlineStr"/>
      <c r="J979" s="3" t="inlineStr">
        <is>
          <t>Keeta</t>
        </is>
      </c>
      <c r="K979" s="3" t="inlineStr">
        <is>
          <t>****9568</t>
        </is>
      </c>
      <c r="L979" s="3" t="n"/>
      <c r="M979" s="3" t="inlineStr">
        <is>
          <t>***** 物流中心5樓</t>
        </is>
      </c>
      <c r="N979" s="3" t="inlineStr">
        <is>
          <t>北区</t>
        </is>
      </c>
      <c r="O979" s="3" t="inlineStr">
        <is>
          <t>香港</t>
        </is>
      </c>
      <c r="P979" s="3" t="inlineStr">
        <is>
          <t>香港特别行政区</t>
        </is>
      </c>
      <c r="Q979" s="3" t="n">
        <v>578205</v>
      </c>
      <c r="R979" s="3" t="inlineStr">
        <is>
          <t>麥當勞(寶怡花園)McDonalds</t>
        </is>
      </c>
      <c r="S979" s="3" t="inlineStr">
        <is>
          <t>****24645711</t>
        </is>
      </c>
      <c r="T979" s="3" t="inlineStr">
        <is>
          <t>****24645711</t>
        </is>
      </c>
      <c r="U979" s="3" t="inlineStr">
        <is>
          <t>***** 下1-2號舖</t>
        </is>
      </c>
      <c r="V979" s="3" t="inlineStr">
        <is>
          <t>香港</t>
        </is>
      </c>
      <c r="W979" s="3" t="inlineStr">
        <is>
          <t>纸袋【通版】/ 箱出</t>
        </is>
      </c>
      <c r="X979" s="3" t="inlineStr">
        <is>
          <t>ESS-SFTS-OTMS</t>
        </is>
      </c>
      <c r="Y979" s="3" t="n"/>
      <c r="Z979" s="3" t="inlineStr"/>
      <c r="AA979" s="3" t="inlineStr">
        <is>
          <t>寄付月結</t>
        </is>
      </c>
      <c r="AB979">
        <f>IFERROR(VLOOKUP(Q979&amp;"",對照表!$A:$B,1,FALSE),"")</f>
        <v/>
      </c>
      <c r="AC979">
        <f>IFERROR(VLOOKUP(Q979&amp;"",對照表!$A:$B,2,FALSE),"")</f>
        <v/>
      </c>
    </row>
    <row r="980">
      <c r="A980" s="3" t="inlineStr">
        <is>
          <t>SF5113427647364</t>
        </is>
      </c>
      <c r="B980" s="3" t="n">
        <v>58435485597736</v>
      </c>
      <c r="C980" s="3" t="inlineStr">
        <is>
          <t>派送中</t>
        </is>
      </c>
      <c r="D980" s="3" t="inlineStr">
        <is>
          <t>2026-07-06 16:03:08</t>
        </is>
      </c>
      <c r="E980" s="3" t="n"/>
      <c r="F980" s="3" t="n">
        <v>4.45</v>
      </c>
      <c r="G980" s="3" t="n">
        <v>1</v>
      </c>
      <c r="H980" s="3" t="n"/>
      <c r="I980" s="3" t="inlineStr"/>
      <c r="J980" s="3" t="inlineStr">
        <is>
          <t>Keeta</t>
        </is>
      </c>
      <c r="K980" s="3" t="inlineStr">
        <is>
          <t>****9568</t>
        </is>
      </c>
      <c r="L980" s="3" t="n"/>
      <c r="M980" s="3" t="inlineStr">
        <is>
          <t>***** 物流中心5樓</t>
        </is>
      </c>
      <c r="N980" s="3" t="inlineStr">
        <is>
          <t>北区</t>
        </is>
      </c>
      <c r="O980" s="3" t="inlineStr">
        <is>
          <t>香港</t>
        </is>
      </c>
      <c r="P980" s="3" t="inlineStr">
        <is>
          <t>香港特别行政区</t>
        </is>
      </c>
      <c r="Q980" s="3" t="n">
        <v>484651</v>
      </c>
      <c r="R980" s="3" t="inlineStr">
        <is>
          <t>八居酒屋（旺角）</t>
        </is>
      </c>
      <c r="S980" s="3" t="inlineStr">
        <is>
          <t>****63929155</t>
        </is>
      </c>
      <c r="T980" s="3" t="inlineStr">
        <is>
          <t>****63929155</t>
        </is>
      </c>
      <c r="U980" s="3" t="inlineStr">
        <is>
          <t>***** 旺角新城5樓</t>
        </is>
      </c>
      <c r="V980" s="3" t="inlineStr">
        <is>
          <t>香港</t>
        </is>
      </c>
      <c r="W980" s="3" t="inlineStr">
        <is>
          <t>机纸/小票纸 / 包出</t>
        </is>
      </c>
      <c r="X980" s="3" t="inlineStr">
        <is>
          <t>ESS-SFTS-OTMS</t>
        </is>
      </c>
      <c r="Y980" s="3" t="n"/>
      <c r="Z980" s="3" t="inlineStr"/>
      <c r="AA980" s="3" t="inlineStr">
        <is>
          <t>寄付月結</t>
        </is>
      </c>
      <c r="AB980">
        <f>IFERROR(VLOOKUP(Q980&amp;"",對照表!$A:$B,1,FALSE),"")</f>
        <v/>
      </c>
      <c r="AC980">
        <f>IFERROR(VLOOKUP(Q980&amp;"",對照表!$A:$B,2,FALSE),"")</f>
        <v/>
      </c>
    </row>
    <row r="981">
      <c r="A981" s="3" t="inlineStr">
        <is>
          <t>SF5113427648094</t>
        </is>
      </c>
      <c r="B981" s="3" t="n">
        <v>58435485630491</v>
      </c>
      <c r="C981" s="3" t="inlineStr">
        <is>
          <t>已簽收</t>
        </is>
      </c>
      <c r="D981" s="3" t="inlineStr">
        <is>
          <t>2026-07-06 17:11:44</t>
        </is>
      </c>
      <c r="E981" s="3" t="inlineStr">
        <is>
          <t>2026-07-07 10:16</t>
        </is>
      </c>
      <c r="F981" s="3" t="n">
        <v>1</v>
      </c>
      <c r="G981" s="3" t="n">
        <v>1</v>
      </c>
      <c r="H981" s="3" t="n"/>
      <c r="I981" s="3" t="inlineStr"/>
      <c r="J981" s="3" t="inlineStr">
        <is>
          <t>Keeta</t>
        </is>
      </c>
      <c r="K981" s="3" t="inlineStr">
        <is>
          <t>****9568</t>
        </is>
      </c>
      <c r="L981" s="3" t="n"/>
      <c r="M981" s="3" t="inlineStr">
        <is>
          <t>***** 物流中心5樓</t>
        </is>
      </c>
      <c r="N981" s="3" t="inlineStr">
        <is>
          <t>北区</t>
        </is>
      </c>
      <c r="O981" s="3" t="inlineStr">
        <is>
          <t>香港</t>
        </is>
      </c>
      <c r="P981" s="3" t="inlineStr">
        <is>
          <t>香港特别行政区</t>
        </is>
      </c>
      <c r="Q981" s="3" t="n">
        <v>487960</v>
      </c>
      <c r="R981" s="3" t="inlineStr">
        <is>
          <t>加記傳統中式菜館(卑路乍街)</t>
        </is>
      </c>
      <c r="S981" s="3" t="inlineStr">
        <is>
          <t>****92261968</t>
        </is>
      </c>
      <c r="T981" s="3" t="inlineStr">
        <is>
          <t>****92261968</t>
        </is>
      </c>
      <c r="U981" s="3" t="inlineStr">
        <is>
          <t>***** 街24號地舖</t>
        </is>
      </c>
      <c r="V981" s="3" t="inlineStr">
        <is>
          <t>香港</t>
        </is>
      </c>
      <c r="W981" s="3" t="inlineStr">
        <is>
          <t>翻新POS机【真唯】/ 件出</t>
        </is>
      </c>
      <c r="X981" s="3" t="inlineStr">
        <is>
          <t>ESS-SFTS-OTMS</t>
        </is>
      </c>
      <c r="Y981" s="3" t="n"/>
      <c r="Z981" s="3" t="inlineStr"/>
      <c r="AA981" s="3" t="inlineStr">
        <is>
          <t>寄付月結</t>
        </is>
      </c>
      <c r="AB981">
        <f>IFERROR(VLOOKUP(Q981&amp;"",對照表!$A:$B,1,FALSE),"")</f>
        <v/>
      </c>
      <c r="AC981">
        <f>IFERROR(VLOOKUP(Q981&amp;"",對照表!$A:$B,2,FALSE),"")</f>
        <v/>
      </c>
    </row>
    <row r="982">
      <c r="A982" s="3" t="inlineStr">
        <is>
          <t>SF5113427647460</t>
        </is>
      </c>
      <c r="B982" s="3" t="n">
        <v>58435485597763</v>
      </c>
      <c r="C982" s="3" t="inlineStr">
        <is>
          <t>已簽收</t>
        </is>
      </c>
      <c r="D982" s="3" t="inlineStr">
        <is>
          <t>2026-07-06 17:08:30</t>
        </is>
      </c>
      <c r="E982" s="3" t="inlineStr">
        <is>
          <t>2026-07-07 10:45</t>
        </is>
      </c>
      <c r="F982" s="3" t="n">
        <v>1.5</v>
      </c>
      <c r="G982" s="3" t="n">
        <v>1</v>
      </c>
      <c r="H982" s="3" t="n"/>
      <c r="I982" s="3" t="inlineStr"/>
      <c r="J982" s="3" t="inlineStr">
        <is>
          <t>Keeta</t>
        </is>
      </c>
      <c r="K982" s="3" t="inlineStr">
        <is>
          <t>****9568</t>
        </is>
      </c>
      <c r="L982" s="3" t="n"/>
      <c r="M982" s="3" t="inlineStr">
        <is>
          <t>***** 物流中心5樓</t>
        </is>
      </c>
      <c r="N982" s="3" t="inlineStr">
        <is>
          <t>北区</t>
        </is>
      </c>
      <c r="O982" s="3" t="inlineStr">
        <is>
          <t>香港</t>
        </is>
      </c>
      <c r="P982" s="3" t="inlineStr">
        <is>
          <t>香港特别行政区</t>
        </is>
      </c>
      <c r="Q982" s="3" t="n">
        <v>566712</v>
      </c>
      <c r="R982" s="3" t="inlineStr">
        <is>
          <t>窩心冰室</t>
        </is>
      </c>
      <c r="S982" s="3" t="inlineStr">
        <is>
          <t>****26686636</t>
        </is>
      </c>
      <c r="T982" s="3" t="inlineStr">
        <is>
          <t>****26686636</t>
        </is>
      </c>
      <c r="U982" s="3" t="inlineStr">
        <is>
          <t>***** 9-12號舖</t>
        </is>
      </c>
      <c r="V982" s="3" t="inlineStr">
        <is>
          <t>香港</t>
        </is>
      </c>
      <c r="W982" s="3" t="inlineStr">
        <is>
          <t>机纸/小票纸 / 包出</t>
        </is>
      </c>
      <c r="X982" s="3" t="inlineStr">
        <is>
          <t>ESS-SFTS-OTMS</t>
        </is>
      </c>
      <c r="Y982" s="3" t="n"/>
      <c r="Z982" s="3" t="inlineStr"/>
      <c r="AA982" s="3" t="inlineStr">
        <is>
          <t>寄付月結</t>
        </is>
      </c>
      <c r="AB982">
        <f>IFERROR(VLOOKUP(Q982&amp;"",對照表!$A:$B,1,FALSE),"")</f>
        <v/>
      </c>
      <c r="AC982">
        <f>IFERROR(VLOOKUP(Q982&amp;"",對照表!$A:$B,2,FALSE),"")</f>
        <v/>
      </c>
    </row>
    <row r="983">
      <c r="A983" s="3" t="inlineStr">
        <is>
          <t>SF5113427648507</t>
        </is>
      </c>
      <c r="B983" s="3" t="n">
        <v>58435485630588</v>
      </c>
      <c r="C983" s="3" t="inlineStr">
        <is>
          <t>已簽收</t>
        </is>
      </c>
      <c r="D983" s="3" t="inlineStr">
        <is>
          <t>2026-07-06 16:06:57</t>
        </is>
      </c>
      <c r="E983" s="3" t="inlineStr">
        <is>
          <t>2026-07-07 11:46</t>
        </is>
      </c>
      <c r="F983" s="3" t="n">
        <v>4.45</v>
      </c>
      <c r="G983" s="3" t="n">
        <v>1</v>
      </c>
      <c r="H983" s="3" t="n"/>
      <c r="I983" s="3" t="inlineStr"/>
      <c r="J983" s="3" t="inlineStr">
        <is>
          <t>Keeta</t>
        </is>
      </c>
      <c r="K983" s="3" t="inlineStr">
        <is>
          <t>****9568</t>
        </is>
      </c>
      <c r="L983" s="3" t="n"/>
      <c r="M983" s="3" t="inlineStr">
        <is>
          <t>***** 物流中心5樓</t>
        </is>
      </c>
      <c r="N983" s="3" t="inlineStr">
        <is>
          <t>北区</t>
        </is>
      </c>
      <c r="O983" s="3" t="inlineStr">
        <is>
          <t>香港</t>
        </is>
      </c>
      <c r="P983" s="3" t="inlineStr">
        <is>
          <t>香港特别行政区</t>
        </is>
      </c>
      <c r="Q983" s="3" t="n">
        <v>465334</v>
      </c>
      <c r="R983" s="3" t="inlineStr">
        <is>
          <t>个園竹語(海港城)上海菜</t>
        </is>
      </c>
      <c r="S983" s="3" t="inlineStr">
        <is>
          <t>****98589099</t>
        </is>
      </c>
      <c r="T983" s="3" t="inlineStr">
        <is>
          <t>****98589099</t>
        </is>
      </c>
      <c r="U983" s="3" t="inlineStr">
        <is>
          <t>***** a Tsui</t>
        </is>
      </c>
      <c r="V983" s="3" t="inlineStr">
        <is>
          <t>香港</t>
        </is>
      </c>
      <c r="W983" s="3" t="inlineStr">
        <is>
          <t>机纸/小票纸 / 包出</t>
        </is>
      </c>
      <c r="X983" s="3" t="inlineStr">
        <is>
          <t>ESS-SFTS-OTMS</t>
        </is>
      </c>
      <c r="Y983" s="3" t="n"/>
      <c r="Z983" s="3" t="inlineStr"/>
      <c r="AA983" s="3" t="inlineStr">
        <is>
          <t>寄付月結</t>
        </is>
      </c>
      <c r="AB983">
        <f>IFERROR(VLOOKUP(Q983&amp;"",對照表!$A:$B,1,FALSE),"")</f>
        <v/>
      </c>
      <c r="AC983">
        <f>IFERROR(VLOOKUP(Q983&amp;"",對照表!$A:$B,2,FALSE),"")</f>
        <v/>
      </c>
    </row>
    <row r="984">
      <c r="A984" s="3" t="inlineStr">
        <is>
          <t>SF5113427647964</t>
        </is>
      </c>
      <c r="B984" s="3" t="n">
        <v>58435485597877</v>
      </c>
      <c r="C984" s="3" t="inlineStr">
        <is>
          <t>已簽收</t>
        </is>
      </c>
      <c r="D984" s="3" t="inlineStr">
        <is>
          <t>2026-07-06 15:46:31</t>
        </is>
      </c>
      <c r="E984" s="3" t="inlineStr">
        <is>
          <t>2026-07-07 10:52</t>
        </is>
      </c>
      <c r="F984" s="3" t="n">
        <v>58</v>
      </c>
      <c r="G984" s="3" t="n">
        <v>4</v>
      </c>
      <c r="H984" s="3" t="n"/>
      <c r="I984" s="3" t="inlineStr"/>
      <c r="J984" s="3" t="inlineStr">
        <is>
          <t>Keeta</t>
        </is>
      </c>
      <c r="K984" s="3" t="inlineStr">
        <is>
          <t>****9568</t>
        </is>
      </c>
      <c r="L984" s="3" t="n"/>
      <c r="M984" s="3" t="inlineStr">
        <is>
          <t>***** 物流中心5樓</t>
        </is>
      </c>
      <c r="N984" s="3" t="inlineStr">
        <is>
          <t>北区</t>
        </is>
      </c>
      <c r="O984" s="3" t="inlineStr">
        <is>
          <t>香港</t>
        </is>
      </c>
      <c r="P984" s="3" t="inlineStr">
        <is>
          <t>香港特别行政区</t>
        </is>
      </c>
      <c r="Q984" s="3" t="n">
        <v>454941</v>
      </c>
      <c r="R984" s="3" t="inlineStr">
        <is>
          <t>麥當勞（興華）McDonalds</t>
        </is>
      </c>
      <c r="S984" s="3" t="inlineStr">
        <is>
          <t>****29581556</t>
        </is>
      </c>
      <c r="T984" s="3" t="inlineStr">
        <is>
          <t>****29581556</t>
        </is>
      </c>
      <c r="U984" s="3" t="inlineStr">
        <is>
          <t>***** 416號地下</t>
        </is>
      </c>
      <c r="V984" s="3" t="inlineStr">
        <is>
          <t>香港</t>
        </is>
      </c>
      <c r="W984" s="3" t="inlineStr">
        <is>
          <t>纸袋【通版】/ 箱出</t>
        </is>
      </c>
      <c r="X984" s="3" t="inlineStr">
        <is>
          <t>ESS-SFTS-OTMS</t>
        </is>
      </c>
      <c r="Y984" s="3" t="n"/>
      <c r="Z984" s="3" t="inlineStr"/>
      <c r="AA984" s="3" t="inlineStr">
        <is>
          <t>寄付月結</t>
        </is>
      </c>
      <c r="AB984">
        <f>IFERROR(VLOOKUP(Q984&amp;"",對照表!$A:$B,1,FALSE),"")</f>
        <v/>
      </c>
      <c r="AC984">
        <f>IFERROR(VLOOKUP(Q984&amp;"",對照表!$A:$B,2,FALSE),"")</f>
        <v/>
      </c>
    </row>
    <row r="985">
      <c r="A985" s="3" t="inlineStr">
        <is>
          <t>SF5113427648243</t>
        </is>
      </c>
      <c r="B985" s="3" t="n">
        <v>58435485630528</v>
      </c>
      <c r="C985" s="3" t="inlineStr">
        <is>
          <t>已簽收</t>
        </is>
      </c>
      <c r="D985" s="3" t="inlineStr">
        <is>
          <t>2026-07-06 17:13:54</t>
        </is>
      </c>
      <c r="E985" s="3" t="inlineStr">
        <is>
          <t>2026-07-07 10:04</t>
        </is>
      </c>
      <c r="F985" s="3" t="n">
        <v>1</v>
      </c>
      <c r="G985" s="3" t="n">
        <v>1</v>
      </c>
      <c r="H985" s="3" t="n"/>
      <c r="I985" s="3" t="inlineStr"/>
      <c r="J985" s="3" t="inlineStr">
        <is>
          <t>Keeta</t>
        </is>
      </c>
      <c r="K985" s="3" t="inlineStr">
        <is>
          <t>****9568</t>
        </is>
      </c>
      <c r="L985" s="3" t="n"/>
      <c r="M985" s="3" t="inlineStr">
        <is>
          <t>***** 物流中心5樓</t>
        </is>
      </c>
      <c r="N985" s="3" t="inlineStr">
        <is>
          <t>北区</t>
        </is>
      </c>
      <c r="O985" s="3" t="inlineStr">
        <is>
          <t>香港</t>
        </is>
      </c>
      <c r="P985" s="3" t="inlineStr">
        <is>
          <t>香港特别行政区</t>
        </is>
      </c>
      <c r="Q985" s="3" t="n">
        <v>721525291</v>
      </c>
      <c r="R985" s="3" t="inlineStr">
        <is>
          <t>光榮冰室屯門88可換1L大大桶檸檬茶特色三眼仔飯懷舊味道</t>
        </is>
      </c>
      <c r="S985" s="3" t="inlineStr">
        <is>
          <t>****24611689</t>
        </is>
      </c>
      <c r="T985" s="3" t="inlineStr">
        <is>
          <t>****24611689</t>
        </is>
      </c>
      <c r="U985" s="3" t="inlineStr">
        <is>
          <t>***** 號地下3號舖</t>
        </is>
      </c>
      <c r="V985" s="3" t="inlineStr">
        <is>
          <t>香港</t>
        </is>
      </c>
      <c r="W985" s="3" t="inlineStr">
        <is>
          <t>翻新POS机【真唯】/ 件出</t>
        </is>
      </c>
      <c r="X985" s="3" t="inlineStr">
        <is>
          <t>ESS-SFTS-OTMS</t>
        </is>
      </c>
      <c r="Y985" s="3" t="n"/>
      <c r="Z985" s="3" t="inlineStr"/>
      <c r="AA985" s="3" t="inlineStr">
        <is>
          <t>寄付月結</t>
        </is>
      </c>
      <c r="AB985">
        <f>IFERROR(VLOOKUP(Q985&amp;"",對照表!$A:$B,1,FALSE),"")</f>
        <v/>
      </c>
      <c r="AC985">
        <f>IFERROR(VLOOKUP(Q985&amp;"",對照表!$A:$B,2,FALSE),"")</f>
        <v/>
      </c>
    </row>
    <row r="986">
      <c r="A986" s="3" t="inlineStr">
        <is>
          <t>SF5113427648021</t>
        </is>
      </c>
      <c r="B986" s="3" t="n">
        <v>58435485597904</v>
      </c>
      <c r="C986" s="3" t="inlineStr">
        <is>
          <t>已簽收</t>
        </is>
      </c>
      <c r="D986" s="3" t="inlineStr">
        <is>
          <t>2026-07-06 16:06:55</t>
        </is>
      </c>
      <c r="E986" s="3" t="inlineStr">
        <is>
          <t>2026-07-07 12:20</t>
        </is>
      </c>
      <c r="F986" s="3" t="n">
        <v>4.45</v>
      </c>
      <c r="G986" s="3" t="n">
        <v>1</v>
      </c>
      <c r="H986" s="3" t="n"/>
      <c r="I986" s="3" t="inlineStr"/>
      <c r="J986" s="3" t="inlineStr">
        <is>
          <t>Keeta</t>
        </is>
      </c>
      <c r="K986" s="3" t="inlineStr">
        <is>
          <t>****9568</t>
        </is>
      </c>
      <c r="L986" s="3" t="n"/>
      <c r="M986" s="3" t="inlineStr">
        <is>
          <t>***** 物流中心5樓</t>
        </is>
      </c>
      <c r="N986" s="3" t="inlineStr">
        <is>
          <t>北区</t>
        </is>
      </c>
      <c r="O986" s="3" t="inlineStr">
        <is>
          <t>香港</t>
        </is>
      </c>
      <c r="P986" s="3" t="inlineStr">
        <is>
          <t>香港特别行政区</t>
        </is>
      </c>
      <c r="Q986" s="3" t="n">
        <v>458581</v>
      </c>
      <c r="R986" s="3" t="inlineStr">
        <is>
          <t>星巴克(香港仔中心)StarbucksCoffee</t>
        </is>
      </c>
      <c r="S986" s="3" t="inlineStr">
        <is>
          <t>****21099611</t>
        </is>
      </c>
      <c r="T986" s="3" t="inlineStr">
        <is>
          <t>****21099611</t>
        </is>
      </c>
      <c r="U986" s="3" t="inlineStr">
        <is>
          <t>***** 樓6-9號舖</t>
        </is>
      </c>
      <c r="V986" s="3" t="inlineStr">
        <is>
          <t>香港</t>
        </is>
      </c>
      <c r="W986" s="3" t="inlineStr">
        <is>
          <t>机纸/小票纸 / 包出</t>
        </is>
      </c>
      <c r="X986" s="3" t="inlineStr">
        <is>
          <t>ESS-SFTS-OTMS</t>
        </is>
      </c>
      <c r="Y986" s="3" t="n"/>
      <c r="Z986" s="3" t="inlineStr"/>
      <c r="AA986" s="3" t="inlineStr">
        <is>
          <t>寄付月結</t>
        </is>
      </c>
      <c r="AB986">
        <f>IFERROR(VLOOKUP(Q986&amp;"",對照表!$A:$B,1,FALSE),"")</f>
        <v/>
      </c>
      <c r="AC986">
        <f>IFERROR(VLOOKUP(Q986&amp;"",對照表!$A:$B,2,FALSE),"")</f>
        <v/>
      </c>
    </row>
    <row r="987">
      <c r="A987" s="3" t="inlineStr">
        <is>
          <t>SF5113427648128</t>
        </is>
      </c>
      <c r="B987" s="3" t="n">
        <v>58435485630499</v>
      </c>
      <c r="C987" s="3" t="inlineStr">
        <is>
          <t>已簽收</t>
        </is>
      </c>
      <c r="D987" s="3" t="inlineStr">
        <is>
          <t>2026-07-06 17:08:46</t>
        </is>
      </c>
      <c r="E987" s="3" t="inlineStr">
        <is>
          <t>2026-07-07 13:09</t>
        </is>
      </c>
      <c r="F987" s="3" t="n">
        <v>2.02</v>
      </c>
      <c r="G987" s="3" t="n">
        <v>1</v>
      </c>
      <c r="H987" s="3" t="n"/>
      <c r="I987" s="3" t="inlineStr"/>
      <c r="J987" s="3" t="inlineStr">
        <is>
          <t>Keeta</t>
        </is>
      </c>
      <c r="K987" s="3" t="inlineStr">
        <is>
          <t>****9568</t>
        </is>
      </c>
      <c r="L987" s="3" t="n"/>
      <c r="M987" s="3" t="inlineStr">
        <is>
          <t>***** 物流中心5樓</t>
        </is>
      </c>
      <c r="N987" s="3" t="inlineStr">
        <is>
          <t>北区</t>
        </is>
      </c>
      <c r="O987" s="3" t="inlineStr">
        <is>
          <t>香港</t>
        </is>
      </c>
      <c r="P987" s="3" t="inlineStr">
        <is>
          <t>香港特别行政区</t>
        </is>
      </c>
      <c r="Q987" s="3" t="n">
        <v>460398</v>
      </c>
      <c r="R987" s="3" t="inlineStr">
        <is>
          <t>湘蜀人家特色湘菜滬式點心超值套餐(杏花新城)</t>
        </is>
      </c>
      <c r="S987" s="3" t="inlineStr">
        <is>
          <t>****62518392</t>
        </is>
      </c>
      <c r="T987" s="3" t="inlineStr">
        <is>
          <t>****62518392</t>
        </is>
      </c>
      <c r="U987" s="3" t="inlineStr">
        <is>
          <t>***** 下G45號舖</t>
        </is>
      </c>
      <c r="V987" s="3" t="inlineStr">
        <is>
          <t>香港</t>
        </is>
      </c>
      <c r="W987" s="3" t="inlineStr">
        <is>
          <t>封签【通版】/ 扎出</t>
        </is>
      </c>
      <c r="X987" s="3" t="inlineStr">
        <is>
          <t>ESS-SFTS-OTMS</t>
        </is>
      </c>
      <c r="Y987" s="3" t="n"/>
      <c r="Z987" s="3" t="inlineStr"/>
      <c r="AA987" s="3" t="inlineStr">
        <is>
          <t>寄付月結</t>
        </is>
      </c>
      <c r="AB987">
        <f>IFERROR(VLOOKUP(Q987&amp;"",對照表!$A:$B,1,FALSE),"")</f>
        <v/>
      </c>
      <c r="AC987">
        <f>IFERROR(VLOOKUP(Q987&amp;"",對照表!$A:$B,2,FALSE),"")</f>
        <v/>
      </c>
    </row>
    <row r="988">
      <c r="A988" s="3" t="inlineStr">
        <is>
          <t>SF5113427648146</t>
        </is>
      </c>
      <c r="B988" s="3" t="n">
        <v>58435485630508</v>
      </c>
      <c r="C988" s="3" t="inlineStr">
        <is>
          <t>已簽收</t>
        </is>
      </c>
      <c r="D988" s="3" t="inlineStr">
        <is>
          <t>2026-07-06 17:13:14</t>
        </is>
      </c>
      <c r="E988" s="3" t="inlineStr">
        <is>
          <t>2026-07-07 09:51</t>
        </is>
      </c>
      <c r="F988" s="3" t="n">
        <v>1</v>
      </c>
      <c r="G988" s="3" t="n">
        <v>1</v>
      </c>
      <c r="H988" s="3" t="n"/>
      <c r="I988" s="3" t="inlineStr"/>
      <c r="J988" s="3" t="inlineStr">
        <is>
          <t>Keeta</t>
        </is>
      </c>
      <c r="K988" s="3" t="inlineStr">
        <is>
          <t>****9568</t>
        </is>
      </c>
      <c r="L988" s="3" t="n"/>
      <c r="M988" s="3" t="inlineStr">
        <is>
          <t>***** 物流中心5樓</t>
        </is>
      </c>
      <c r="N988" s="3" t="inlineStr">
        <is>
          <t>北区</t>
        </is>
      </c>
      <c r="O988" s="3" t="inlineStr">
        <is>
          <t>香港</t>
        </is>
      </c>
      <c r="P988" s="3" t="inlineStr">
        <is>
          <t>香港特别行政区</t>
        </is>
      </c>
      <c r="Q988" s="3" t="n">
        <v>721448402</v>
      </c>
      <c r="R988" s="3" t="inlineStr">
        <is>
          <t>雲在線屯門過江龍皇牌豬頸肉而家葵芳都有得食啦</t>
        </is>
      </c>
      <c r="S988" s="3" t="inlineStr">
        <is>
          <t>****95328381</t>
        </is>
      </c>
      <c r="T988" s="3" t="inlineStr">
        <is>
          <t>****95328381</t>
        </is>
      </c>
      <c r="U988" s="3" t="inlineStr">
        <is>
          <t>***** 大廈地下c舖</t>
        </is>
      </c>
      <c r="V988" s="3" t="inlineStr">
        <is>
          <t>香港</t>
        </is>
      </c>
      <c r="W988" s="3" t="inlineStr">
        <is>
          <t>翻新POS机【真唯】/ 件出</t>
        </is>
      </c>
      <c r="X988" s="3" t="inlineStr">
        <is>
          <t>ESS-SFTS-OTMS</t>
        </is>
      </c>
      <c r="Y988" s="3" t="n"/>
      <c r="Z988" s="3" t="inlineStr"/>
      <c r="AA988" s="3" t="inlineStr">
        <is>
          <t>寄付月結</t>
        </is>
      </c>
      <c r="AB988">
        <f>IFERROR(VLOOKUP(Q988&amp;"",對照表!$A:$B,1,FALSE),"")</f>
        <v/>
      </c>
      <c r="AC988">
        <f>IFERROR(VLOOKUP(Q988&amp;"",對照表!$A:$B,2,FALSE),"")</f>
        <v/>
      </c>
    </row>
    <row r="989">
      <c r="A989" s="3" t="inlineStr">
        <is>
          <t>SF5113427648137</t>
        </is>
      </c>
      <c r="B989" s="3" t="n">
        <v>58435485630500</v>
      </c>
      <c r="C989" s="3" t="inlineStr">
        <is>
          <t>已簽收</t>
        </is>
      </c>
      <c r="D989" s="3" t="inlineStr">
        <is>
          <t>2026-07-06 16:03:15</t>
        </is>
      </c>
      <c r="E989" s="3" t="inlineStr">
        <is>
          <t>2026-07-07 13:47</t>
        </is>
      </c>
      <c r="F989" s="3" t="n">
        <v>4.45</v>
      </c>
      <c r="G989" s="3" t="n">
        <v>1</v>
      </c>
      <c r="H989" s="3" t="n"/>
      <c r="I989" s="3" t="inlineStr"/>
      <c r="J989" s="3" t="inlineStr">
        <is>
          <t>Keeta</t>
        </is>
      </c>
      <c r="K989" s="3" t="inlineStr">
        <is>
          <t>****9568</t>
        </is>
      </c>
      <c r="L989" s="3" t="n"/>
      <c r="M989" s="3" t="inlineStr">
        <is>
          <t>***** 物流中心5樓</t>
        </is>
      </c>
      <c r="N989" s="3" t="inlineStr">
        <is>
          <t>北区</t>
        </is>
      </c>
      <c r="O989" s="3" t="inlineStr">
        <is>
          <t>香港</t>
        </is>
      </c>
      <c r="P989" s="3" t="inlineStr">
        <is>
          <t>香港特别行政区</t>
        </is>
      </c>
      <c r="Q989" s="3" t="n">
        <v>455355</v>
      </c>
      <c r="R989" s="3" t="inlineStr">
        <is>
          <t>雞少雞飯（雞少去骨海南雞）炮台山</t>
        </is>
      </c>
      <c r="S989" s="3" t="inlineStr">
        <is>
          <t>****59885799</t>
        </is>
      </c>
      <c r="T989" s="3" t="inlineStr">
        <is>
          <t>****59885799</t>
        </is>
      </c>
      <c r="U989" s="3" t="inlineStr">
        <is>
          <t>***** 樓地下D號舖</t>
        </is>
      </c>
      <c r="V989" s="3" t="inlineStr">
        <is>
          <t>香港</t>
        </is>
      </c>
      <c r="W989" s="3" t="inlineStr">
        <is>
          <t>机纸/小票纸 / 包出</t>
        </is>
      </c>
      <c r="X989" s="3" t="inlineStr">
        <is>
          <t>ESS-SFTS-OTMS</t>
        </is>
      </c>
      <c r="Y989" s="3" t="n"/>
      <c r="Z989" s="3" t="inlineStr"/>
      <c r="AA989" s="3" t="inlineStr">
        <is>
          <t>寄付月結</t>
        </is>
      </c>
      <c r="AB989">
        <f>IFERROR(VLOOKUP(Q989&amp;"",對照表!$A:$B,1,FALSE),"")</f>
        <v/>
      </c>
      <c r="AC989">
        <f>IFERROR(VLOOKUP(Q989&amp;"",對照表!$A:$B,2,FALSE),"")</f>
        <v/>
      </c>
    </row>
    <row r="990">
      <c r="A990" s="3" t="inlineStr">
        <is>
          <t>SF5113427648067</t>
        </is>
      </c>
      <c r="B990" s="3" t="n">
        <v>58435485630483</v>
      </c>
      <c r="C990" s="3" t="inlineStr">
        <is>
          <t>已簽收</t>
        </is>
      </c>
      <c r="D990" s="3" t="inlineStr">
        <is>
          <t>2026-07-06 16:29:04</t>
        </is>
      </c>
      <c r="E990" s="3" t="inlineStr">
        <is>
          <t>2026-07-07 16:31</t>
        </is>
      </c>
      <c r="F990" s="3" t="n">
        <v>29</v>
      </c>
      <c r="G990" s="3" t="n">
        <v>2</v>
      </c>
      <c r="H990" s="3" t="n"/>
      <c r="I990" s="3" t="inlineStr"/>
      <c r="J990" s="3" t="inlineStr">
        <is>
          <t>Keeta</t>
        </is>
      </c>
      <c r="K990" s="3" t="inlineStr">
        <is>
          <t>****9568</t>
        </is>
      </c>
      <c r="L990" s="3" t="n"/>
      <c r="M990" s="3" t="inlineStr">
        <is>
          <t>***** 物流中心5樓</t>
        </is>
      </c>
      <c r="N990" s="3" t="inlineStr">
        <is>
          <t>北区</t>
        </is>
      </c>
      <c r="O990" s="3" t="inlineStr">
        <is>
          <t>香港</t>
        </is>
      </c>
      <c r="P990" s="3" t="inlineStr">
        <is>
          <t>香港特别行政区</t>
        </is>
      </c>
      <c r="Q990" s="3" t="n">
        <v>462094</v>
      </c>
      <c r="R990" s="3" t="inlineStr">
        <is>
          <t>麥當勞(街市街)McDonalds</t>
        </is>
      </c>
      <c r="S990" s="3" t="inlineStr">
        <is>
          <t>****24122134</t>
        </is>
      </c>
      <c r="T990" s="3" t="inlineStr">
        <is>
          <t>****24122134</t>
        </is>
      </c>
      <c r="U990" s="3" t="inlineStr">
        <is>
          <t>***** 號地下及閣樓</t>
        </is>
      </c>
      <c r="V990" s="3" t="inlineStr">
        <is>
          <t>香港</t>
        </is>
      </c>
      <c r="W990" s="3" t="inlineStr">
        <is>
          <t>纸袋【通版】/ 箱出</t>
        </is>
      </c>
      <c r="X990" s="3" t="inlineStr">
        <is>
          <t>ESS-SFTS-OTMS</t>
        </is>
      </c>
      <c r="Y990" s="3" t="n"/>
      <c r="Z990" s="3" t="inlineStr"/>
      <c r="AA990" s="3" t="inlineStr">
        <is>
          <t>寄付月結</t>
        </is>
      </c>
      <c r="AB990">
        <f>IFERROR(VLOOKUP(Q990&amp;"",對照表!$A:$B,1,FALSE),"")</f>
        <v/>
      </c>
      <c r="AC990">
        <f>IFERROR(VLOOKUP(Q990&amp;"",對照表!$A:$B,2,FALSE),"")</f>
        <v/>
      </c>
    </row>
    <row r="991">
      <c r="A991" s="3" t="inlineStr">
        <is>
          <t>SF5113427648030</t>
        </is>
      </c>
      <c r="B991" s="3" t="n">
        <v>58435485597910</v>
      </c>
      <c r="C991" s="3" t="inlineStr">
        <is>
          <t>已簽收</t>
        </is>
      </c>
      <c r="D991" s="3" t="inlineStr">
        <is>
          <t>2026-07-06 16:03:09</t>
        </is>
      </c>
      <c r="E991" s="3" t="inlineStr">
        <is>
          <t>2026-07-07 12:29</t>
        </is>
      </c>
      <c r="F991" s="3" t="n">
        <v>4.45</v>
      </c>
      <c r="G991" s="3" t="n">
        <v>1</v>
      </c>
      <c r="H991" s="3" t="n"/>
      <c r="I991" s="3" t="inlineStr"/>
      <c r="J991" s="3" t="inlineStr">
        <is>
          <t>Keeta</t>
        </is>
      </c>
      <c r="K991" s="3" t="inlineStr">
        <is>
          <t>****9568</t>
        </is>
      </c>
      <c r="L991" s="3" t="n"/>
      <c r="M991" s="3" t="inlineStr">
        <is>
          <t>***** 物流中心5樓</t>
        </is>
      </c>
      <c r="N991" s="3" t="inlineStr">
        <is>
          <t>北区</t>
        </is>
      </c>
      <c r="O991" s="3" t="inlineStr">
        <is>
          <t>香港</t>
        </is>
      </c>
      <c r="P991" s="3" t="inlineStr">
        <is>
          <t>香港特别行政区</t>
        </is>
      </c>
      <c r="Q991" s="3" t="n">
        <v>483033</v>
      </c>
      <c r="R991" s="3" t="inlineStr">
        <is>
          <t>米気MaiHei（紅磡）</t>
        </is>
      </c>
      <c r="S991" s="3" t="inlineStr">
        <is>
          <t>****35431101</t>
        </is>
      </c>
      <c r="T991" s="3" t="inlineStr">
        <is>
          <t>****35431101</t>
        </is>
      </c>
      <c r="U991" s="3" t="inlineStr">
        <is>
          <t>***** 下G32號舖</t>
        </is>
      </c>
      <c r="V991" s="3" t="inlineStr">
        <is>
          <t>香港</t>
        </is>
      </c>
      <c r="W991" s="3" t="inlineStr">
        <is>
          <t>机纸/小票纸 / 包出</t>
        </is>
      </c>
      <c r="X991" s="3" t="inlineStr">
        <is>
          <t>ESS-SFTS-OTMS</t>
        </is>
      </c>
      <c r="Y991" s="3" t="n"/>
      <c r="Z991" s="3" t="inlineStr"/>
      <c r="AA991" s="3" t="inlineStr">
        <is>
          <t>寄付月結</t>
        </is>
      </c>
      <c r="AB991">
        <f>IFERROR(VLOOKUP(Q991&amp;"",對照表!$A:$B,1,FALSE),"")</f>
        <v/>
      </c>
      <c r="AC991">
        <f>IFERROR(VLOOKUP(Q991&amp;"",對照表!$A:$B,2,FALSE),"")</f>
        <v/>
      </c>
    </row>
    <row r="992">
      <c r="A992" s="3" t="inlineStr">
        <is>
          <t>SF5113427648298</t>
        </is>
      </c>
      <c r="B992" s="3" t="n">
        <v>58435485630541</v>
      </c>
      <c r="C992" s="3" t="inlineStr">
        <is>
          <t>已簽收</t>
        </is>
      </c>
      <c r="D992" s="3" t="inlineStr">
        <is>
          <t>2026-07-06 16:03:22</t>
        </is>
      </c>
      <c r="E992" s="3" t="inlineStr">
        <is>
          <t>2026-07-07 12:23</t>
        </is>
      </c>
      <c r="F992" s="3" t="n">
        <v>4.45</v>
      </c>
      <c r="G992" s="3" t="n">
        <v>1</v>
      </c>
      <c r="H992" s="3" t="n"/>
      <c r="I992" s="3" t="inlineStr"/>
      <c r="J992" s="3" t="inlineStr">
        <is>
          <t>Keeta</t>
        </is>
      </c>
      <c r="K992" s="3" t="inlineStr">
        <is>
          <t>****9568</t>
        </is>
      </c>
      <c r="L992" s="3" t="n"/>
      <c r="M992" s="3" t="inlineStr">
        <is>
          <t>***** 物流中心5樓</t>
        </is>
      </c>
      <c r="N992" s="3" t="inlineStr">
        <is>
          <t>北区</t>
        </is>
      </c>
      <c r="O992" s="3" t="inlineStr">
        <is>
          <t>香港</t>
        </is>
      </c>
      <c r="P992" s="3" t="inlineStr">
        <is>
          <t>香港特别行政区</t>
        </is>
      </c>
      <c r="Q992" s="3" t="n">
        <v>452318</v>
      </c>
      <c r="R992" s="3" t="inlineStr">
        <is>
          <t>爭鮮迴轉壽司（坑口）</t>
        </is>
      </c>
      <c r="S992" s="3" t="inlineStr">
        <is>
          <t>****22764010</t>
        </is>
      </c>
      <c r="T992" s="3" t="inlineStr">
        <is>
          <t>****22764010</t>
        </is>
      </c>
      <c r="U992" s="3" t="inlineStr">
        <is>
          <t>***** 樓R1A號舖</t>
        </is>
      </c>
      <c r="V992" s="3" t="inlineStr">
        <is>
          <t>香港</t>
        </is>
      </c>
      <c r="W992" s="3" t="inlineStr">
        <is>
          <t>机纸/小票纸 / 包出</t>
        </is>
      </c>
      <c r="X992" s="3" t="inlineStr">
        <is>
          <t>ESS-SFTS-OTMS</t>
        </is>
      </c>
      <c r="Y992" s="3" t="n"/>
      <c r="Z992" s="3" t="inlineStr"/>
      <c r="AA992" s="3" t="inlineStr">
        <is>
          <t>寄付月結</t>
        </is>
      </c>
      <c r="AB992">
        <f>IFERROR(VLOOKUP(Q992&amp;"",對照表!$A:$B,1,FALSE),"")</f>
        <v/>
      </c>
      <c r="AC992">
        <f>IFERROR(VLOOKUP(Q992&amp;"",對照表!$A:$B,2,FALSE),"")</f>
        <v/>
      </c>
    </row>
    <row r="993">
      <c r="A993" s="3" t="inlineStr">
        <is>
          <t>SF5113427648155</t>
        </is>
      </c>
      <c r="B993" s="3" t="n">
        <v>58435485630511</v>
      </c>
      <c r="C993" s="3" t="inlineStr">
        <is>
          <t>已簽收</t>
        </is>
      </c>
      <c r="D993" s="3" t="inlineStr">
        <is>
          <t>2026-07-06 16:28:56</t>
        </is>
      </c>
      <c r="E993" s="3" t="inlineStr">
        <is>
          <t>2026-07-07 10:27</t>
        </is>
      </c>
      <c r="F993" s="3" t="n">
        <v>29</v>
      </c>
      <c r="G993" s="3" t="n">
        <v>2</v>
      </c>
      <c r="H993" s="3" t="n"/>
      <c r="I993" s="3" t="inlineStr"/>
      <c r="J993" s="3" t="inlineStr">
        <is>
          <t>Keeta</t>
        </is>
      </c>
      <c r="K993" s="3" t="inlineStr">
        <is>
          <t>****9568</t>
        </is>
      </c>
      <c r="L993" s="3" t="n"/>
      <c r="M993" s="3" t="inlineStr">
        <is>
          <t>***** 物流中心5樓</t>
        </is>
      </c>
      <c r="N993" s="3" t="inlineStr">
        <is>
          <t>北区</t>
        </is>
      </c>
      <c r="O993" s="3" t="inlineStr">
        <is>
          <t>香港</t>
        </is>
      </c>
      <c r="P993" s="3" t="inlineStr">
        <is>
          <t>香港特别行政区</t>
        </is>
      </c>
      <c r="Q993" s="3" t="n">
        <v>721515369</v>
      </c>
      <c r="R993" s="3" t="inlineStr">
        <is>
          <t>麥當勞(真善美)McDonalds</t>
        </is>
      </c>
      <c r="S993" s="3" t="inlineStr">
        <is>
          <t>****27121185</t>
        </is>
      </c>
      <c r="T993" s="3" t="inlineStr">
        <is>
          <t>****27121185</t>
        </is>
      </c>
      <c r="U993" s="3" t="inlineStr">
        <is>
          <t>***** , 9號地舖</t>
        </is>
      </c>
      <c r="V993" s="3" t="inlineStr">
        <is>
          <t>香港</t>
        </is>
      </c>
      <c r="W993" s="3" t="inlineStr">
        <is>
          <t>纸袋【通版】/ 箱出</t>
        </is>
      </c>
      <c r="X993" s="3" t="inlineStr">
        <is>
          <t>ESS-SFTS-OTMS</t>
        </is>
      </c>
      <c r="Y993" s="3" t="n"/>
      <c r="Z993" s="3" t="inlineStr"/>
      <c r="AA993" s="3" t="inlineStr">
        <is>
          <t>寄付月結</t>
        </is>
      </c>
      <c r="AB993">
        <f>IFERROR(VLOOKUP(Q993&amp;"",對照表!$A:$B,1,FALSE),"")</f>
        <v/>
      </c>
      <c r="AC993">
        <f>IFERROR(VLOOKUP(Q993&amp;"",對照表!$A:$B,2,FALSE),"")</f>
        <v/>
      </c>
    </row>
    <row r="994">
      <c r="A994" s="3" t="inlineStr">
        <is>
          <t>SF5113427648455</t>
        </is>
      </c>
      <c r="B994" s="3" t="n">
        <v>58435485630576</v>
      </c>
      <c r="C994" s="3" t="inlineStr">
        <is>
          <t>已簽收</t>
        </is>
      </c>
      <c r="D994" s="3" t="inlineStr">
        <is>
          <t>2026-07-06 17:14:39</t>
        </is>
      </c>
      <c r="E994" s="3" t="inlineStr">
        <is>
          <t>2026-07-07 13:20</t>
        </is>
      </c>
      <c r="F994" s="3" t="n">
        <v>1</v>
      </c>
      <c r="G994" s="3" t="n">
        <v>1</v>
      </c>
      <c r="H994" s="3" t="n"/>
      <c r="I994" s="3" t="inlineStr"/>
      <c r="J994" s="3" t="inlineStr">
        <is>
          <t>Keeta</t>
        </is>
      </c>
      <c r="K994" s="3" t="inlineStr">
        <is>
          <t>****9568</t>
        </is>
      </c>
      <c r="L994" s="3" t="n"/>
      <c r="M994" s="3" t="inlineStr">
        <is>
          <t>***** 物流中心5樓</t>
        </is>
      </c>
      <c r="N994" s="3" t="inlineStr">
        <is>
          <t>北区</t>
        </is>
      </c>
      <c r="O994" s="3" t="inlineStr">
        <is>
          <t>香港</t>
        </is>
      </c>
      <c r="P994" s="3" t="inlineStr">
        <is>
          <t>香港特别行政区</t>
        </is>
      </c>
      <c r="Q994" s="3" t="n">
        <v>721522382</v>
      </c>
      <c r="R994" s="3" t="inlineStr">
        <is>
          <t>呂錦記手撕雞（長發廣場店）</t>
        </is>
      </c>
      <c r="S994" s="3" t="inlineStr">
        <is>
          <t>****90331642</t>
        </is>
      </c>
      <c r="T994" s="3" t="inlineStr">
        <is>
          <t>****90331642</t>
        </is>
      </c>
      <c r="U994" s="3" t="inlineStr">
        <is>
          <t>***** 市場51號舖</t>
        </is>
      </c>
      <c r="V994" s="3" t="inlineStr">
        <is>
          <t>香港</t>
        </is>
      </c>
      <c r="W994" s="3" t="inlineStr">
        <is>
          <t>翻新POS机【真唯】/ 件出</t>
        </is>
      </c>
      <c r="X994" s="3" t="inlineStr">
        <is>
          <t>ESS-SFTS-OTMS</t>
        </is>
      </c>
      <c r="Y994" s="3" t="n"/>
      <c r="Z994" s="3" t="inlineStr"/>
      <c r="AA994" s="3" t="inlineStr">
        <is>
          <t>寄付月結</t>
        </is>
      </c>
      <c r="AB994">
        <f>IFERROR(VLOOKUP(Q994&amp;"",對照表!$A:$B,1,FALSE),"")</f>
        <v/>
      </c>
      <c r="AC994">
        <f>IFERROR(VLOOKUP(Q994&amp;"",對照表!$A:$B,2,FALSE),"")</f>
        <v/>
      </c>
    </row>
    <row r="995">
      <c r="A995" s="3" t="inlineStr">
        <is>
          <t>SF5113427648207</t>
        </is>
      </c>
      <c r="B995" s="3" t="n">
        <v>58435485630521</v>
      </c>
      <c r="C995" s="3" t="inlineStr">
        <is>
          <t>已簽收</t>
        </is>
      </c>
      <c r="D995" s="3" t="inlineStr">
        <is>
          <t>2026-07-06 17:04:48</t>
        </is>
      </c>
      <c r="E995" s="3" t="inlineStr">
        <is>
          <t>2026-07-07 14:34</t>
        </is>
      </c>
      <c r="F995" s="3" t="n">
        <v>2.36</v>
      </c>
      <c r="G995" s="3" t="n">
        <v>1</v>
      </c>
      <c r="H995" s="3" t="n"/>
      <c r="I995" s="3" t="inlineStr"/>
      <c r="J995" s="3" t="inlineStr">
        <is>
          <t>Keeta</t>
        </is>
      </c>
      <c r="K995" s="3" t="inlineStr">
        <is>
          <t>****9568</t>
        </is>
      </c>
      <c r="L995" s="3" t="n"/>
      <c r="M995" s="3" t="inlineStr">
        <is>
          <t>***** 物流中心5樓</t>
        </is>
      </c>
      <c r="N995" s="3" t="inlineStr">
        <is>
          <t>北区</t>
        </is>
      </c>
      <c r="O995" s="3" t="inlineStr">
        <is>
          <t>香港</t>
        </is>
      </c>
      <c r="P995" s="3" t="inlineStr">
        <is>
          <t>香港特别行政区</t>
        </is>
      </c>
      <c r="Q995" s="3" t="n">
        <v>576521</v>
      </c>
      <c r="R995" s="3" t="inlineStr">
        <is>
          <t>包點先生點心蒸飯100香港製造(富東)</t>
        </is>
      </c>
      <c r="S995" s="3" t="inlineStr">
        <is>
          <t>****23870080</t>
        </is>
      </c>
      <c r="T995" s="3" t="inlineStr">
        <is>
          <t>****23870080</t>
        </is>
      </c>
      <c r="U995" s="3" t="inlineStr">
        <is>
          <t>***** 市M18號鋪</t>
        </is>
      </c>
      <c r="V995" s="3" t="inlineStr">
        <is>
          <t>香港</t>
        </is>
      </c>
      <c r="W995" s="3" t="inlineStr">
        <is>
          <t>机纸/小票纸 / 包出</t>
        </is>
      </c>
      <c r="X995" s="3" t="inlineStr">
        <is>
          <t>ESS-SFTS-OTMS</t>
        </is>
      </c>
      <c r="Y995" s="3" t="n"/>
      <c r="Z995" s="3" t="inlineStr"/>
      <c r="AA995" s="3" t="inlineStr">
        <is>
          <t>寄付月結</t>
        </is>
      </c>
      <c r="AB995">
        <f>IFERROR(VLOOKUP(Q995&amp;"",對照表!$A:$B,1,FALSE),"")</f>
        <v/>
      </c>
      <c r="AC995">
        <f>IFERROR(VLOOKUP(Q995&amp;"",對照表!$A:$B,2,FALSE),"")</f>
        <v/>
      </c>
    </row>
    <row r="996">
      <c r="A996" s="3" t="inlineStr">
        <is>
          <t>SF5113427648234</t>
        </is>
      </c>
      <c r="B996" s="3" t="n">
        <v>58435485630526</v>
      </c>
      <c r="C996" s="3" t="inlineStr">
        <is>
          <t>已簽收</t>
        </is>
      </c>
      <c r="D996" s="3" t="inlineStr">
        <is>
          <t>2026-07-06 15:46:56</t>
        </is>
      </c>
      <c r="E996" s="3" t="inlineStr">
        <is>
          <t>2026-07-06 18:50</t>
        </is>
      </c>
      <c r="F996" s="3" t="n">
        <v>58</v>
      </c>
      <c r="G996" s="3" t="n">
        <v>4</v>
      </c>
      <c r="H996" s="3" t="n"/>
      <c r="I996" s="3" t="inlineStr"/>
      <c r="J996" s="3" t="inlineStr">
        <is>
          <t>Keeta</t>
        </is>
      </c>
      <c r="K996" s="3" t="inlineStr">
        <is>
          <t>****9568</t>
        </is>
      </c>
      <c r="L996" s="3" t="n"/>
      <c r="M996" s="3" t="inlineStr">
        <is>
          <t>***** 物流中心5樓</t>
        </is>
      </c>
      <c r="N996" s="3" t="inlineStr">
        <is>
          <t>北区</t>
        </is>
      </c>
      <c r="O996" s="3" t="inlineStr">
        <is>
          <t>香港</t>
        </is>
      </c>
      <c r="P996" s="3" t="inlineStr">
        <is>
          <t>香港特别行政区</t>
        </is>
      </c>
      <c r="Q996" s="3" t="n">
        <v>561774</v>
      </c>
      <c r="R996" s="3" t="inlineStr">
        <is>
          <t>麥當勞(萬廸廣場)McDonalds</t>
        </is>
      </c>
      <c r="S996" s="3" t="inlineStr">
        <is>
          <t>****22670798</t>
        </is>
      </c>
      <c r="T996" s="3" t="inlineStr">
        <is>
          <t>****22670798</t>
        </is>
      </c>
      <c r="U996" s="3" t="inlineStr">
        <is>
          <t>***** 下F及 G舖</t>
        </is>
      </c>
      <c r="V996" s="3" t="inlineStr">
        <is>
          <t>香港</t>
        </is>
      </c>
      <c r="W996" s="3" t="inlineStr">
        <is>
          <t>纸袋【通版】/ 箱出</t>
        </is>
      </c>
      <c r="X996" s="3" t="inlineStr">
        <is>
          <t>ESS-SFTS-OTMS</t>
        </is>
      </c>
      <c r="Y996" s="3" t="n"/>
      <c r="Z996" s="3" t="inlineStr"/>
      <c r="AA996" s="3" t="inlineStr">
        <is>
          <t>寄付月結</t>
        </is>
      </c>
      <c r="AB996">
        <f>IFERROR(VLOOKUP(Q996&amp;"",對照表!$A:$B,1,FALSE),"")</f>
        <v/>
      </c>
      <c r="AC996">
        <f>IFERROR(VLOOKUP(Q996&amp;"",對照表!$A:$B,2,FALSE),"")</f>
        <v/>
      </c>
    </row>
    <row r="997">
      <c r="A997" s="3" t="inlineStr">
        <is>
          <t>SF5113427648400</t>
        </is>
      </c>
      <c r="B997" s="3" t="n">
        <v>58435485630563</v>
      </c>
      <c r="C997" s="3" t="inlineStr">
        <is>
          <t>已簽收</t>
        </is>
      </c>
      <c r="D997" s="3" t="inlineStr">
        <is>
          <t>2026-07-06 16:03:23</t>
        </is>
      </c>
      <c r="E997" s="3" t="inlineStr">
        <is>
          <t>2026-07-07 13:08</t>
        </is>
      </c>
      <c r="F997" s="3" t="n">
        <v>4.45</v>
      </c>
      <c r="G997" s="3" t="n">
        <v>1</v>
      </c>
      <c r="H997" s="3" t="n"/>
      <c r="I997" s="3" t="inlineStr"/>
      <c r="J997" s="3" t="inlineStr">
        <is>
          <t>Keeta</t>
        </is>
      </c>
      <c r="K997" s="3" t="inlineStr">
        <is>
          <t>****9568</t>
        </is>
      </c>
      <c r="L997" s="3" t="n"/>
      <c r="M997" s="3" t="inlineStr">
        <is>
          <t>***** 物流中心5樓</t>
        </is>
      </c>
      <c r="N997" s="3" t="inlineStr">
        <is>
          <t>北区</t>
        </is>
      </c>
      <c r="O997" s="3" t="inlineStr">
        <is>
          <t>香港</t>
        </is>
      </c>
      <c r="P997" s="3" t="inlineStr">
        <is>
          <t>香港特别行政区</t>
        </is>
      </c>
      <c r="Q997" s="3" t="n">
        <v>481698</v>
      </c>
      <c r="R997" s="3" t="inlineStr">
        <is>
          <t>紅雞正宗韓國炸雞專門店尖沙咀</t>
        </is>
      </c>
      <c r="S997" s="3" t="inlineStr">
        <is>
          <t>****59342680</t>
        </is>
      </c>
      <c r="T997" s="3" t="inlineStr">
        <is>
          <t>****59342680</t>
        </is>
      </c>
      <c r="U997" s="3" t="inlineStr">
        <is>
          <t>***** 廈UG層B舖</t>
        </is>
      </c>
      <c r="V997" s="3" t="inlineStr">
        <is>
          <t>香港</t>
        </is>
      </c>
      <c r="W997" s="3" t="inlineStr">
        <is>
          <t>机纸/小票纸 / 包出</t>
        </is>
      </c>
      <c r="X997" s="3" t="inlineStr">
        <is>
          <t>ESS-SFTS-OTMS</t>
        </is>
      </c>
      <c r="Y997" s="3" t="n"/>
      <c r="Z997" s="3" t="inlineStr"/>
      <c r="AA997" s="3" t="inlineStr">
        <is>
          <t>寄付月結</t>
        </is>
      </c>
      <c r="AB997">
        <f>IFERROR(VLOOKUP(Q997&amp;"",對照表!$A:$B,1,FALSE),"")</f>
        <v/>
      </c>
      <c r="AC997">
        <f>IFERROR(VLOOKUP(Q997&amp;"",對照表!$A:$B,2,FALSE),"")</f>
        <v/>
      </c>
    </row>
    <row r="998">
      <c r="A998" s="3" t="inlineStr">
        <is>
          <t>SF5113427648322</t>
        </is>
      </c>
      <c r="B998" s="3" t="n">
        <v>58435485630547</v>
      </c>
      <c r="C998" s="3" t="inlineStr">
        <is>
          <t>已簽收</t>
        </is>
      </c>
      <c r="D998" s="3" t="inlineStr">
        <is>
          <t>2026-07-06 17:33:04</t>
        </is>
      </c>
      <c r="E998" s="3" t="inlineStr">
        <is>
          <t>2026-07-07 11:10</t>
        </is>
      </c>
      <c r="F998" s="3" t="n">
        <v>43.5</v>
      </c>
      <c r="G998" s="3" t="n">
        <v>3</v>
      </c>
      <c r="H998" s="3" t="n"/>
      <c r="I998" s="3" t="inlineStr"/>
      <c r="J998" s="3" t="inlineStr">
        <is>
          <t>Keeta</t>
        </is>
      </c>
      <c r="K998" s="3" t="inlineStr">
        <is>
          <t>****9568</t>
        </is>
      </c>
      <c r="L998" s="3" t="n"/>
      <c r="M998" s="3" t="inlineStr">
        <is>
          <t>***** 物流中心5樓</t>
        </is>
      </c>
      <c r="N998" s="3" t="inlineStr">
        <is>
          <t>北区</t>
        </is>
      </c>
      <c r="O998" s="3" t="inlineStr">
        <is>
          <t>香港</t>
        </is>
      </c>
      <c r="P998" s="3" t="inlineStr">
        <is>
          <t>香港特别行政区</t>
        </is>
      </c>
      <c r="Q998" s="3" t="n">
        <v>448619</v>
      </c>
      <c r="R998" s="3" t="inlineStr">
        <is>
          <t>麥當勞(干諾道中)McDonalds</t>
        </is>
      </c>
      <c r="S998" s="3" t="inlineStr">
        <is>
          <t>****24786588</t>
        </is>
      </c>
      <c r="T998" s="3" t="inlineStr">
        <is>
          <t>****24786588</t>
        </is>
      </c>
      <c r="U998" s="3" t="inlineStr">
        <is>
          <t>***** 層舆地下底層</t>
        </is>
      </c>
      <c r="V998" s="3" t="inlineStr">
        <is>
          <t>香港</t>
        </is>
      </c>
      <c r="W998" s="3" t="inlineStr">
        <is>
          <t>纸袋【通版】/ 箱出</t>
        </is>
      </c>
      <c r="X998" s="3" t="inlineStr">
        <is>
          <t>ESS-SFTS-OTMS</t>
        </is>
      </c>
      <c r="Y998" s="3" t="n"/>
      <c r="Z998" s="3" t="inlineStr"/>
      <c r="AA998" s="3" t="inlineStr">
        <is>
          <t>寄付月結</t>
        </is>
      </c>
      <c r="AB998">
        <f>IFERROR(VLOOKUP(Q998&amp;"",對照表!$A:$B,1,FALSE),"")</f>
        <v/>
      </c>
      <c r="AC998">
        <f>IFERROR(VLOOKUP(Q998&amp;"",對照表!$A:$B,2,FALSE),"")</f>
        <v/>
      </c>
    </row>
    <row r="999">
      <c r="A999" s="3" t="inlineStr">
        <is>
          <t>SF5113427647355</t>
        </is>
      </c>
      <c r="B999" s="3" t="n">
        <v>58435485597734</v>
      </c>
      <c r="C999" s="3" t="inlineStr">
        <is>
          <t>已簽收</t>
        </is>
      </c>
      <c r="D999" s="3" t="inlineStr">
        <is>
          <t>2026-07-06 17:05:17</t>
        </is>
      </c>
      <c r="E999" s="3" t="inlineStr">
        <is>
          <t>2026-07-07 12:49</t>
        </is>
      </c>
      <c r="F999" s="3" t="n">
        <v>2.36</v>
      </c>
      <c r="G999" s="3" t="n">
        <v>1</v>
      </c>
      <c r="H999" s="3" t="n"/>
      <c r="I999" s="3" t="inlineStr"/>
      <c r="J999" s="3" t="inlineStr">
        <is>
          <t>Keeta</t>
        </is>
      </c>
      <c r="K999" s="3" t="inlineStr">
        <is>
          <t>****9568</t>
        </is>
      </c>
      <c r="L999" s="3" t="n"/>
      <c r="M999" s="3" t="inlineStr">
        <is>
          <t>***** 物流中心5樓</t>
        </is>
      </c>
      <c r="N999" s="3" t="inlineStr">
        <is>
          <t>北区</t>
        </is>
      </c>
      <c r="O999" s="3" t="inlineStr">
        <is>
          <t>香港</t>
        </is>
      </c>
      <c r="P999" s="3" t="inlineStr">
        <is>
          <t>香港特别行政区</t>
        </is>
      </c>
      <c r="Q999" s="3" t="n">
        <v>452220</v>
      </c>
      <c r="R999" s="3" t="inlineStr">
        <is>
          <t>高山文化咖啡廳</t>
        </is>
      </c>
      <c r="S999" s="3" t="inlineStr">
        <is>
          <t>****65469053</t>
        </is>
      </c>
      <c r="T999" s="3" t="inlineStr">
        <is>
          <t>****65469053</t>
        </is>
      </c>
      <c r="U999" s="3" t="inlineStr">
        <is>
          <t>***** 翼1樓咖啡廳</t>
        </is>
      </c>
      <c r="V999" s="3" t="inlineStr">
        <is>
          <t>香港</t>
        </is>
      </c>
      <c r="W999" s="3" t="inlineStr">
        <is>
          <t>机纸/小票纸 / 包出</t>
        </is>
      </c>
      <c r="X999" s="3" t="inlineStr">
        <is>
          <t>ESS-SFTS-OTMS</t>
        </is>
      </c>
      <c r="Y999" s="3" t="n"/>
      <c r="Z999" s="3" t="inlineStr"/>
      <c r="AA999" s="3" t="inlineStr">
        <is>
          <t>寄付月結</t>
        </is>
      </c>
      <c r="AB999">
        <f>IFERROR(VLOOKUP(Q999&amp;"",對照表!$A:$B,1,FALSE),"")</f>
        <v/>
      </c>
      <c r="AC999">
        <f>IFERROR(VLOOKUP(Q999&amp;"",對照表!$A:$B,2,FALSE),"")</f>
        <v/>
      </c>
    </row>
    <row r="1000">
      <c r="A1000" s="3" t="inlineStr">
        <is>
          <t>SF5113427648164</t>
        </is>
      </c>
      <c r="B1000" s="3" t="n">
        <v>58435485630512</v>
      </c>
      <c r="C1000" s="3" t="inlineStr">
        <is>
          <t>已簽收</t>
        </is>
      </c>
      <c r="D1000" s="3" t="inlineStr">
        <is>
          <t>2026-07-06 16:48:15</t>
        </is>
      </c>
      <c r="E1000" s="3" t="inlineStr">
        <is>
          <t>2026-07-07 11:12</t>
        </is>
      </c>
      <c r="F1000" s="3" t="n">
        <v>1.1</v>
      </c>
      <c r="G1000" s="3" t="n">
        <v>1</v>
      </c>
      <c r="H1000" s="3" t="n"/>
      <c r="I1000" s="3" t="inlineStr"/>
      <c r="J1000" s="3" t="inlineStr">
        <is>
          <t>Keeta</t>
        </is>
      </c>
      <c r="K1000" s="3" t="inlineStr">
        <is>
          <t>****9568</t>
        </is>
      </c>
      <c r="L1000" s="3" t="n"/>
      <c r="M1000" s="3" t="inlineStr">
        <is>
          <t>***** 物流中心5樓</t>
        </is>
      </c>
      <c r="N1000" s="3" t="inlineStr">
        <is>
          <t>北区</t>
        </is>
      </c>
      <c r="O1000" s="3" t="inlineStr">
        <is>
          <t>香港</t>
        </is>
      </c>
      <c r="P1000" s="3" t="inlineStr">
        <is>
          <t>香港特别行政区</t>
        </is>
      </c>
      <c r="Q1000" s="3" t="n">
        <v>721447356</v>
      </c>
      <c r="R1000" s="3" t="inlineStr">
        <is>
          <t>唐宮小聚(TheLPlace)SocialPlace(TheLPlace)</t>
        </is>
      </c>
      <c r="S1000" s="3" t="inlineStr">
        <is>
          <t>****35689666</t>
        </is>
      </c>
      <c r="T1000" s="3" t="inlineStr">
        <is>
          <t>****35689666</t>
        </is>
      </c>
      <c r="U1000" s="3" t="inlineStr">
        <is>
          <t>***** ace 2樓</t>
        </is>
      </c>
      <c r="V1000" s="3" t="inlineStr">
        <is>
          <t>香港</t>
        </is>
      </c>
      <c r="W1000" s="3" t="inlineStr">
        <is>
          <t>机纸/小票纸 / 包出</t>
        </is>
      </c>
      <c r="X1000" s="3" t="inlineStr">
        <is>
          <t>ESS-SFTS-OTMS</t>
        </is>
      </c>
      <c r="Y1000" s="3" t="n"/>
      <c r="Z1000" s="3" t="inlineStr"/>
      <c r="AA1000" s="3" t="inlineStr">
        <is>
          <t>寄付月結</t>
        </is>
      </c>
      <c r="AB1000">
        <f>IFERROR(VLOOKUP(Q1000&amp;"",對照表!$A:$B,1,FALSE),"")</f>
        <v/>
      </c>
      <c r="AC1000">
        <f>IFERROR(VLOOKUP(Q1000&amp;"",對照表!$A:$B,2,FALSE),"")</f>
        <v/>
      </c>
    </row>
    <row r="1001">
      <c r="A1001" s="3" t="inlineStr">
        <is>
          <t>SF5113427647382</t>
        </is>
      </c>
      <c r="B1001" s="3" t="n">
        <v>58435485597740</v>
      </c>
      <c r="C1001" s="3" t="inlineStr">
        <is>
          <t>已簽收</t>
        </is>
      </c>
      <c r="D1001" s="3" t="inlineStr">
        <is>
          <t>2026-07-06 16:29:07</t>
        </is>
      </c>
      <c r="E1001" s="3" t="inlineStr">
        <is>
          <t>2026-07-07 13:51</t>
        </is>
      </c>
      <c r="F1001" s="3" t="n">
        <v>29</v>
      </c>
      <c r="G1001" s="3" t="n">
        <v>2</v>
      </c>
      <c r="H1001" s="3" t="n"/>
      <c r="I1001" s="3" t="inlineStr"/>
      <c r="J1001" s="3" t="inlineStr">
        <is>
          <t>Keeta</t>
        </is>
      </c>
      <c r="K1001" s="3" t="inlineStr">
        <is>
          <t>****9568</t>
        </is>
      </c>
      <c r="L1001" s="3" t="n"/>
      <c r="M1001" s="3" t="inlineStr">
        <is>
          <t>***** 物流中心5樓</t>
        </is>
      </c>
      <c r="N1001" s="3" t="inlineStr">
        <is>
          <t>北区</t>
        </is>
      </c>
      <c r="O1001" s="3" t="inlineStr">
        <is>
          <t>香港</t>
        </is>
      </c>
      <c r="P1001" s="3" t="inlineStr">
        <is>
          <t>香港特别行政区</t>
        </is>
      </c>
      <c r="Q1001" s="3" t="n">
        <v>468687</v>
      </c>
      <c r="R1001" s="3" t="inlineStr">
        <is>
          <t>NaraThaiCuisine新城市廣場</t>
        </is>
      </c>
      <c r="S1001" s="3" t="inlineStr">
        <is>
          <t>****31881138</t>
        </is>
      </c>
      <c r="T1001" s="3" t="inlineStr">
        <is>
          <t>****31881138</t>
        </is>
      </c>
      <c r="U1001" s="3" t="inlineStr">
        <is>
          <t>***** 樓507號舖</t>
        </is>
      </c>
      <c r="V1001" s="3" t="inlineStr">
        <is>
          <t>香港</t>
        </is>
      </c>
      <c r="W1001" s="3" t="inlineStr">
        <is>
          <t>纸袋【通版】/ 箱出</t>
        </is>
      </c>
      <c r="X1001" s="3" t="inlineStr">
        <is>
          <t>ESS-SFTS-OTMS</t>
        </is>
      </c>
      <c r="Y1001" s="3" t="n"/>
      <c r="Z1001" s="3" t="inlineStr"/>
      <c r="AA1001" s="3" t="inlineStr">
        <is>
          <t>寄付月結</t>
        </is>
      </c>
      <c r="AB1001">
        <f>IFERROR(VLOOKUP(Q1001&amp;"",對照表!$A:$B,1,FALSE),"")</f>
        <v/>
      </c>
      <c r="AC1001">
        <f>IFERROR(VLOOKUP(Q1001&amp;"",對照表!$A:$B,2,FALSE),"")</f>
        <v/>
      </c>
    </row>
    <row r="1002">
      <c r="A1002" s="3" t="inlineStr">
        <is>
          <t>SF5113427647991</t>
        </is>
      </c>
      <c r="B1002" s="3" t="n">
        <v>58435485597893</v>
      </c>
      <c r="C1002" s="3" t="inlineStr">
        <is>
          <t>已簽收</t>
        </is>
      </c>
      <c r="D1002" s="3" t="inlineStr">
        <is>
          <t>2026-07-06 17:06:36</t>
        </is>
      </c>
      <c r="E1002" s="3" t="inlineStr">
        <is>
          <t>2026-07-07 13:03</t>
        </is>
      </c>
      <c r="F1002" s="3" t="n">
        <v>2.02</v>
      </c>
      <c r="G1002" s="3" t="n">
        <v>1</v>
      </c>
      <c r="H1002" s="3" t="n"/>
      <c r="I1002" s="3" t="inlineStr"/>
      <c r="J1002" s="3" t="inlineStr">
        <is>
          <t>Keeta</t>
        </is>
      </c>
      <c r="K1002" s="3" t="inlineStr">
        <is>
          <t>****9568</t>
        </is>
      </c>
      <c r="L1002" s="3" t="n"/>
      <c r="M1002" s="3" t="inlineStr">
        <is>
          <t>***** 物流中心5樓</t>
        </is>
      </c>
      <c r="N1002" s="3" t="inlineStr">
        <is>
          <t>北区</t>
        </is>
      </c>
      <c r="O1002" s="3" t="inlineStr">
        <is>
          <t>香港</t>
        </is>
      </c>
      <c r="P1002" s="3" t="inlineStr">
        <is>
          <t>香港特别行政区</t>
        </is>
      </c>
      <c r="Q1002" s="3" t="n">
        <v>469857</v>
      </c>
      <c r="R1002" s="3" t="inlineStr">
        <is>
          <t>添味秦石分店(6周年慶典全場85折）</t>
        </is>
      </c>
      <c r="S1002" s="3" t="inlineStr">
        <is>
          <t>****62385143</t>
        </is>
      </c>
      <c r="T1002" s="3" t="inlineStr">
        <is>
          <t>****62385143</t>
        </is>
      </c>
      <c r="U1002" s="3" t="inlineStr">
        <is>
          <t>***** CS29號鋪</t>
        </is>
      </c>
      <c r="V1002" s="3" t="inlineStr">
        <is>
          <t>香港</t>
        </is>
      </c>
      <c r="W1002" s="3" t="inlineStr">
        <is>
          <t>封签【通版】/ 扎出</t>
        </is>
      </c>
      <c r="X1002" s="3" t="inlineStr">
        <is>
          <t>ESS-SFTS-OTMS</t>
        </is>
      </c>
      <c r="Y1002" s="3" t="n"/>
      <c r="Z1002" s="3" t="inlineStr"/>
      <c r="AA1002" s="3" t="inlineStr">
        <is>
          <t>寄付月結</t>
        </is>
      </c>
      <c r="AB1002">
        <f>IFERROR(VLOOKUP(Q1002&amp;"",對照表!$A:$B,1,FALSE),"")</f>
        <v/>
      </c>
      <c r="AC1002">
        <f>IFERROR(VLOOKUP(Q1002&amp;"",對照表!$A:$B,2,FALSE),"")</f>
        <v/>
      </c>
    </row>
    <row r="1003">
      <c r="A1003" s="3" t="inlineStr">
        <is>
          <t>SF5113427647319</t>
        </is>
      </c>
      <c r="B1003" s="3" t="n">
        <v>58435485597724</v>
      </c>
      <c r="C1003" s="3" t="inlineStr">
        <is>
          <t>已簽收</t>
        </is>
      </c>
      <c r="D1003" s="3" t="inlineStr">
        <is>
          <t>2026-07-06 17:11:01</t>
        </is>
      </c>
      <c r="E1003" s="3" t="inlineStr">
        <is>
          <t>2026-07-07 13:34</t>
        </is>
      </c>
      <c r="F1003" s="3" t="n">
        <v>1</v>
      </c>
      <c r="G1003" s="3" t="n">
        <v>1</v>
      </c>
      <c r="H1003" s="3" t="n"/>
      <c r="I1003" s="3" t="inlineStr"/>
      <c r="J1003" s="3" t="inlineStr">
        <is>
          <t>Keeta</t>
        </is>
      </c>
      <c r="K1003" s="3" t="inlineStr">
        <is>
          <t>****9568</t>
        </is>
      </c>
      <c r="L1003" s="3" t="n"/>
      <c r="M1003" s="3" t="inlineStr">
        <is>
          <t>***** 物流中心5樓</t>
        </is>
      </c>
      <c r="N1003" s="3" t="inlineStr">
        <is>
          <t>北区</t>
        </is>
      </c>
      <c r="O1003" s="3" t="inlineStr">
        <is>
          <t>香港</t>
        </is>
      </c>
      <c r="P1003" s="3" t="inlineStr">
        <is>
          <t>香港特别行政区</t>
        </is>
      </c>
      <c r="Q1003" s="3" t="n">
        <v>721538332</v>
      </c>
      <c r="R1003" s="3" t="inlineStr">
        <is>
          <t>一木冰廳（油塘）</t>
        </is>
      </c>
      <c r="S1003" s="3" t="inlineStr">
        <is>
          <t>****26169228</t>
        </is>
      </c>
      <c r="T1003" s="3" t="inlineStr">
        <is>
          <t>****26169228</t>
        </is>
      </c>
      <c r="U1003" s="3" t="inlineStr">
        <is>
          <t>***** 樓115號舖</t>
        </is>
      </c>
      <c r="V1003" s="3" t="inlineStr">
        <is>
          <t>香港</t>
        </is>
      </c>
      <c r="W1003" s="3" t="inlineStr">
        <is>
          <t>翻新POS机【真唯】/ 件出</t>
        </is>
      </c>
      <c r="X1003" s="3" t="inlineStr">
        <is>
          <t>ESS-SFTS-OTMS</t>
        </is>
      </c>
      <c r="Y1003" s="3" t="n"/>
      <c r="Z1003" s="3" t="inlineStr"/>
      <c r="AA1003" s="3" t="inlineStr">
        <is>
          <t>寄付月結</t>
        </is>
      </c>
      <c r="AB1003">
        <f>IFERROR(VLOOKUP(Q1003&amp;"",對照表!$A:$B,1,FALSE),"")</f>
        <v/>
      </c>
      <c r="AC1003">
        <f>IFERROR(VLOOKUP(Q1003&amp;"",對照表!$A:$B,2,FALSE),"")</f>
        <v/>
      </c>
    </row>
    <row r="1004">
      <c r="A1004" s="3" t="inlineStr">
        <is>
          <t>SF5113427648100</t>
        </is>
      </c>
      <c r="B1004" s="3" t="n">
        <v>58435485630492</v>
      </c>
      <c r="C1004" s="3" t="inlineStr">
        <is>
          <t>已簽收</t>
        </is>
      </c>
      <c r="D1004" s="3" t="inlineStr">
        <is>
          <t>2026-07-06 15:46:51</t>
        </is>
      </c>
      <c r="E1004" s="3" t="inlineStr">
        <is>
          <t>2026-07-07 10:40</t>
        </is>
      </c>
      <c r="F1004" s="3" t="n">
        <v>58</v>
      </c>
      <c r="G1004" s="3" t="n">
        <v>4</v>
      </c>
      <c r="H1004" s="3" t="n"/>
      <c r="I1004" s="3" t="inlineStr"/>
      <c r="J1004" s="3" t="inlineStr">
        <is>
          <t>Keeta</t>
        </is>
      </c>
      <c r="K1004" s="3" t="inlineStr">
        <is>
          <t>****9568</t>
        </is>
      </c>
      <c r="L1004" s="3" t="n"/>
      <c r="M1004" s="3" t="inlineStr">
        <is>
          <t>***** 物流中心5樓</t>
        </is>
      </c>
      <c r="N1004" s="3" t="inlineStr">
        <is>
          <t>北区</t>
        </is>
      </c>
      <c r="O1004" s="3" t="inlineStr">
        <is>
          <t>香港</t>
        </is>
      </c>
      <c r="P1004" s="3" t="inlineStr">
        <is>
          <t>香港特别行政区</t>
        </is>
      </c>
      <c r="Q1004" s="3" t="n">
        <v>467136</v>
      </c>
      <c r="R1004" s="3" t="inlineStr">
        <is>
          <t>麥當勞(興華邨II)McDonalds</t>
        </is>
      </c>
      <c r="S1004" s="3" t="inlineStr">
        <is>
          <t>****29769865</t>
        </is>
      </c>
      <c r="T1004" s="3" t="inlineStr">
        <is>
          <t>****29769865</t>
        </is>
      </c>
      <c r="U1004" s="3" t="inlineStr">
        <is>
          <t>***** 109A號舖</t>
        </is>
      </c>
      <c r="V1004" s="3" t="inlineStr">
        <is>
          <t>香港</t>
        </is>
      </c>
      <c r="W1004" s="3" t="inlineStr">
        <is>
          <t>纸袋【通版】/ 箱出</t>
        </is>
      </c>
      <c r="X1004" s="3" t="inlineStr">
        <is>
          <t>ESS-SFTS-OTMS</t>
        </is>
      </c>
      <c r="Y1004" s="3" t="n"/>
      <c r="Z1004" s="3" t="inlineStr"/>
      <c r="AA1004" s="3" t="inlineStr">
        <is>
          <t>寄付月結</t>
        </is>
      </c>
      <c r="AB1004">
        <f>IFERROR(VLOOKUP(Q1004&amp;"",對照表!$A:$B,1,FALSE),"")</f>
        <v/>
      </c>
      <c r="AC1004">
        <f>IFERROR(VLOOKUP(Q1004&amp;"",對照表!$A:$B,2,FALSE),"")</f>
        <v/>
      </c>
    </row>
    <row r="1005">
      <c r="A1005" s="3" t="inlineStr">
        <is>
          <t>SF5113427648446</t>
        </is>
      </c>
      <c r="B1005" s="3" t="n">
        <v>58435485630575</v>
      </c>
      <c r="C1005" s="3" t="inlineStr">
        <is>
          <t>已簽收</t>
        </is>
      </c>
      <c r="D1005" s="3" t="inlineStr">
        <is>
          <t>2026-07-06 16:28:54</t>
        </is>
      </c>
      <c r="E1005" s="3" t="inlineStr">
        <is>
          <t>2026-07-07 14:28</t>
        </is>
      </c>
      <c r="F1005" s="3" t="n">
        <v>29</v>
      </c>
      <c r="G1005" s="3" t="n">
        <v>2</v>
      </c>
      <c r="H1005" s="3" t="n"/>
      <c r="I1005" s="3" t="inlineStr"/>
      <c r="J1005" s="3" t="inlineStr">
        <is>
          <t>Keeta</t>
        </is>
      </c>
      <c r="K1005" s="3" t="inlineStr">
        <is>
          <t>****9568</t>
        </is>
      </c>
      <c r="L1005" s="3" t="n"/>
      <c r="M1005" s="3" t="inlineStr">
        <is>
          <t>***** 物流中心5樓</t>
        </is>
      </c>
      <c r="N1005" s="3" t="inlineStr">
        <is>
          <t>北区</t>
        </is>
      </c>
      <c r="O1005" s="3" t="inlineStr">
        <is>
          <t>香港</t>
        </is>
      </c>
      <c r="P1005" s="3" t="inlineStr">
        <is>
          <t>香港特别行政区</t>
        </is>
      </c>
      <c r="Q1005" s="3" t="n">
        <v>450672</v>
      </c>
      <c r="R1005" s="3" t="inlineStr">
        <is>
          <t>麥當勞(長亨)McDonalds</t>
        </is>
      </c>
      <c r="S1005" s="3" t="inlineStr">
        <is>
          <t>****24975055</t>
        </is>
      </c>
      <c r="T1005" s="3" t="inlineStr">
        <is>
          <t>****24975055</t>
        </is>
      </c>
      <c r="U1005" s="3" t="inlineStr">
        <is>
          <t>***** -117號舖</t>
        </is>
      </c>
      <c r="V1005" s="3" t="inlineStr">
        <is>
          <t>香港</t>
        </is>
      </c>
      <c r="W1005" s="3" t="inlineStr">
        <is>
          <t>纸袋【通版】/ 箱出</t>
        </is>
      </c>
      <c r="X1005" s="3" t="inlineStr">
        <is>
          <t>ESS-SFTS-OTMS</t>
        </is>
      </c>
      <c r="Y1005" s="3" t="n"/>
      <c r="Z1005" s="3" t="inlineStr"/>
      <c r="AA1005" s="3" t="inlineStr">
        <is>
          <t>寄付月結</t>
        </is>
      </c>
      <c r="AB1005">
        <f>IFERROR(VLOOKUP(Q1005&amp;"",對照表!$A:$B,1,FALSE),"")</f>
        <v/>
      </c>
      <c r="AC1005">
        <f>IFERROR(VLOOKUP(Q1005&amp;"",對照表!$A:$B,2,FALSE),"")</f>
        <v/>
      </c>
    </row>
    <row r="1006">
      <c r="A1006" s="3" t="inlineStr">
        <is>
          <t>SF5113427647337</t>
        </is>
      </c>
      <c r="B1006" s="3" t="n">
        <v>58435485597730</v>
      </c>
      <c r="C1006" s="3" t="inlineStr">
        <is>
          <t>已簽收</t>
        </is>
      </c>
      <c r="D1006" s="3" t="inlineStr">
        <is>
          <t>2026-07-06 17:10:07</t>
        </is>
      </c>
      <c r="E1006" s="3" t="inlineStr">
        <is>
          <t>2026-07-07 12:08</t>
        </is>
      </c>
      <c r="F1006" s="3" t="n">
        <v>2.36</v>
      </c>
      <c r="G1006" s="3" t="n">
        <v>1</v>
      </c>
      <c r="H1006" s="3" t="n"/>
      <c r="I1006" s="3" t="inlineStr"/>
      <c r="J1006" s="3" t="inlineStr">
        <is>
          <t>Keeta</t>
        </is>
      </c>
      <c r="K1006" s="3" t="inlineStr">
        <is>
          <t>****9568</t>
        </is>
      </c>
      <c r="L1006" s="3" t="n"/>
      <c r="M1006" s="3" t="inlineStr">
        <is>
          <t>***** 物流中心5樓</t>
        </is>
      </c>
      <c r="N1006" s="3" t="inlineStr">
        <is>
          <t>北区</t>
        </is>
      </c>
      <c r="O1006" s="3" t="inlineStr">
        <is>
          <t>香港</t>
        </is>
      </c>
      <c r="P1006" s="3" t="inlineStr">
        <is>
          <t>香港特别行政区</t>
        </is>
      </c>
      <c r="Q1006" s="3" t="n">
        <v>561128</v>
      </c>
      <c r="R1006" s="3" t="inlineStr">
        <is>
          <t>新鮮圍煮主打濃雞湯米線</t>
        </is>
      </c>
      <c r="S1006" s="3" t="inlineStr">
        <is>
          <t>****94987344</t>
        </is>
      </c>
      <c r="T1006" s="3" t="inlineStr">
        <is>
          <t>****94987344</t>
        </is>
      </c>
      <c r="U1006" s="3" t="inlineStr">
        <is>
          <t>***** 下G26號舖</t>
        </is>
      </c>
      <c r="V1006" s="3" t="inlineStr">
        <is>
          <t>香港</t>
        </is>
      </c>
      <c r="W1006" s="3" t="inlineStr">
        <is>
          <t>机纸/小票纸 / 包出</t>
        </is>
      </c>
      <c r="X1006" s="3" t="inlineStr">
        <is>
          <t>ESS-SFTS-OTMS</t>
        </is>
      </c>
      <c r="Y1006" s="3" t="n"/>
      <c r="Z1006" s="3" t="inlineStr"/>
      <c r="AA1006" s="3" t="inlineStr">
        <is>
          <t>寄付月結</t>
        </is>
      </c>
      <c r="AB1006">
        <f>IFERROR(VLOOKUP(Q1006&amp;"",對照表!$A:$B,1,FALSE),"")</f>
        <v/>
      </c>
      <c r="AC1006">
        <f>IFERROR(VLOOKUP(Q1006&amp;"",對照表!$A:$B,2,FALSE),"")</f>
        <v/>
      </c>
    </row>
    <row r="1007">
      <c r="A1007" s="3" t="inlineStr">
        <is>
          <t>SF5113427647955</t>
        </is>
      </c>
      <c r="B1007" s="3" t="n">
        <v>58435485597881</v>
      </c>
      <c r="C1007" s="3" t="inlineStr">
        <is>
          <t>已簽收</t>
        </is>
      </c>
      <c r="D1007" s="3" t="inlineStr">
        <is>
          <t>2026-07-06 17:08:51</t>
        </is>
      </c>
      <c r="E1007" s="3" t="inlineStr">
        <is>
          <t>2026-07-07 09:31</t>
        </is>
      </c>
      <c r="F1007" s="3" t="n">
        <v>1.5</v>
      </c>
      <c r="G1007" s="3" t="n">
        <v>1</v>
      </c>
      <c r="H1007" s="3" t="n"/>
      <c r="I1007" s="3" t="inlineStr"/>
      <c r="J1007" s="3" t="inlineStr">
        <is>
          <t>Keeta</t>
        </is>
      </c>
      <c r="K1007" s="3" t="inlineStr">
        <is>
          <t>****9568</t>
        </is>
      </c>
      <c r="L1007" s="3" t="n"/>
      <c r="M1007" s="3" t="inlineStr">
        <is>
          <t>***** 物流中心5樓</t>
        </is>
      </c>
      <c r="N1007" s="3" t="inlineStr">
        <is>
          <t>北区</t>
        </is>
      </c>
      <c r="O1007" s="3" t="inlineStr">
        <is>
          <t>香港</t>
        </is>
      </c>
      <c r="P1007" s="3" t="inlineStr">
        <is>
          <t>香港特别行政区</t>
        </is>
      </c>
      <c r="Q1007" s="3" t="n">
        <v>484656</v>
      </c>
      <c r="R1007" s="3" t="inlineStr">
        <is>
          <t>可可店人氣推薦茶餐廳(堅尼地城)</t>
        </is>
      </c>
      <c r="S1007" s="3" t="inlineStr">
        <is>
          <t>****28183658</t>
        </is>
      </c>
      <c r="T1007" s="3" t="inlineStr">
        <is>
          <t>****28183658</t>
        </is>
      </c>
      <c r="U1007" s="3" t="inlineStr">
        <is>
          <t>***** 地下E及F舖</t>
        </is>
      </c>
      <c r="V1007" s="3" t="inlineStr">
        <is>
          <t>香港</t>
        </is>
      </c>
      <c r="W1007" s="3" t="inlineStr">
        <is>
          <t>机纸/小票纸 / 包出</t>
        </is>
      </c>
      <c r="X1007" s="3" t="inlineStr">
        <is>
          <t>ESS-SFTS-OTMS</t>
        </is>
      </c>
      <c r="Y1007" s="3" t="n"/>
      <c r="Z1007" s="3" t="inlineStr"/>
      <c r="AA1007" s="3" t="inlineStr">
        <is>
          <t>寄付月結</t>
        </is>
      </c>
      <c r="AB1007">
        <f>IFERROR(VLOOKUP(Q1007&amp;"",對照表!$A:$B,1,FALSE),"")</f>
        <v/>
      </c>
      <c r="AC1007">
        <f>IFERROR(VLOOKUP(Q1007&amp;"",對照表!$A:$B,2,FALSE),"")</f>
        <v/>
      </c>
    </row>
    <row r="1008">
      <c r="A1008" s="3" t="inlineStr">
        <is>
          <t>SF5113427648261</t>
        </is>
      </c>
      <c r="B1008" s="3" t="n">
        <v>58435485630532</v>
      </c>
      <c r="C1008" s="3" t="inlineStr">
        <is>
          <t>已簽收</t>
        </is>
      </c>
      <c r="D1008" s="3" t="inlineStr">
        <is>
          <t>2026-07-06 16:45:45</t>
        </is>
      </c>
      <c r="E1008" s="3" t="inlineStr">
        <is>
          <t>2026-07-07 11:39</t>
        </is>
      </c>
      <c r="F1008" s="3" t="n">
        <v>1.1</v>
      </c>
      <c r="G1008" s="3" t="n">
        <v>1</v>
      </c>
      <c r="H1008" s="3" t="n"/>
      <c r="I1008" s="3" t="inlineStr"/>
      <c r="J1008" s="3" t="inlineStr">
        <is>
          <t>Keeta</t>
        </is>
      </c>
      <c r="K1008" s="3" t="inlineStr">
        <is>
          <t>****9568</t>
        </is>
      </c>
      <c r="L1008" s="3" t="n"/>
      <c r="M1008" s="3" t="inlineStr">
        <is>
          <t>***** 物流中心5樓</t>
        </is>
      </c>
      <c r="N1008" s="3" t="inlineStr">
        <is>
          <t>北区</t>
        </is>
      </c>
      <c r="O1008" s="3" t="inlineStr">
        <is>
          <t>香港</t>
        </is>
      </c>
      <c r="P1008" s="3" t="inlineStr">
        <is>
          <t>香港特别行政区</t>
        </is>
      </c>
      <c r="Q1008" s="3" t="n">
        <v>721524352</v>
      </c>
      <c r="R1008" s="3" t="inlineStr">
        <is>
          <t>拾伍拾陸1516</t>
        </is>
      </c>
      <c r="S1008" s="3" t="inlineStr">
        <is>
          <t>****29836822</t>
        </is>
      </c>
      <c r="T1008" s="3" t="inlineStr">
        <is>
          <t>****29836822</t>
        </is>
      </c>
      <c r="U1008" s="3" t="inlineStr">
        <is>
          <t>***** -G22號舖</t>
        </is>
      </c>
      <c r="V1008" s="3" t="inlineStr">
        <is>
          <t>香港</t>
        </is>
      </c>
      <c r="W1008" s="3" t="inlineStr">
        <is>
          <t>机纸/小票纸 / 包出</t>
        </is>
      </c>
      <c r="X1008" s="3" t="inlineStr">
        <is>
          <t>ESS-SFTS-OTMS</t>
        </is>
      </c>
      <c r="Y1008" s="3" t="n"/>
      <c r="Z1008" s="3" t="inlineStr"/>
      <c r="AA1008" s="3" t="inlineStr">
        <is>
          <t>寄付月結</t>
        </is>
      </c>
      <c r="AB1008">
        <f>IFERROR(VLOOKUP(Q1008&amp;"",對照表!$A:$B,1,FALSE),"")</f>
        <v/>
      </c>
      <c r="AC1008">
        <f>IFERROR(VLOOKUP(Q1008&amp;"",對照表!$A:$B,2,FALSE),"")</f>
        <v/>
      </c>
    </row>
    <row r="1009">
      <c r="A1009" s="3" t="inlineStr">
        <is>
          <t>SF5113427648473</t>
        </is>
      </c>
      <c r="B1009" s="3" t="n">
        <v>58435485630581</v>
      </c>
      <c r="C1009" s="3" t="inlineStr">
        <is>
          <t>已簽收</t>
        </is>
      </c>
      <c r="D1009" s="3" t="inlineStr">
        <is>
          <t>2026-07-06 17:48:45</t>
        </is>
      </c>
      <c r="E1009" s="3" t="inlineStr">
        <is>
          <t>2026-07-07 14:54</t>
        </is>
      </c>
      <c r="F1009" s="3" t="n">
        <v>6</v>
      </c>
      <c r="G1009" s="3" t="n">
        <v>1</v>
      </c>
      <c r="H1009" s="3" t="n"/>
      <c r="I1009" s="3" t="inlineStr"/>
      <c r="J1009" s="3" t="inlineStr">
        <is>
          <t>Keeta</t>
        </is>
      </c>
      <c r="K1009" s="3" t="inlineStr">
        <is>
          <t>****9568</t>
        </is>
      </c>
      <c r="L1009" s="3" t="n"/>
      <c r="M1009" s="3" t="inlineStr">
        <is>
          <t>***** 物流中心5樓</t>
        </is>
      </c>
      <c r="N1009" s="3" t="inlineStr">
        <is>
          <t>北区</t>
        </is>
      </c>
      <c r="O1009" s="3" t="inlineStr">
        <is>
          <t>香港</t>
        </is>
      </c>
      <c r="P1009" s="3" t="inlineStr">
        <is>
          <t>香港特别行政区</t>
        </is>
      </c>
      <c r="Q1009" s="3" t="n">
        <v>721423325</v>
      </c>
      <c r="R1009" s="3" t="inlineStr">
        <is>
          <t>六六六六火鍋小紅書熱推火鍋店</t>
        </is>
      </c>
      <c r="S1009" s="3" t="inlineStr">
        <is>
          <t>****35636887</t>
        </is>
      </c>
      <c r="T1009" s="3" t="inlineStr">
        <is>
          <t>****35636887</t>
        </is>
      </c>
      <c r="U1009" s="3" t="inlineStr">
        <is>
          <t>***** 街21號地舖</t>
        </is>
      </c>
      <c r="V1009" s="3" t="inlineStr">
        <is>
          <t>香港</t>
        </is>
      </c>
      <c r="W1009" s="3" t="inlineStr">
        <is>
          <t>无纺布【规格一单杯】/ 箱出</t>
        </is>
      </c>
      <c r="X1009" s="3" t="inlineStr">
        <is>
          <t>ESS-SFTS-OTMS</t>
        </is>
      </c>
      <c r="Y1009" s="3" t="n"/>
      <c r="Z1009" s="3" t="inlineStr"/>
      <c r="AA1009" s="3" t="inlineStr">
        <is>
          <t>寄付月結</t>
        </is>
      </c>
      <c r="AB1009">
        <f>IFERROR(VLOOKUP(Q1009&amp;"",對照表!$A:$B,1,FALSE),"")</f>
        <v/>
      </c>
      <c r="AC1009">
        <f>IFERROR(VLOOKUP(Q1009&amp;"",對照表!$A:$B,2,FALSE),"")</f>
        <v/>
      </c>
    </row>
    <row r="1010">
      <c r="A1010" s="3" t="inlineStr">
        <is>
          <t>SF5113427648386</t>
        </is>
      </c>
      <c r="B1010" s="3" t="n">
        <v>58435485630556</v>
      </c>
      <c r="C1010" s="3" t="inlineStr">
        <is>
          <t>已簽收</t>
        </is>
      </c>
      <c r="D1010" s="3" t="inlineStr">
        <is>
          <t>2026-07-06 15:18:59</t>
        </is>
      </c>
      <c r="E1010" s="3" t="inlineStr">
        <is>
          <t>2026-07-07 11:46</t>
        </is>
      </c>
      <c r="F1010" s="3" t="n">
        <v>14.5</v>
      </c>
      <c r="G1010" s="3" t="n">
        <v>1</v>
      </c>
      <c r="H1010" s="3" t="n"/>
      <c r="I1010" s="3" t="inlineStr"/>
      <c r="J1010" s="3" t="inlineStr">
        <is>
          <t>Keeta</t>
        </is>
      </c>
      <c r="K1010" s="3" t="inlineStr">
        <is>
          <t>****9568</t>
        </is>
      </c>
      <c r="L1010" s="3" t="n"/>
      <c r="M1010" s="3" t="inlineStr">
        <is>
          <t>***** 物流中心5樓</t>
        </is>
      </c>
      <c r="N1010" s="3" t="inlineStr">
        <is>
          <t>北区</t>
        </is>
      </c>
      <c r="O1010" s="3" t="inlineStr">
        <is>
          <t>香港</t>
        </is>
      </c>
      <c r="P1010" s="3" t="inlineStr">
        <is>
          <t>香港特别行政区</t>
        </is>
      </c>
      <c r="Q1010" s="3" t="n">
        <v>721525424</v>
      </c>
      <c r="R1010" s="3" t="inlineStr">
        <is>
          <t>小四季</t>
        </is>
      </c>
      <c r="S1010" s="3" t="inlineStr">
        <is>
          <t>****1618115</t>
        </is>
      </c>
      <c r="T1010" s="3" t="inlineStr">
        <is>
          <t>****1618115</t>
        </is>
      </c>
      <c r="U1010" s="3" t="inlineStr">
        <is>
          <t>***** 大廈地下J舖</t>
        </is>
      </c>
      <c r="V1010" s="3" t="inlineStr">
        <is>
          <t>香港</t>
        </is>
      </c>
      <c r="W1010" s="3" t="inlineStr">
        <is>
          <t>纸袋【通版】/ 箱出</t>
        </is>
      </c>
      <c r="X1010" s="3" t="inlineStr">
        <is>
          <t>ESS-SFTS-OTMS</t>
        </is>
      </c>
      <c r="Y1010" s="3" t="n"/>
      <c r="Z1010" s="3" t="inlineStr"/>
      <c r="AA1010" s="3" t="inlineStr">
        <is>
          <t>寄付月結</t>
        </is>
      </c>
      <c r="AB1010">
        <f>IFERROR(VLOOKUP(Q1010&amp;"",對照表!$A:$B,1,FALSE),"")</f>
        <v/>
      </c>
      <c r="AC1010">
        <f>IFERROR(VLOOKUP(Q1010&amp;"",對照表!$A:$B,2,FALSE),"")</f>
        <v/>
      </c>
    </row>
    <row r="1011">
      <c r="A1011" s="3" t="inlineStr">
        <is>
          <t>SF5113427647433</t>
        </is>
      </c>
      <c r="B1011" s="3" t="n">
        <v>58435485597752</v>
      </c>
      <c r="C1011" s="3" t="inlineStr">
        <is>
          <t>已簽收</t>
        </is>
      </c>
      <c r="D1011" s="3" t="inlineStr">
        <is>
          <t>2026-07-06 17:32:54</t>
        </is>
      </c>
      <c r="E1011" s="3" t="inlineStr">
        <is>
          <t>2026-07-07 09:38</t>
        </is>
      </c>
      <c r="F1011" s="3" t="n">
        <v>43.5</v>
      </c>
      <c r="G1011" s="3" t="n">
        <v>3</v>
      </c>
      <c r="H1011" s="3" t="n"/>
      <c r="I1011" s="3" t="inlineStr"/>
      <c r="J1011" s="3" t="inlineStr">
        <is>
          <t>Keeta</t>
        </is>
      </c>
      <c r="K1011" s="3" t="inlineStr">
        <is>
          <t>****9568</t>
        </is>
      </c>
      <c r="L1011" s="3" t="n"/>
      <c r="M1011" s="3" t="inlineStr">
        <is>
          <t>***** 物流中心5樓</t>
        </is>
      </c>
      <c r="N1011" s="3" t="inlineStr">
        <is>
          <t>北区</t>
        </is>
      </c>
      <c r="O1011" s="3" t="inlineStr">
        <is>
          <t>香港</t>
        </is>
      </c>
      <c r="P1011" s="3" t="inlineStr">
        <is>
          <t>香港特别行政区</t>
        </is>
      </c>
      <c r="Q1011" s="3" t="n">
        <v>570009</v>
      </c>
      <c r="R1011" s="3" t="inlineStr">
        <is>
          <t>麥當勞(榮芳)McDonalds</t>
        </is>
      </c>
      <c r="S1011" s="3" t="inlineStr">
        <is>
          <t>****29449196</t>
        </is>
      </c>
      <c r="T1011" s="3" t="inlineStr">
        <is>
          <t>****29449196</t>
        </is>
      </c>
      <c r="U1011" s="3" t="inlineStr">
        <is>
          <t>***** -5號地下舖</t>
        </is>
      </c>
      <c r="V1011" s="3" t="inlineStr">
        <is>
          <t>香港</t>
        </is>
      </c>
      <c r="W1011" s="3" t="inlineStr">
        <is>
          <t>纸袋【通版】/ 箱出</t>
        </is>
      </c>
      <c r="X1011" s="3" t="inlineStr">
        <is>
          <t>ESS-SFTS-OTMS</t>
        </is>
      </c>
      <c r="Y1011" s="3" t="n"/>
      <c r="Z1011" s="3" t="inlineStr"/>
      <c r="AA1011" s="3" t="inlineStr">
        <is>
          <t>寄付月結</t>
        </is>
      </c>
      <c r="AB1011">
        <f>IFERROR(VLOOKUP(Q1011&amp;"",對照表!$A:$B,1,FALSE),"")</f>
        <v/>
      </c>
      <c r="AC1011">
        <f>IFERROR(VLOOKUP(Q1011&amp;"",對照表!$A:$B,2,FALSE),"")</f>
        <v/>
      </c>
    </row>
    <row r="1012">
      <c r="A1012" s="3" t="inlineStr">
        <is>
          <t>SF5113427647391</t>
        </is>
      </c>
      <c r="B1012" s="3" t="n">
        <v>58435485597746</v>
      </c>
      <c r="C1012" s="3" t="inlineStr">
        <is>
          <t>已簽收</t>
        </is>
      </c>
      <c r="D1012" s="3" t="inlineStr">
        <is>
          <t>2026-07-06 17:49:11</t>
        </is>
      </c>
      <c r="E1012" s="3" t="inlineStr">
        <is>
          <t>2026-07-07 11:15</t>
        </is>
      </c>
      <c r="F1012" s="3" t="n">
        <v>25.24</v>
      </c>
      <c r="G1012" s="3" t="n">
        <v>2</v>
      </c>
      <c r="H1012" s="3" t="n"/>
      <c r="I1012" s="3" t="inlineStr"/>
      <c r="J1012" s="3" t="inlineStr">
        <is>
          <t>Keeta</t>
        </is>
      </c>
      <c r="K1012" s="3" t="inlineStr">
        <is>
          <t>****9568</t>
        </is>
      </c>
      <c r="L1012" s="3" t="n"/>
      <c r="M1012" s="3" t="inlineStr">
        <is>
          <t>***** 物流中心5樓</t>
        </is>
      </c>
      <c r="N1012" s="3" t="inlineStr">
        <is>
          <t>北区</t>
        </is>
      </c>
      <c r="O1012" s="3" t="inlineStr">
        <is>
          <t>香港</t>
        </is>
      </c>
      <c r="P1012" s="3" t="inlineStr">
        <is>
          <t>香港特别行政区</t>
        </is>
      </c>
      <c r="Q1012" s="3" t="n">
        <v>474092</v>
      </c>
      <c r="R1012" s="3" t="inlineStr">
        <is>
          <t>TheMatchaTokyo(中環)</t>
        </is>
      </c>
      <c r="S1012" s="3" t="inlineStr">
        <is>
          <t>****39621107</t>
        </is>
      </c>
      <c r="T1012" s="3" t="inlineStr">
        <is>
          <t>****39621107</t>
        </is>
      </c>
      <c r="U1012" s="3" t="inlineStr">
        <is>
          <t>***** 層地下3號舖</t>
        </is>
      </c>
      <c r="V1012" s="3" t="inlineStr">
        <is>
          <t>香港</t>
        </is>
      </c>
      <c r="W1012" s="3" t="inlineStr">
        <is>
          <t>杯托【4托】/ 箱出</t>
        </is>
      </c>
      <c r="X1012" s="3" t="inlineStr">
        <is>
          <t>ESS-SFTS-OTMS</t>
        </is>
      </c>
      <c r="Y1012" s="3" t="n"/>
      <c r="Z1012" s="3" t="inlineStr"/>
      <c r="AA1012" s="3" t="inlineStr">
        <is>
          <t>寄付月結</t>
        </is>
      </c>
      <c r="AB1012">
        <f>IFERROR(VLOOKUP(Q1012&amp;"",對照表!$A:$B,1,FALSE),"")</f>
        <v/>
      </c>
      <c r="AC1012">
        <f>IFERROR(VLOOKUP(Q1012&amp;"",對照表!$A:$B,2,FALSE),"")</f>
        <v/>
      </c>
    </row>
    <row r="1013">
      <c r="A1013" s="3" t="inlineStr">
        <is>
          <t>SF5113427648313</t>
        </is>
      </c>
      <c r="B1013" s="3" t="n">
        <v>58435485630544</v>
      </c>
      <c r="C1013" s="3" t="inlineStr">
        <is>
          <t>已簽收</t>
        </is>
      </c>
      <c r="D1013" s="3" t="inlineStr">
        <is>
          <t>2026-07-06 16:03:24</t>
        </is>
      </c>
      <c r="E1013" s="3" t="inlineStr">
        <is>
          <t>2026-07-07 17:38</t>
        </is>
      </c>
      <c r="F1013" s="3" t="n">
        <v>4.45</v>
      </c>
      <c r="G1013" s="3" t="n">
        <v>1</v>
      </c>
      <c r="H1013" s="3" t="n"/>
      <c r="I1013" s="3" t="inlineStr"/>
      <c r="J1013" s="3" t="inlineStr">
        <is>
          <t>Keeta</t>
        </is>
      </c>
      <c r="K1013" s="3" t="inlineStr">
        <is>
          <t>****9568</t>
        </is>
      </c>
      <c r="L1013" s="3" t="n"/>
      <c r="M1013" s="3" t="inlineStr">
        <is>
          <t>***** 物流中心5樓</t>
        </is>
      </c>
      <c r="N1013" s="3" t="inlineStr">
        <is>
          <t>北区</t>
        </is>
      </c>
      <c r="O1013" s="3" t="inlineStr">
        <is>
          <t>香港</t>
        </is>
      </c>
      <c r="P1013" s="3" t="inlineStr">
        <is>
          <t>香港特别行政区</t>
        </is>
      </c>
      <c r="Q1013" s="3" t="n">
        <v>458858</v>
      </c>
      <c r="R1013" s="3" t="inlineStr">
        <is>
          <t>RoomGardenCafe(南豐中心)</t>
        </is>
      </c>
      <c r="S1013" s="3" t="inlineStr">
        <is>
          <t>****97863328</t>
        </is>
      </c>
      <c r="T1013" s="3" t="inlineStr">
        <is>
          <t>****97863328</t>
        </is>
      </c>
      <c r="U1013" s="3" t="inlineStr">
        <is>
          <t>***** 之城）32C</t>
        </is>
      </c>
      <c r="V1013" s="3" t="inlineStr">
        <is>
          <t>香港</t>
        </is>
      </c>
      <c r="W1013" s="3" t="inlineStr">
        <is>
          <t>机纸/小票纸 / 包出</t>
        </is>
      </c>
      <c r="X1013" s="3" t="inlineStr">
        <is>
          <t>ESS-SFTS-OTMS</t>
        </is>
      </c>
      <c r="Y1013" s="3" t="n"/>
      <c r="Z1013" s="3" t="inlineStr"/>
      <c r="AA1013" s="3" t="inlineStr">
        <is>
          <t>寄付月結</t>
        </is>
      </c>
      <c r="AB1013">
        <f>IFERROR(VLOOKUP(Q1013&amp;"",對照表!$A:$B,1,FALSE),"")</f>
        <v/>
      </c>
      <c r="AC1013">
        <f>IFERROR(VLOOKUP(Q1013&amp;"",對照表!$A:$B,2,FALSE),"")</f>
        <v/>
      </c>
    </row>
    <row r="1014">
      <c r="A1014" s="3" t="inlineStr">
        <is>
          <t>SF5113427648622</t>
        </is>
      </c>
      <c r="B1014" s="3" t="n">
        <v>58435485630617</v>
      </c>
      <c r="C1014" s="3" t="inlineStr">
        <is>
          <t>已簽收</t>
        </is>
      </c>
      <c r="D1014" s="3" t="inlineStr">
        <is>
          <t>2026-07-06 16:03:16</t>
        </is>
      </c>
      <c r="E1014" s="3" t="inlineStr">
        <is>
          <t>2026-07-07 16:41</t>
        </is>
      </c>
      <c r="F1014" s="3" t="n">
        <v>4.45</v>
      </c>
      <c r="G1014" s="3" t="n">
        <v>1</v>
      </c>
      <c r="H1014" s="3" t="n"/>
      <c r="I1014" s="3" t="inlineStr"/>
      <c r="J1014" s="3" t="inlineStr">
        <is>
          <t>Keeta</t>
        </is>
      </c>
      <c r="K1014" s="3" t="inlineStr">
        <is>
          <t>****9568</t>
        </is>
      </c>
      <c r="L1014" s="3" t="n"/>
      <c r="M1014" s="3" t="inlineStr">
        <is>
          <t>***** 物流中心5樓</t>
        </is>
      </c>
      <c r="N1014" s="3" t="inlineStr">
        <is>
          <t>北区</t>
        </is>
      </c>
      <c r="O1014" s="3" t="inlineStr">
        <is>
          <t>香港</t>
        </is>
      </c>
      <c r="P1014" s="3" t="inlineStr">
        <is>
          <t>香港特别行政区</t>
        </is>
      </c>
      <c r="Q1014" s="3" t="n">
        <v>721422376</v>
      </c>
      <c r="R1014" s="3" t="inlineStr">
        <is>
          <t>蒼翠雲南米線</t>
        </is>
      </c>
      <c r="S1014" s="3" t="inlineStr">
        <is>
          <t>****91232247</t>
        </is>
      </c>
      <c r="T1014" s="3" t="inlineStr">
        <is>
          <t>****91232247</t>
        </is>
      </c>
      <c r="U1014" s="3" t="inlineStr">
        <is>
          <t>***** 鋪對面座位間</t>
        </is>
      </c>
      <c r="V1014" s="3" t="inlineStr">
        <is>
          <t>香港</t>
        </is>
      </c>
      <c r="W1014" s="3" t="inlineStr">
        <is>
          <t>机纸/小票纸 / 包出</t>
        </is>
      </c>
      <c r="X1014" s="3" t="inlineStr">
        <is>
          <t>ESS-SFTS-OTMS</t>
        </is>
      </c>
      <c r="Y1014" s="3" t="n"/>
      <c r="Z1014" s="3" t="inlineStr"/>
      <c r="AA1014" s="3" t="inlineStr">
        <is>
          <t>寄付月結</t>
        </is>
      </c>
      <c r="AB1014">
        <f>IFERROR(VLOOKUP(Q1014&amp;"",對照表!$A:$B,1,FALSE),"")</f>
        <v/>
      </c>
      <c r="AC1014">
        <f>IFERROR(VLOOKUP(Q1014&amp;"",對照表!$A:$B,2,FALSE),"")</f>
        <v/>
      </c>
    </row>
    <row r="1015">
      <c r="A1015" s="3" t="inlineStr">
        <is>
          <t>SF5113427647451</t>
        </is>
      </c>
      <c r="B1015" s="3" t="n">
        <v>58435485597761</v>
      </c>
      <c r="C1015" s="3" t="inlineStr">
        <is>
          <t>已簽收</t>
        </is>
      </c>
      <c r="D1015" s="3" t="inlineStr">
        <is>
          <t>2026-07-06 15:46:46</t>
        </is>
      </c>
      <c r="E1015" s="3" t="inlineStr">
        <is>
          <t>2026-07-07 16:57</t>
        </is>
      </c>
      <c r="F1015" s="3" t="n">
        <v>58</v>
      </c>
      <c r="G1015" s="3" t="n">
        <v>4</v>
      </c>
      <c r="H1015" s="3" t="n"/>
      <c r="I1015" s="3" t="inlineStr"/>
      <c r="J1015" s="3" t="inlineStr">
        <is>
          <t>Keeta</t>
        </is>
      </c>
      <c r="K1015" s="3" t="inlineStr">
        <is>
          <t>****9568</t>
        </is>
      </c>
      <c r="L1015" s="3" t="n"/>
      <c r="M1015" s="3" t="inlineStr">
        <is>
          <t>***** 物流中心5樓</t>
        </is>
      </c>
      <c r="N1015" s="3" t="inlineStr">
        <is>
          <t>北区</t>
        </is>
      </c>
      <c r="O1015" s="3" t="inlineStr">
        <is>
          <t>香港</t>
        </is>
      </c>
      <c r="P1015" s="3" t="inlineStr">
        <is>
          <t>香港特别行政区</t>
        </is>
      </c>
      <c r="Q1015" s="3" t="n">
        <v>452189</v>
      </c>
      <c r="R1015" s="3" t="inlineStr">
        <is>
          <t>麥當勞(厚德II)McDonalds</t>
        </is>
      </c>
      <c r="S1015" s="3" t="inlineStr">
        <is>
          <t>****27043722</t>
        </is>
      </c>
      <c r="T1015" s="3" t="inlineStr">
        <is>
          <t>****27043722</t>
        </is>
      </c>
      <c r="U1015" s="3" t="inlineStr">
        <is>
          <t>***** W102號舖</t>
        </is>
      </c>
      <c r="V1015" s="3" t="inlineStr">
        <is>
          <t>香港</t>
        </is>
      </c>
      <c r="W1015" s="3" t="inlineStr">
        <is>
          <t>纸袋【通版】/ 箱出</t>
        </is>
      </c>
      <c r="X1015" s="3" t="inlineStr">
        <is>
          <t>ESS-SFTS-OTMS</t>
        </is>
      </c>
      <c r="Y1015" s="3" t="n"/>
      <c r="Z1015" s="3" t="inlineStr"/>
      <c r="AA1015" s="3" t="inlineStr">
        <is>
          <t>寄付月結</t>
        </is>
      </c>
      <c r="AB1015">
        <f>IFERROR(VLOOKUP(Q1015&amp;"",對照表!$A:$B,1,FALSE),"")</f>
        <v/>
      </c>
      <c r="AC1015">
        <f>IFERROR(VLOOKUP(Q1015&amp;"",對照表!$A:$B,2,FALSE),"")</f>
        <v/>
      </c>
    </row>
    <row r="1016">
      <c r="A1016" s="3" t="inlineStr">
        <is>
          <t>SF5113427648003</t>
        </is>
      </c>
      <c r="B1016" s="3" t="n">
        <v>58435485597896</v>
      </c>
      <c r="C1016" s="3" t="inlineStr">
        <is>
          <t>已簽收</t>
        </is>
      </c>
      <c r="D1016" s="3" t="inlineStr">
        <is>
          <t>2026-07-06 15:28:58</t>
        </is>
      </c>
      <c r="E1016" s="3" t="inlineStr">
        <is>
          <t>2026-07-07 17:24</t>
        </is>
      </c>
      <c r="F1016" s="3" t="n">
        <v>116</v>
      </c>
      <c r="G1016" s="3" t="n">
        <v>8</v>
      </c>
      <c r="H1016" s="3" t="n"/>
      <c r="I1016" s="3" t="inlineStr"/>
      <c r="J1016" s="3" t="inlineStr">
        <is>
          <t>Keeta</t>
        </is>
      </c>
      <c r="K1016" s="3" t="inlineStr">
        <is>
          <t>****9568</t>
        </is>
      </c>
      <c r="L1016" s="3" t="n"/>
      <c r="M1016" s="3" t="inlineStr">
        <is>
          <t>***** 物流中心5樓</t>
        </is>
      </c>
      <c r="N1016" s="3" t="inlineStr">
        <is>
          <t>北区</t>
        </is>
      </c>
      <c r="O1016" s="3" t="inlineStr">
        <is>
          <t>香港</t>
        </is>
      </c>
      <c r="P1016" s="3" t="inlineStr">
        <is>
          <t>香港特别行政区</t>
        </is>
      </c>
      <c r="Q1016" s="3" t="n">
        <v>721524375</v>
      </c>
      <c r="R1016" s="3" t="inlineStr">
        <is>
          <t>麥當勞(安定III)McDonalds</t>
        </is>
      </c>
      <c r="S1016" s="3" t="inlineStr">
        <is>
          <t>****36151302</t>
        </is>
      </c>
      <c r="T1016" s="3" t="inlineStr">
        <is>
          <t>****36151302</t>
        </is>
      </c>
      <c r="U1016" s="3" t="inlineStr">
        <is>
          <t>***** 128 號舖</t>
        </is>
      </c>
      <c r="V1016" s="3" t="inlineStr">
        <is>
          <t>香港</t>
        </is>
      </c>
      <c r="W1016" s="3" t="inlineStr">
        <is>
          <t>纸袋【通版】/ 箱出</t>
        </is>
      </c>
      <c r="X1016" s="3" t="inlineStr">
        <is>
          <t>ESS-SFTS-OTMS</t>
        </is>
      </c>
      <c r="Y1016" s="3" t="n"/>
      <c r="Z1016" s="3" t="inlineStr"/>
      <c r="AA1016" s="3" t="inlineStr">
        <is>
          <t>寄付月結</t>
        </is>
      </c>
      <c r="AB1016">
        <f>IFERROR(VLOOKUP(Q1016&amp;"",對照表!$A:$B,1,FALSE),"")</f>
        <v/>
      </c>
      <c r="AC1016">
        <f>IFERROR(VLOOKUP(Q1016&amp;"",對照表!$A:$B,2,FALSE),"")</f>
        <v/>
      </c>
    </row>
    <row r="1017">
      <c r="A1017" s="3" t="inlineStr">
        <is>
          <t>SF5113427648359</t>
        </is>
      </c>
      <c r="B1017" s="3" t="n">
        <v>58435485630553</v>
      </c>
      <c r="C1017" s="3" t="inlineStr">
        <is>
          <t>已簽收</t>
        </is>
      </c>
      <c r="D1017" s="3" t="inlineStr">
        <is>
          <t>2026-07-06 15:18:57</t>
        </is>
      </c>
      <c r="E1017" s="3" t="inlineStr">
        <is>
          <t>2026-07-07 16:20</t>
        </is>
      </c>
      <c r="F1017" s="3" t="n">
        <v>14.5</v>
      </c>
      <c r="G1017" s="3" t="n">
        <v>1</v>
      </c>
      <c r="H1017" s="3" t="n"/>
      <c r="I1017" s="3" t="inlineStr"/>
      <c r="J1017" s="3" t="inlineStr">
        <is>
          <t>Keeta</t>
        </is>
      </c>
      <c r="K1017" s="3" t="inlineStr">
        <is>
          <t>****9568</t>
        </is>
      </c>
      <c r="L1017" s="3" t="n"/>
      <c r="M1017" s="3" t="inlineStr">
        <is>
          <t>***** 物流中心5樓</t>
        </is>
      </c>
      <c r="N1017" s="3" t="inlineStr">
        <is>
          <t>北区</t>
        </is>
      </c>
      <c r="O1017" s="3" t="inlineStr">
        <is>
          <t>香港</t>
        </is>
      </c>
      <c r="P1017" s="3" t="inlineStr">
        <is>
          <t>香港特别行政区</t>
        </is>
      </c>
      <c r="Q1017" s="3" t="n">
        <v>495107</v>
      </c>
      <c r="R1017" s="3" t="inlineStr">
        <is>
          <t>7Eleven（元朗朗壹廣場）1839</t>
        </is>
      </c>
      <c r="S1017" s="3" t="inlineStr">
        <is>
          <t>****26826581</t>
        </is>
      </c>
      <c r="T1017" s="3" t="inlineStr">
        <is>
          <t>****26826581</t>
        </is>
      </c>
      <c r="U1017" s="3" t="inlineStr">
        <is>
          <t>***** G09 號舖</t>
        </is>
      </c>
      <c r="V1017" s="3" t="inlineStr">
        <is>
          <t>香港</t>
        </is>
      </c>
      <c r="W1017" s="3" t="inlineStr">
        <is>
          <t>纸袋【通版】/ 箱出</t>
        </is>
      </c>
      <c r="X1017" s="3" t="inlineStr">
        <is>
          <t>ESS-SFTS-OTMS</t>
        </is>
      </c>
      <c r="Y1017" s="3" t="n"/>
      <c r="Z1017" s="3" t="inlineStr"/>
      <c r="AA1017" s="3" t="inlineStr">
        <is>
          <t>寄付月結</t>
        </is>
      </c>
      <c r="AB1017">
        <f>IFERROR(VLOOKUP(Q1017&amp;"",對照表!$A:$B,1,FALSE),"")</f>
        <v/>
      </c>
      <c r="AC1017">
        <f>IFERROR(VLOOKUP(Q1017&amp;"",對照表!$A:$B,2,FALSE),"")</f>
        <v/>
      </c>
    </row>
    <row r="1018">
      <c r="A1018" s="3" t="inlineStr">
        <is>
          <t>SF5113427648419</t>
        </is>
      </c>
      <c r="B1018" s="3" t="n">
        <v>58435485630565</v>
      </c>
      <c r="C1018" s="3" t="inlineStr">
        <is>
          <t>已簽收</t>
        </is>
      </c>
      <c r="D1018" s="3" t="inlineStr">
        <is>
          <t>2026-07-06 17:08:28</t>
        </is>
      </c>
      <c r="E1018" s="3" t="inlineStr">
        <is>
          <t>2026-07-07 12:13</t>
        </is>
      </c>
      <c r="F1018" s="3" t="n">
        <v>1.5</v>
      </c>
      <c r="G1018" s="3" t="n">
        <v>1</v>
      </c>
      <c r="H1018" s="3" t="n"/>
      <c r="I1018" s="3" t="inlineStr"/>
      <c r="J1018" s="3" t="inlineStr">
        <is>
          <t>Keeta</t>
        </is>
      </c>
      <c r="K1018" s="3" t="inlineStr">
        <is>
          <t>****9568</t>
        </is>
      </c>
      <c r="L1018" s="3" t="n"/>
      <c r="M1018" s="3" t="inlineStr">
        <is>
          <t>***** 物流中心5樓</t>
        </is>
      </c>
      <c r="N1018" s="3" t="inlineStr">
        <is>
          <t>北区</t>
        </is>
      </c>
      <c r="O1018" s="3" t="inlineStr">
        <is>
          <t>香港</t>
        </is>
      </c>
      <c r="P1018" s="3" t="inlineStr">
        <is>
          <t>香港特别行政区</t>
        </is>
      </c>
      <c r="Q1018" s="3" t="n">
        <v>455133</v>
      </c>
      <c r="R1018" s="3" t="inlineStr">
        <is>
          <t>意樂餐廳(逢源大廈)</t>
        </is>
      </c>
      <c r="S1018" s="3" t="inlineStr">
        <is>
          <t>****24148030</t>
        </is>
      </c>
      <c r="T1018" s="3" t="inlineStr">
        <is>
          <t>****24148030</t>
        </is>
      </c>
      <c r="U1018" s="3" t="inlineStr">
        <is>
          <t>***** 廈地下F號舖</t>
        </is>
      </c>
      <c r="V1018" s="3" t="inlineStr">
        <is>
          <t>香港</t>
        </is>
      </c>
      <c r="W1018" s="3" t="inlineStr">
        <is>
          <t>机纸/小票纸 / 包出</t>
        </is>
      </c>
      <c r="X1018" s="3" t="inlineStr">
        <is>
          <t>ESS-SFTS-OTMS</t>
        </is>
      </c>
      <c r="Y1018" s="3" t="n"/>
      <c r="Z1018" s="3" t="inlineStr"/>
      <c r="AA1018" s="3" t="inlineStr">
        <is>
          <t>寄付月結</t>
        </is>
      </c>
      <c r="AB1018">
        <f>IFERROR(VLOOKUP(Q1018&amp;"",對照表!$A:$B,1,FALSE),"")</f>
        <v/>
      </c>
      <c r="AC1018">
        <f>IFERROR(VLOOKUP(Q1018&amp;"",對照表!$A:$B,2,FALSE),"")</f>
        <v/>
      </c>
    </row>
    <row r="1019">
      <c r="A1019" s="3" t="inlineStr">
        <is>
          <t>SF5113427648543</t>
        </is>
      </c>
      <c r="B1019" s="3" t="n">
        <v>58435485630596</v>
      </c>
      <c r="C1019" s="3" t="inlineStr">
        <is>
          <t>已簽收</t>
        </is>
      </c>
      <c r="D1019" s="3" t="inlineStr">
        <is>
          <t>2026-07-06 17:04:48</t>
        </is>
      </c>
      <c r="E1019" s="3" t="inlineStr">
        <is>
          <t>2026-07-07 12:10</t>
        </is>
      </c>
      <c r="F1019" s="3" t="n">
        <v>2.36</v>
      </c>
      <c r="G1019" s="3" t="n">
        <v>1</v>
      </c>
      <c r="H1019" s="3" t="n"/>
      <c r="I1019" s="3" t="inlineStr"/>
      <c r="J1019" s="3" t="inlineStr">
        <is>
          <t>Keeta</t>
        </is>
      </c>
      <c r="K1019" s="3" t="inlineStr">
        <is>
          <t>****9568</t>
        </is>
      </c>
      <c r="L1019" s="3" t="n"/>
      <c r="M1019" s="3" t="inlineStr">
        <is>
          <t>***** 物流中心5樓</t>
        </is>
      </c>
      <c r="N1019" s="3" t="inlineStr">
        <is>
          <t>北区</t>
        </is>
      </c>
      <c r="O1019" s="3" t="inlineStr">
        <is>
          <t>香港</t>
        </is>
      </c>
      <c r="P1019" s="3" t="inlineStr">
        <is>
          <t>香港特别行政区</t>
        </is>
      </c>
      <c r="Q1019" s="3" t="n">
        <v>494805</v>
      </c>
      <c r="R1019" s="3" t="inlineStr">
        <is>
          <t>辣妹子四川美食</t>
        </is>
      </c>
      <c r="S1019" s="3" t="inlineStr">
        <is>
          <t>****51151983</t>
        </is>
      </c>
      <c r="T1019" s="3" t="inlineStr">
        <is>
          <t>****51151983</t>
        </is>
      </c>
      <c r="U1019" s="3" t="inlineStr">
        <is>
          <t>***** 128號地舖</t>
        </is>
      </c>
      <c r="V1019" s="3" t="inlineStr">
        <is>
          <t>香港</t>
        </is>
      </c>
      <c r="W1019" s="3" t="inlineStr">
        <is>
          <t>机纸/小票纸 / 包出</t>
        </is>
      </c>
      <c r="X1019" s="3" t="inlineStr">
        <is>
          <t>ESS-SFTS-OTMS</t>
        </is>
      </c>
      <c r="Y1019" s="3" t="n"/>
      <c r="Z1019" s="3" t="inlineStr"/>
      <c r="AA1019" s="3" t="inlineStr">
        <is>
          <t>寄付月結</t>
        </is>
      </c>
      <c r="AB1019">
        <f>IFERROR(VLOOKUP(Q1019&amp;"",對照表!$A:$B,1,FALSE),"")</f>
        <v/>
      </c>
      <c r="AC1019">
        <f>IFERROR(VLOOKUP(Q1019&amp;"",對照表!$A:$B,2,FALSE),"")</f>
        <v/>
      </c>
    </row>
    <row r="1020">
      <c r="A1020" s="3" t="inlineStr">
        <is>
          <t>SF5113427648737</t>
        </is>
      </c>
      <c r="B1020" s="3" t="n">
        <v>58435485630642</v>
      </c>
      <c r="C1020" s="3" t="inlineStr">
        <is>
          <t>已簽收</t>
        </is>
      </c>
      <c r="D1020" s="3" t="inlineStr">
        <is>
          <t>2026-07-06 16:10:07</t>
        </is>
      </c>
      <c r="E1020" s="3" t="inlineStr">
        <is>
          <t>2026-07-07 09:26</t>
        </is>
      </c>
      <c r="F1020" s="3" t="n">
        <v>58</v>
      </c>
      <c r="G1020" s="3" t="n">
        <v>4</v>
      </c>
      <c r="H1020" s="3" t="n"/>
      <c r="I1020" s="3" t="inlineStr"/>
      <c r="J1020" s="3" t="inlineStr">
        <is>
          <t>Keeta</t>
        </is>
      </c>
      <c r="K1020" s="3" t="inlineStr">
        <is>
          <t>****9568</t>
        </is>
      </c>
      <c r="L1020" s="3" t="n"/>
      <c r="M1020" s="3" t="inlineStr">
        <is>
          <t>***** 物流中心5樓</t>
        </is>
      </c>
      <c r="N1020" s="3" t="inlineStr">
        <is>
          <t>北区</t>
        </is>
      </c>
      <c r="O1020" s="3" t="inlineStr">
        <is>
          <t>香港</t>
        </is>
      </c>
      <c r="P1020" s="3" t="inlineStr">
        <is>
          <t>香港特别行政区</t>
        </is>
      </c>
      <c r="Q1020" s="3" t="n">
        <v>448374</v>
      </c>
      <c r="R1020" s="3" t="inlineStr">
        <is>
          <t>麥當勞（寶勒巷）McDonalds</t>
        </is>
      </c>
      <c r="S1020" s="3" t="inlineStr">
        <is>
          <t>****23694398</t>
        </is>
      </c>
      <c r="T1020" s="3" t="inlineStr">
        <is>
          <t>****23694398</t>
        </is>
      </c>
      <c r="U1020" s="3" t="inlineStr">
        <is>
          <t>***** 場地下1號舖</t>
        </is>
      </c>
      <c r="V1020" s="3" t="inlineStr">
        <is>
          <t>香港</t>
        </is>
      </c>
      <c r="W1020" s="3" t="inlineStr">
        <is>
          <t>纸袋【通版】/ 箱出</t>
        </is>
      </c>
      <c r="X1020" s="3" t="inlineStr">
        <is>
          <t>ESS-SFTS-OTMS</t>
        </is>
      </c>
      <c r="Y1020" s="3" t="n"/>
      <c r="Z1020" s="3" t="inlineStr"/>
      <c r="AA1020" s="3" t="inlineStr">
        <is>
          <t>寄付月結</t>
        </is>
      </c>
      <c r="AB1020">
        <f>IFERROR(VLOOKUP(Q1020&amp;"",對照表!$A:$B,1,FALSE),"")</f>
        <v/>
      </c>
      <c r="AC1020">
        <f>IFERROR(VLOOKUP(Q1020&amp;"",對照表!$A:$B,2,FALSE),"")</f>
        <v/>
      </c>
    </row>
    <row r="1021">
      <c r="A1021" s="3" t="inlineStr">
        <is>
          <t>SF5113427648561</t>
        </is>
      </c>
      <c r="B1021" s="3" t="n">
        <v>58435485630603</v>
      </c>
      <c r="C1021" s="3" t="inlineStr">
        <is>
          <t>已簽收</t>
        </is>
      </c>
      <c r="D1021" s="3" t="inlineStr">
        <is>
          <t>2026-07-06 16:06:54</t>
        </is>
      </c>
      <c r="E1021" s="3" t="inlineStr">
        <is>
          <t>2026-07-07 09:41</t>
        </is>
      </c>
      <c r="F1021" s="3" t="n">
        <v>4.45</v>
      </c>
      <c r="G1021" s="3" t="n">
        <v>1</v>
      </c>
      <c r="H1021" s="3" t="n"/>
      <c r="I1021" s="3" t="inlineStr"/>
      <c r="J1021" s="3" t="inlineStr">
        <is>
          <t>Keeta</t>
        </is>
      </c>
      <c r="K1021" s="3" t="inlineStr">
        <is>
          <t>****9568</t>
        </is>
      </c>
      <c r="L1021" s="3" t="n"/>
      <c r="M1021" s="3" t="inlineStr">
        <is>
          <t>***** 物流中心5樓</t>
        </is>
      </c>
      <c r="N1021" s="3" t="inlineStr">
        <is>
          <t>北区</t>
        </is>
      </c>
      <c r="O1021" s="3" t="inlineStr">
        <is>
          <t>香港</t>
        </is>
      </c>
      <c r="P1021" s="3" t="inlineStr">
        <is>
          <t>香港特别行政区</t>
        </is>
      </c>
      <c r="Q1021" s="3" t="n">
        <v>467626</v>
      </c>
      <c r="R1021" s="3" t="inlineStr">
        <is>
          <t>串燒兄妹(佐敦)</t>
        </is>
      </c>
      <c r="S1021" s="3" t="inlineStr">
        <is>
          <t>****64189275</t>
        </is>
      </c>
      <c r="T1021" s="3" t="inlineStr">
        <is>
          <t>****64189275</t>
        </is>
      </c>
      <c r="U1021" s="3" t="inlineStr">
        <is>
          <t>***** 號文英樓地下</t>
        </is>
      </c>
      <c r="V1021" s="3" t="inlineStr">
        <is>
          <t>香港</t>
        </is>
      </c>
      <c r="W1021" s="3" t="inlineStr">
        <is>
          <t>机纸/小票纸 / 包出</t>
        </is>
      </c>
      <c r="X1021" s="3" t="inlineStr">
        <is>
          <t>ESS-SFTS-OTMS</t>
        </is>
      </c>
      <c r="Y1021" s="3" t="n"/>
      <c r="Z1021" s="3" t="inlineStr"/>
      <c r="AA1021" s="3" t="inlineStr">
        <is>
          <t>寄付月結</t>
        </is>
      </c>
      <c r="AB1021">
        <f>IFERROR(VLOOKUP(Q1021&amp;"",對照表!$A:$B,1,FALSE),"")</f>
        <v/>
      </c>
      <c r="AC1021">
        <f>IFERROR(VLOOKUP(Q1021&amp;"",對照表!$A:$B,2,FALSE),"")</f>
        <v/>
      </c>
    </row>
    <row r="1022">
      <c r="A1022" s="3" t="inlineStr">
        <is>
          <t>SF5113427648525</t>
        </is>
      </c>
      <c r="B1022" s="3" t="n">
        <v>58435485630592</v>
      </c>
      <c r="C1022" s="3" t="inlineStr">
        <is>
          <t>已簽收</t>
        </is>
      </c>
      <c r="D1022" s="3" t="inlineStr">
        <is>
          <t>2026-07-06 16:06:56</t>
        </is>
      </c>
      <c r="E1022" s="3" t="inlineStr">
        <is>
          <t>2026-07-07 09:15</t>
        </is>
      </c>
      <c r="F1022" s="3" t="n">
        <v>4.45</v>
      </c>
      <c r="G1022" s="3" t="n">
        <v>1</v>
      </c>
      <c r="H1022" s="3" t="n"/>
      <c r="I1022" s="3" t="inlineStr"/>
      <c r="J1022" s="3" t="inlineStr">
        <is>
          <t>Keeta</t>
        </is>
      </c>
      <c r="K1022" s="3" t="inlineStr">
        <is>
          <t>****9568</t>
        </is>
      </c>
      <c r="L1022" s="3" t="n"/>
      <c r="M1022" s="3" t="inlineStr">
        <is>
          <t>***** 物流中心5樓</t>
        </is>
      </c>
      <c r="N1022" s="3" t="inlineStr">
        <is>
          <t>北区</t>
        </is>
      </c>
      <c r="O1022" s="3" t="inlineStr">
        <is>
          <t>香港</t>
        </is>
      </c>
      <c r="P1022" s="3" t="inlineStr">
        <is>
          <t>香港特别行政区</t>
        </is>
      </c>
      <c r="Q1022" s="3" t="n">
        <v>461470</v>
      </c>
      <c r="R1022" s="3" t="inlineStr">
        <is>
          <t>JKBakery(佐敦隱世手工麵包店)</t>
        </is>
      </c>
      <c r="S1022" s="3" t="inlineStr">
        <is>
          <t>****92603728</t>
        </is>
      </c>
      <c r="T1022" s="3" t="inlineStr">
        <is>
          <t>****92603728</t>
        </is>
      </c>
      <c r="U1022" s="3" t="inlineStr">
        <is>
          <t>***** 敦道7號地鋪</t>
        </is>
      </c>
      <c r="V1022" s="3" t="inlineStr">
        <is>
          <t>香港</t>
        </is>
      </c>
      <c r="W1022" s="3" t="inlineStr">
        <is>
          <t>机纸/小票纸 / 包出</t>
        </is>
      </c>
      <c r="X1022" s="3" t="inlineStr">
        <is>
          <t>ESS-SFTS-OTMS</t>
        </is>
      </c>
      <c r="Y1022" s="3" t="n"/>
      <c r="Z1022" s="3" t="inlineStr"/>
      <c r="AA1022" s="3" t="inlineStr">
        <is>
          <t>寄付月結</t>
        </is>
      </c>
      <c r="AB1022">
        <f>IFERROR(VLOOKUP(Q1022&amp;"",對照表!$A:$B,1,FALSE),"")</f>
        <v/>
      </c>
      <c r="AC1022">
        <f>IFERROR(VLOOKUP(Q1022&amp;"",對照表!$A:$B,2,FALSE),"")</f>
        <v/>
      </c>
    </row>
    <row r="1023">
      <c r="A1023" s="3" t="inlineStr">
        <is>
          <t>SF5113427648631</t>
        </is>
      </c>
      <c r="B1023" s="3" t="n">
        <v>58435485630622</v>
      </c>
      <c r="C1023" s="3" t="inlineStr">
        <is>
          <t>已簽收</t>
        </is>
      </c>
      <c r="D1023" s="3" t="inlineStr">
        <is>
          <t>2026-07-06 17:15:34</t>
        </is>
      </c>
      <c r="E1023" s="3" t="inlineStr">
        <is>
          <t>2026-07-07 20:36</t>
        </is>
      </c>
      <c r="F1023" s="3" t="n">
        <v>1</v>
      </c>
      <c r="G1023" s="3" t="n">
        <v>1</v>
      </c>
      <c r="H1023" s="3" t="n"/>
      <c r="I1023" s="3" t="inlineStr"/>
      <c r="J1023" s="3" t="inlineStr">
        <is>
          <t>Keeta</t>
        </is>
      </c>
      <c r="K1023" s="3" t="inlineStr">
        <is>
          <t>****9568</t>
        </is>
      </c>
      <c r="L1023" s="3" t="n"/>
      <c r="M1023" s="3" t="inlineStr">
        <is>
          <t>***** 物流中心5樓</t>
        </is>
      </c>
      <c r="N1023" s="3" t="inlineStr">
        <is>
          <t>北区</t>
        </is>
      </c>
      <c r="O1023" s="3" t="inlineStr">
        <is>
          <t>香港</t>
        </is>
      </c>
      <c r="P1023" s="3" t="inlineStr">
        <is>
          <t>香港特别行政区</t>
        </is>
      </c>
      <c r="Q1023" s="3" t="n">
        <v>408901</v>
      </c>
      <c r="R1023" s="3" t="inlineStr">
        <is>
          <t>串燒王（尖沙咀分店）四川麻辣燙炒粉面手打鴨屎香檸檬茶串燒專門店</t>
        </is>
      </c>
      <c r="S1023" s="3" t="inlineStr">
        <is>
          <t>****54085821</t>
        </is>
      </c>
      <c r="T1023" s="3" t="inlineStr">
        <is>
          <t>****54085821</t>
        </is>
      </c>
      <c r="U1023" s="3" t="inlineStr">
        <is>
          <t>***** 9-10號舖</t>
        </is>
      </c>
      <c r="V1023" s="3" t="inlineStr">
        <is>
          <t>香港</t>
        </is>
      </c>
      <c r="W1023" s="3" t="inlineStr">
        <is>
          <t>翻新POS机【真唯】/ 件出</t>
        </is>
      </c>
      <c r="X1023" s="3" t="inlineStr">
        <is>
          <t>ESS-SFTS-OTMS</t>
        </is>
      </c>
      <c r="Y1023" s="3" t="n"/>
      <c r="Z1023" s="3" t="inlineStr"/>
      <c r="AA1023" s="3" t="inlineStr">
        <is>
          <t>寄付月結</t>
        </is>
      </c>
      <c r="AB1023">
        <f>IFERROR(VLOOKUP(Q1023&amp;"",對照表!$A:$B,1,FALSE),"")</f>
        <v/>
      </c>
      <c r="AC1023">
        <f>IFERROR(VLOOKUP(Q1023&amp;"",對照表!$A:$B,2,FALSE),"")</f>
        <v/>
      </c>
    </row>
    <row r="1024">
      <c r="A1024" s="3" t="inlineStr">
        <is>
          <t>SF5113427647406</t>
        </is>
      </c>
      <c r="B1024" s="3" t="n">
        <v>58435485597749</v>
      </c>
      <c r="C1024" s="3" t="inlineStr">
        <is>
          <t>已簽收</t>
        </is>
      </c>
      <c r="D1024" s="3" t="inlineStr">
        <is>
          <t>2026-07-06 17:09:14</t>
        </is>
      </c>
      <c r="E1024" s="3" t="inlineStr">
        <is>
          <t>2026-07-07 10:40</t>
        </is>
      </c>
      <c r="F1024" s="3" t="n">
        <v>1.9</v>
      </c>
      <c r="G1024" s="3" t="n">
        <v>1</v>
      </c>
      <c r="H1024" s="3" t="n"/>
      <c r="I1024" s="3" t="inlineStr"/>
      <c r="J1024" s="3" t="inlineStr">
        <is>
          <t>Keeta</t>
        </is>
      </c>
      <c r="K1024" s="3" t="inlineStr">
        <is>
          <t>****9568</t>
        </is>
      </c>
      <c r="L1024" s="3" t="n"/>
      <c r="M1024" s="3" t="inlineStr">
        <is>
          <t>***** 物流中心5樓</t>
        </is>
      </c>
      <c r="N1024" s="3" t="inlineStr">
        <is>
          <t>北区</t>
        </is>
      </c>
      <c r="O1024" s="3" t="inlineStr">
        <is>
          <t>香港</t>
        </is>
      </c>
      <c r="P1024" s="3" t="inlineStr">
        <is>
          <t>香港特别行政区</t>
        </is>
      </c>
      <c r="Q1024" s="3" t="n">
        <v>482968</v>
      </c>
      <c r="R1024" s="3" t="inlineStr">
        <is>
          <t>新祥發粉麵茶餐廳</t>
        </is>
      </c>
      <c r="S1024" s="3" t="inlineStr">
        <is>
          <t>****57036873</t>
        </is>
      </c>
      <c r="T1024" s="3" t="inlineStr">
        <is>
          <t>****57036873</t>
        </is>
      </c>
      <c r="U1024" s="3" t="inlineStr">
        <is>
          <t>***** 125號地舖</t>
        </is>
      </c>
      <c r="V1024" s="3" t="inlineStr">
        <is>
          <t>香港</t>
        </is>
      </c>
      <c r="W1024" s="3" t="inlineStr">
        <is>
          <t>机纸/小票纸 / 包出</t>
        </is>
      </c>
      <c r="X1024" s="3" t="inlineStr">
        <is>
          <t>ESS-SFTS-OTMS</t>
        </is>
      </c>
      <c r="Y1024" s="3" t="n"/>
      <c r="Z1024" s="3" t="inlineStr"/>
      <c r="AA1024" s="3" t="inlineStr">
        <is>
          <t>寄付月結</t>
        </is>
      </c>
      <c r="AB1024">
        <f>IFERROR(VLOOKUP(Q1024&amp;"",對照表!$A:$B,1,FALSE),"")</f>
        <v/>
      </c>
      <c r="AC1024">
        <f>IFERROR(VLOOKUP(Q1024&amp;"",對照表!$A:$B,2,FALSE),"")</f>
        <v/>
      </c>
    </row>
    <row r="1025">
      <c r="A1025" s="3" t="inlineStr">
        <is>
          <t>SF5113427648491</t>
        </is>
      </c>
      <c r="B1025" s="3" t="n">
        <v>58435485630587</v>
      </c>
      <c r="C1025" s="3" t="inlineStr">
        <is>
          <t>已簽收</t>
        </is>
      </c>
      <c r="D1025" s="3" t="inlineStr">
        <is>
          <t>2026-07-06 15:18:58</t>
        </is>
      </c>
      <c r="E1025" s="3" t="inlineStr">
        <is>
          <t>2026-07-07 15:37</t>
        </is>
      </c>
      <c r="F1025" s="3" t="n">
        <v>14.5</v>
      </c>
      <c r="G1025" s="3" t="n">
        <v>1</v>
      </c>
      <c r="H1025" s="3" t="n"/>
      <c r="I1025" s="3" t="inlineStr"/>
      <c r="J1025" s="3" t="inlineStr">
        <is>
          <t>Keeta</t>
        </is>
      </c>
      <c r="K1025" s="3" t="inlineStr">
        <is>
          <t>****9568</t>
        </is>
      </c>
      <c r="L1025" s="3" t="n"/>
      <c r="M1025" s="3" t="inlineStr">
        <is>
          <t>***** 物流中心5樓</t>
        </is>
      </c>
      <c r="N1025" s="3" t="inlineStr">
        <is>
          <t>北区</t>
        </is>
      </c>
      <c r="O1025" s="3" t="inlineStr">
        <is>
          <t>香港</t>
        </is>
      </c>
      <c r="P1025" s="3" t="inlineStr">
        <is>
          <t>香港特别行政区</t>
        </is>
      </c>
      <c r="Q1025" s="3" t="n">
        <v>721527369</v>
      </c>
      <c r="R1025" s="3" t="inlineStr">
        <is>
          <t>麥當勞(新都城)McDonalds</t>
        </is>
      </c>
      <c r="S1025" s="3" t="inlineStr">
        <is>
          <t>****31945176</t>
        </is>
      </c>
      <c r="T1025" s="3" t="inlineStr">
        <is>
          <t>****31945176</t>
        </is>
      </c>
      <c r="U1025" s="3" t="inlineStr">
        <is>
          <t>***** 1017號舖</t>
        </is>
      </c>
      <c r="V1025" s="3" t="inlineStr">
        <is>
          <t>香港</t>
        </is>
      </c>
      <c r="W1025" s="3" t="inlineStr">
        <is>
          <t>纸袋【通版】/ 箱出</t>
        </is>
      </c>
      <c r="X1025" s="3" t="inlineStr">
        <is>
          <t>ESS-SFTS-OTMS</t>
        </is>
      </c>
      <c r="Y1025" s="3" t="n"/>
      <c r="Z1025" s="3" t="inlineStr"/>
      <c r="AA1025" s="3" t="inlineStr">
        <is>
          <t>寄付月結</t>
        </is>
      </c>
      <c r="AB1025">
        <f>IFERROR(VLOOKUP(Q1025&amp;"",對照表!$A:$B,1,FALSE),"")</f>
        <v/>
      </c>
      <c r="AC1025">
        <f>IFERROR(VLOOKUP(Q1025&amp;"",對照表!$A:$B,2,FALSE),"")</f>
        <v/>
      </c>
    </row>
    <row r="1026">
      <c r="A1026" s="3" t="inlineStr">
        <is>
          <t>SF5113427648677</t>
        </is>
      </c>
      <c r="B1026" s="3" t="n">
        <v>58435485630627</v>
      </c>
      <c r="C1026" s="3" t="inlineStr">
        <is>
          <t>已簽收</t>
        </is>
      </c>
      <c r="D1026" s="3" t="inlineStr">
        <is>
          <t>2026-07-06 16:44:31</t>
        </is>
      </c>
      <c r="E1026" s="3" t="inlineStr">
        <is>
          <t>2026-07-07 11:51</t>
        </is>
      </c>
      <c r="F1026" s="3" t="n">
        <v>0.67</v>
      </c>
      <c r="G1026" s="3" t="n">
        <v>1</v>
      </c>
      <c r="H1026" s="3" t="n"/>
      <c r="I1026" s="3" t="inlineStr"/>
      <c r="J1026" s="3" t="inlineStr">
        <is>
          <t>Keeta</t>
        </is>
      </c>
      <c r="K1026" s="3" t="inlineStr">
        <is>
          <t>****9568</t>
        </is>
      </c>
      <c r="L1026" s="3" t="n"/>
      <c r="M1026" s="3" t="inlineStr">
        <is>
          <t>***** 物流中心5樓</t>
        </is>
      </c>
      <c r="N1026" s="3" t="inlineStr">
        <is>
          <t>北区</t>
        </is>
      </c>
      <c r="O1026" s="3" t="inlineStr">
        <is>
          <t>香港</t>
        </is>
      </c>
      <c r="P1026" s="3" t="inlineStr">
        <is>
          <t>香港特别行政区</t>
        </is>
      </c>
      <c r="Q1026" s="3" t="n">
        <v>823020</v>
      </c>
      <c r="R1026" s="3" t="inlineStr">
        <is>
          <t>東海堂(銅鑼灣蘭芳道)AromeBakery</t>
        </is>
      </c>
      <c r="S1026" s="3" t="inlineStr">
        <is>
          <t>****29819906</t>
        </is>
      </c>
      <c r="T1026" s="3" t="inlineStr">
        <is>
          <t>****29819906</t>
        </is>
      </c>
      <c r="U1026" s="3" t="inlineStr">
        <is>
          <t>*****  地下1號舖</t>
        </is>
      </c>
      <c r="V1026" s="3" t="inlineStr">
        <is>
          <t>香港</t>
        </is>
      </c>
      <c r="W1026" s="3" t="inlineStr">
        <is>
          <t>机纸/小票纸 / 包出</t>
        </is>
      </c>
      <c r="X1026" s="3" t="inlineStr">
        <is>
          <t>ESS-SFTS-OTMS</t>
        </is>
      </c>
      <c r="Y1026" s="3" t="n"/>
      <c r="Z1026" s="3" t="inlineStr"/>
      <c r="AA1026" s="3" t="inlineStr">
        <is>
          <t>寄付月結</t>
        </is>
      </c>
      <c r="AB1026">
        <f>IFERROR(VLOOKUP(Q1026&amp;"",對照表!$A:$B,1,FALSE),"")</f>
        <v/>
      </c>
      <c r="AC1026">
        <f>IFERROR(VLOOKUP(Q1026&amp;"",對照表!$A:$B,2,FALSE),"")</f>
        <v/>
      </c>
    </row>
    <row r="1027">
      <c r="A1027" s="3" t="inlineStr">
        <is>
          <t>SF5113427648482</t>
        </is>
      </c>
      <c r="B1027" s="3" t="n">
        <v>58435485630582</v>
      </c>
      <c r="C1027" s="3" t="inlineStr">
        <is>
          <t>已簽收</t>
        </is>
      </c>
      <c r="D1027" s="3" t="inlineStr">
        <is>
          <t>2026-07-06 16:03:25</t>
        </is>
      </c>
      <c r="E1027" s="3" t="inlineStr">
        <is>
          <t>2026-07-07 12:35</t>
        </is>
      </c>
      <c r="F1027" s="3" t="n">
        <v>4.45</v>
      </c>
      <c r="G1027" s="3" t="n">
        <v>1</v>
      </c>
      <c r="H1027" s="3" t="n"/>
      <c r="I1027" s="3" t="inlineStr"/>
      <c r="J1027" s="3" t="inlineStr">
        <is>
          <t>Keeta</t>
        </is>
      </c>
      <c r="K1027" s="3" t="inlineStr">
        <is>
          <t>****9568</t>
        </is>
      </c>
      <c r="L1027" s="3" t="n"/>
      <c r="M1027" s="3" t="inlineStr">
        <is>
          <t>***** 物流中心5樓</t>
        </is>
      </c>
      <c r="N1027" s="3" t="inlineStr">
        <is>
          <t>北区</t>
        </is>
      </c>
      <c r="O1027" s="3" t="inlineStr">
        <is>
          <t>香港</t>
        </is>
      </c>
      <c r="P1027" s="3" t="inlineStr">
        <is>
          <t>香港特别行政区</t>
        </is>
      </c>
      <c r="Q1027" s="3" t="n">
        <v>567840</v>
      </c>
      <c r="R1027" s="3" t="inlineStr">
        <is>
          <t>牧羊少年咖啡館(TheLOHAS康城)</t>
        </is>
      </c>
      <c r="S1027" s="3" t="inlineStr">
        <is>
          <t>****23337011</t>
        </is>
      </c>
      <c r="T1027" s="3" t="inlineStr">
        <is>
          <t>****23337011</t>
        </is>
      </c>
      <c r="U1027" s="3" t="inlineStr">
        <is>
          <t>***** 樓417號舖</t>
        </is>
      </c>
      <c r="V1027" s="3" t="inlineStr">
        <is>
          <t>香港</t>
        </is>
      </c>
      <c r="W1027" s="3" t="inlineStr">
        <is>
          <t>机纸/小票纸 / 包出</t>
        </is>
      </c>
      <c r="X1027" s="3" t="inlineStr">
        <is>
          <t>ESS-SFTS-OTMS</t>
        </is>
      </c>
      <c r="Y1027" s="3" t="n"/>
      <c r="Z1027" s="3" t="inlineStr"/>
      <c r="AA1027" s="3" t="inlineStr">
        <is>
          <t>寄付月結</t>
        </is>
      </c>
      <c r="AB1027">
        <f>IFERROR(VLOOKUP(Q1027&amp;"",對照表!$A:$B,1,FALSE),"")</f>
        <v/>
      </c>
      <c r="AC1027">
        <f>IFERROR(VLOOKUP(Q1027&amp;"",對照表!$A:$B,2,FALSE),"")</f>
        <v/>
      </c>
    </row>
    <row r="1028">
      <c r="A1028" s="3" t="inlineStr">
        <is>
          <t>SF5113427648719</t>
        </is>
      </c>
      <c r="B1028" s="3" t="n">
        <v>58435485630638</v>
      </c>
      <c r="C1028" s="3" t="inlineStr">
        <is>
          <t>已簽收</t>
        </is>
      </c>
      <c r="D1028" s="3" t="inlineStr">
        <is>
          <t>2026-07-06 17:09:11</t>
        </is>
      </c>
      <c r="E1028" s="3" t="inlineStr">
        <is>
          <t>2026-07-07 11:04</t>
        </is>
      </c>
      <c r="F1028" s="3" t="n">
        <v>1.5</v>
      </c>
      <c r="G1028" s="3" t="n">
        <v>1</v>
      </c>
      <c r="H1028" s="3" t="n"/>
      <c r="I1028" s="3" t="inlineStr"/>
      <c r="J1028" s="3" t="inlineStr">
        <is>
          <t>Keeta</t>
        </is>
      </c>
      <c r="K1028" s="3" t="inlineStr">
        <is>
          <t>****9568</t>
        </is>
      </c>
      <c r="L1028" s="3" t="n"/>
      <c r="M1028" s="3" t="inlineStr">
        <is>
          <t>***** 物流中心5樓</t>
        </is>
      </c>
      <c r="N1028" s="3" t="inlineStr">
        <is>
          <t>北区</t>
        </is>
      </c>
      <c r="O1028" s="3" t="inlineStr">
        <is>
          <t>香港</t>
        </is>
      </c>
      <c r="P1028" s="3" t="inlineStr">
        <is>
          <t>香港特别行政区</t>
        </is>
      </c>
      <c r="Q1028" s="3" t="n">
        <v>461903</v>
      </c>
      <c r="R1028" s="3" t="inlineStr">
        <is>
          <t>星巴克(京瑞廣場)StarbucksCoffee</t>
        </is>
      </c>
      <c r="S1028" s="3" t="inlineStr">
        <is>
          <t>****26392331</t>
        </is>
      </c>
      <c r="T1028" s="3" t="inlineStr">
        <is>
          <t>****26392331</t>
        </is>
      </c>
      <c r="U1028" s="3" t="inlineStr">
        <is>
          <t>***** G07B號舖</t>
        </is>
      </c>
      <c r="V1028" s="3" t="inlineStr">
        <is>
          <t>香港</t>
        </is>
      </c>
      <c r="W1028" s="3" t="inlineStr">
        <is>
          <t>机纸/小票纸 / 包出</t>
        </is>
      </c>
      <c r="X1028" s="3" t="inlineStr">
        <is>
          <t>ESS-SFTS-OTMS</t>
        </is>
      </c>
      <c r="Y1028" s="3" t="n"/>
      <c r="Z1028" s="3" t="inlineStr"/>
      <c r="AA1028" s="3" t="inlineStr">
        <is>
          <t>寄付月結</t>
        </is>
      </c>
      <c r="AB1028">
        <f>IFERROR(VLOOKUP(Q1028&amp;"",對照表!$A:$B,1,FALSE),"")</f>
        <v/>
      </c>
      <c r="AC1028">
        <f>IFERROR(VLOOKUP(Q1028&amp;"",對照表!$A:$B,2,FALSE),"")</f>
        <v/>
      </c>
    </row>
    <row r="1029">
      <c r="A1029" s="3" t="inlineStr">
        <is>
          <t>SF5113427648516</t>
        </is>
      </c>
      <c r="B1029" s="3" t="n">
        <v>58435485630591</v>
      </c>
      <c r="C1029" s="3" t="inlineStr">
        <is>
          <t>已簽收</t>
        </is>
      </c>
      <c r="D1029" s="3" t="inlineStr">
        <is>
          <t>2026-07-06 15:19:00</t>
        </is>
      </c>
      <c r="E1029" s="3" t="inlineStr">
        <is>
          <t>2026-07-07 13:46</t>
        </is>
      </c>
      <c r="F1029" s="3" t="n">
        <v>14.5</v>
      </c>
      <c r="G1029" s="3" t="n">
        <v>1</v>
      </c>
      <c r="H1029" s="3" t="n"/>
      <c r="I1029" s="3" t="inlineStr"/>
      <c r="J1029" s="3" t="inlineStr">
        <is>
          <t>Keeta</t>
        </is>
      </c>
      <c r="K1029" s="3" t="inlineStr">
        <is>
          <t>****9568</t>
        </is>
      </c>
      <c r="L1029" s="3" t="n"/>
      <c r="M1029" s="3" t="inlineStr">
        <is>
          <t>***** 物流中心5樓</t>
        </is>
      </c>
      <c r="N1029" s="3" t="inlineStr">
        <is>
          <t>北区</t>
        </is>
      </c>
      <c r="O1029" s="3" t="inlineStr">
        <is>
          <t>香港</t>
        </is>
      </c>
      <c r="P1029" s="3" t="inlineStr">
        <is>
          <t>香港特别行政区</t>
        </is>
      </c>
      <c r="Q1029" s="3" t="n">
        <v>597923</v>
      </c>
      <c r="R1029" s="3" t="inlineStr">
        <is>
          <t>麥當勞(青衣城II)McDonalds</t>
        </is>
      </c>
      <c r="S1029" s="3" t="inlineStr">
        <is>
          <t>****24364742</t>
        </is>
      </c>
      <c r="T1029" s="3" t="inlineStr">
        <is>
          <t>****24364742</t>
        </is>
      </c>
      <c r="U1029" s="3" t="inlineStr">
        <is>
          <t>***** 6-37號鋪</t>
        </is>
      </c>
      <c r="V1029" s="3" t="inlineStr">
        <is>
          <t>香港</t>
        </is>
      </c>
      <c r="W1029" s="3" t="inlineStr">
        <is>
          <t>纸袋【通版】/ 箱出</t>
        </is>
      </c>
      <c r="X1029" s="3" t="inlineStr">
        <is>
          <t>ESS-SFTS-OTMS</t>
        </is>
      </c>
      <c r="Y1029" s="3" t="n"/>
      <c r="Z1029" s="3" t="inlineStr"/>
      <c r="AA1029" s="3" t="inlineStr">
        <is>
          <t>寄付月結</t>
        </is>
      </c>
      <c r="AB1029">
        <f>IFERROR(VLOOKUP(Q1029&amp;"",對照表!$A:$B,1,FALSE),"")</f>
        <v/>
      </c>
      <c r="AC1029">
        <f>IFERROR(VLOOKUP(Q1029&amp;"",對照表!$A:$B,2,FALSE),"")</f>
        <v/>
      </c>
    </row>
    <row r="1030">
      <c r="A1030" s="3" t="inlineStr">
        <is>
          <t>SF5113427648331</t>
        </is>
      </c>
      <c r="B1030" s="3" t="n">
        <v>58435485630548</v>
      </c>
      <c r="C1030" s="3" t="inlineStr">
        <is>
          <t>已簽收</t>
        </is>
      </c>
      <c r="D1030" s="3" t="inlineStr">
        <is>
          <t>2026-07-06 17:49:15</t>
        </is>
      </c>
      <c r="E1030" s="3" t="inlineStr">
        <is>
          <t>2026-07-07 12:33</t>
        </is>
      </c>
      <c r="F1030" s="3" t="n">
        <v>23.68</v>
      </c>
      <c r="G1030" s="3" t="n">
        <v>2</v>
      </c>
      <c r="H1030" s="3" t="n"/>
      <c r="I1030" s="3" t="inlineStr"/>
      <c r="J1030" s="3" t="inlineStr">
        <is>
          <t>Keeta</t>
        </is>
      </c>
      <c r="K1030" s="3" t="inlineStr">
        <is>
          <t>****9568</t>
        </is>
      </c>
      <c r="L1030" s="3" t="n"/>
      <c r="M1030" s="3" t="inlineStr">
        <is>
          <t>***** 物流中心5樓</t>
        </is>
      </c>
      <c r="N1030" s="3" t="inlineStr">
        <is>
          <t>北区</t>
        </is>
      </c>
      <c r="O1030" s="3" t="inlineStr">
        <is>
          <t>香港</t>
        </is>
      </c>
      <c r="P1030" s="3" t="inlineStr">
        <is>
          <t>香港特别行政区</t>
        </is>
      </c>
      <c r="Q1030" s="3" t="n">
        <v>681727</v>
      </c>
      <c r="R1030" s="3" t="inlineStr">
        <is>
          <t>鮨穴</t>
        </is>
      </c>
      <c r="S1030" s="3" t="inlineStr">
        <is>
          <t>****25061232</t>
        </is>
      </c>
      <c r="T1030" s="3" t="inlineStr">
        <is>
          <t>****25061232</t>
        </is>
      </c>
      <c r="U1030" s="3" t="inlineStr">
        <is>
          <t>***** 1202號舖</t>
        </is>
      </c>
      <c r="V1030" s="3" t="inlineStr">
        <is>
          <t>香港</t>
        </is>
      </c>
      <c r="W1030" s="3" t="inlineStr">
        <is>
          <t>无纺布【Preminum黑】/ 箱出, 纸袋【Preminum黑】/ 箱出</t>
        </is>
      </c>
      <c r="X1030" s="3" t="inlineStr">
        <is>
          <t>ESS-SFTS-OTMS</t>
        </is>
      </c>
      <c r="Y1030" s="3" t="n"/>
      <c r="Z1030" s="3" t="inlineStr"/>
      <c r="AA1030" s="3" t="inlineStr">
        <is>
          <t>寄付月結</t>
        </is>
      </c>
      <c r="AB1030">
        <f>IFERROR(VLOOKUP(Q1030&amp;"",對照表!$A:$B,1,FALSE),"")</f>
        <v/>
      </c>
      <c r="AC1030">
        <f>IFERROR(VLOOKUP(Q1030&amp;"",對照表!$A:$B,2,FALSE),"")</f>
        <v/>
      </c>
    </row>
    <row r="1031">
      <c r="A1031" s="3" t="inlineStr">
        <is>
          <t>SF5113427648589</t>
        </is>
      </c>
      <c r="B1031" s="3" t="n">
        <v>58435485630606</v>
      </c>
      <c r="C1031" s="3" t="inlineStr">
        <is>
          <t>已簽收</t>
        </is>
      </c>
      <c r="D1031" s="3" t="inlineStr">
        <is>
          <t>2026-07-06 16:03:17</t>
        </is>
      </c>
      <c r="E1031" s="3" t="inlineStr">
        <is>
          <t>2026-07-07 09:53</t>
        </is>
      </c>
      <c r="F1031" s="3" t="n">
        <v>4.45</v>
      </c>
      <c r="G1031" s="3" t="n">
        <v>1</v>
      </c>
      <c r="H1031" s="3" t="n"/>
      <c r="I1031" s="3" t="inlineStr"/>
      <c r="J1031" s="3" t="inlineStr">
        <is>
          <t>Keeta</t>
        </is>
      </c>
      <c r="K1031" s="3" t="inlineStr">
        <is>
          <t>****9568</t>
        </is>
      </c>
      <c r="L1031" s="3" t="n"/>
      <c r="M1031" s="3" t="inlineStr">
        <is>
          <t>***** 物流中心5樓</t>
        </is>
      </c>
      <c r="N1031" s="3" t="inlineStr">
        <is>
          <t>北区</t>
        </is>
      </c>
      <c r="O1031" s="3" t="inlineStr">
        <is>
          <t>香港</t>
        </is>
      </c>
      <c r="P1031" s="3" t="inlineStr">
        <is>
          <t>香港特别行政区</t>
        </is>
      </c>
      <c r="Q1031" s="3" t="n">
        <v>478386</v>
      </c>
      <c r="R1031" s="3" t="inlineStr">
        <is>
          <t>青越亭(華欣樓)VietLimeCafeRestaurant(WahYanHouse)</t>
        </is>
      </c>
      <c r="S1031" s="3" t="inlineStr">
        <is>
          <t>****27288180</t>
        </is>
      </c>
      <c r="T1031" s="3" t="inlineStr">
        <is>
          <t>****27288180</t>
        </is>
      </c>
      <c r="U1031" s="3" t="inlineStr">
        <is>
          <t>***** 樓地下1號舖</t>
        </is>
      </c>
      <c r="V1031" s="3" t="inlineStr">
        <is>
          <t>香港</t>
        </is>
      </c>
      <c r="W1031" s="3" t="inlineStr">
        <is>
          <t>机纸/小票纸 / 包出</t>
        </is>
      </c>
      <c r="X1031" s="3" t="inlineStr">
        <is>
          <t>ESS-SFTS-OTMS</t>
        </is>
      </c>
      <c r="Y1031" s="3" t="n"/>
      <c r="Z1031" s="3" t="inlineStr"/>
      <c r="AA1031" s="3" t="inlineStr">
        <is>
          <t>寄付月結</t>
        </is>
      </c>
      <c r="AB1031">
        <f>IFERROR(VLOOKUP(Q1031&amp;"",對照表!$A:$B,1,FALSE),"")</f>
        <v/>
      </c>
      <c r="AC1031">
        <f>IFERROR(VLOOKUP(Q1031&amp;"",對照表!$A:$B,2,FALSE),"")</f>
        <v/>
      </c>
    </row>
    <row r="1032">
      <c r="A1032" s="3" t="inlineStr">
        <is>
          <t>SF5113427647300</t>
        </is>
      </c>
      <c r="B1032" s="3" t="n">
        <v>58435485597722</v>
      </c>
      <c r="C1032" s="3" t="inlineStr">
        <is>
          <t>已簽收</t>
        </is>
      </c>
      <c r="D1032" s="3" t="inlineStr">
        <is>
          <t>2026-07-06 15:46:38</t>
        </is>
      </c>
      <c r="E1032" s="3" t="inlineStr">
        <is>
          <t>2026-07-07 12:54</t>
        </is>
      </c>
      <c r="F1032" s="3" t="n">
        <v>58</v>
      </c>
      <c r="G1032" s="3" t="n">
        <v>4</v>
      </c>
      <c r="H1032" s="3" t="n"/>
      <c r="I1032" s="3" t="inlineStr"/>
      <c r="J1032" s="3" t="inlineStr">
        <is>
          <t>Keeta</t>
        </is>
      </c>
      <c r="K1032" s="3" t="inlineStr">
        <is>
          <t>****9568</t>
        </is>
      </c>
      <c r="L1032" s="3" t="n"/>
      <c r="M1032" s="3" t="inlineStr">
        <is>
          <t>***** 物流中心5樓</t>
        </is>
      </c>
      <c r="N1032" s="3" t="inlineStr">
        <is>
          <t>北区</t>
        </is>
      </c>
      <c r="O1032" s="3" t="inlineStr">
        <is>
          <t>香港</t>
        </is>
      </c>
      <c r="P1032" s="3" t="inlineStr">
        <is>
          <t>香港特别行政区</t>
        </is>
      </c>
      <c r="Q1032" s="3" t="n">
        <v>453571</v>
      </c>
      <c r="R1032" s="3" t="inlineStr">
        <is>
          <t>麥當勞（MontereyPlace）McDonalds</t>
        </is>
      </c>
      <c r="S1032" s="3" t="inlineStr">
        <is>
          <t>****24217677</t>
        </is>
      </c>
      <c r="T1032" s="3" t="inlineStr">
        <is>
          <t>****24217677</t>
        </is>
      </c>
      <c r="U1032" s="3" t="inlineStr">
        <is>
          <t>*****  G16號鋪</t>
        </is>
      </c>
      <c r="V1032" s="3" t="inlineStr">
        <is>
          <t>香港</t>
        </is>
      </c>
      <c r="W1032" s="3" t="inlineStr">
        <is>
          <t>纸袋【通版】/ 箱出</t>
        </is>
      </c>
      <c r="X1032" s="3" t="inlineStr">
        <is>
          <t>ESS-SFTS-OTMS</t>
        </is>
      </c>
      <c r="Y1032" s="3" t="n"/>
      <c r="Z1032" s="3" t="inlineStr"/>
      <c r="AA1032" s="3" t="inlineStr">
        <is>
          <t>寄付月結</t>
        </is>
      </c>
      <c r="AB1032">
        <f>IFERROR(VLOOKUP(Q1032&amp;"",對照表!$A:$B,1,FALSE),"")</f>
        <v/>
      </c>
      <c r="AC1032">
        <f>IFERROR(VLOOKUP(Q1032&amp;"",對照表!$A:$B,2,FALSE),"")</f>
        <v/>
      </c>
    </row>
    <row r="1033">
      <c r="A1033" s="3" t="inlineStr">
        <is>
          <t>SF5113427648289</t>
        </is>
      </c>
      <c r="B1033" s="3" t="n">
        <v>58435485630538</v>
      </c>
      <c r="C1033" s="3" t="inlineStr">
        <is>
          <t>派送中</t>
        </is>
      </c>
      <c r="D1033" s="3" t="inlineStr">
        <is>
          <t>2026-07-06 15:35:27</t>
        </is>
      </c>
      <c r="E1033" s="3" t="n"/>
      <c r="F1033" s="3" t="n">
        <v>87</v>
      </c>
      <c r="G1033" s="3" t="n">
        <v>6</v>
      </c>
      <c r="H1033" s="3" t="n"/>
      <c r="I1033" s="3" t="inlineStr"/>
      <c r="J1033" s="3" t="inlineStr">
        <is>
          <t>Keeta</t>
        </is>
      </c>
      <c r="K1033" s="3" t="inlineStr">
        <is>
          <t>****9568</t>
        </is>
      </c>
      <c r="L1033" s="3" t="n"/>
      <c r="M1033" s="3" t="inlineStr">
        <is>
          <t>***** 物流中心5樓</t>
        </is>
      </c>
      <c r="N1033" s="3" t="inlineStr">
        <is>
          <t>北区</t>
        </is>
      </c>
      <c r="O1033" s="3" t="inlineStr">
        <is>
          <t>香港</t>
        </is>
      </c>
      <c r="P1033" s="3" t="inlineStr">
        <is>
          <t>香港特别行政区</t>
        </is>
      </c>
      <c r="Q1033" s="3" t="n">
        <v>448903</v>
      </c>
      <c r="R1033" s="3" t="inlineStr">
        <is>
          <t>麥當勞(寶達)McDonalds</t>
        </is>
      </c>
      <c r="S1033" s="3" t="inlineStr">
        <is>
          <t>****21904206</t>
        </is>
      </c>
      <c r="T1033" s="3" t="inlineStr">
        <is>
          <t>****21904206</t>
        </is>
      </c>
      <c r="U1033" s="3" t="inlineStr">
        <is>
          <t>***** 樓206號舖</t>
        </is>
      </c>
      <c r="V1033" s="3" t="inlineStr">
        <is>
          <t>香港</t>
        </is>
      </c>
      <c r="W1033" s="3" t="inlineStr">
        <is>
          <t>纸袋【通版】/ 箱出</t>
        </is>
      </c>
      <c r="X1033" s="3" t="inlineStr">
        <is>
          <t>ESS-SFTS-OTMS</t>
        </is>
      </c>
      <c r="Y1033" s="3" t="n"/>
      <c r="Z1033" s="3" t="inlineStr"/>
      <c r="AA1033" s="3" t="inlineStr">
        <is>
          <t>寄付月結</t>
        </is>
      </c>
      <c r="AB1033">
        <f>IFERROR(VLOOKUP(Q1033&amp;"",對照表!$A:$B,1,FALSE),"")</f>
        <v/>
      </c>
      <c r="AC1033">
        <f>IFERROR(VLOOKUP(Q1033&amp;"",對照表!$A:$B,2,FALSE),"")</f>
        <v/>
      </c>
    </row>
    <row r="1034">
      <c r="A1034" s="3" t="inlineStr">
        <is>
          <t>SF5113427648252</t>
        </is>
      </c>
      <c r="B1034" s="3" t="n">
        <v>58435485630530</v>
      </c>
      <c r="C1034" s="3" t="inlineStr">
        <is>
          <t>已簽收</t>
        </is>
      </c>
      <c r="D1034" s="3" t="inlineStr">
        <is>
          <t>2026-07-06 17:45:22</t>
        </is>
      </c>
      <c r="E1034" s="3" t="inlineStr">
        <is>
          <t>2026-07-07 13:08</t>
        </is>
      </c>
      <c r="F1034" s="3" t="n">
        <v>1.24</v>
      </c>
      <c r="G1034" s="3" t="n">
        <v>1</v>
      </c>
      <c r="H1034" s="3" t="n"/>
      <c r="I1034" s="3" t="inlineStr"/>
      <c r="J1034" s="3" t="inlineStr">
        <is>
          <t>Keeta</t>
        </is>
      </c>
      <c r="K1034" s="3" t="inlineStr">
        <is>
          <t>****9568</t>
        </is>
      </c>
      <c r="L1034" s="3" t="n"/>
      <c r="M1034" s="3" t="inlineStr">
        <is>
          <t>***** 物流中心5樓</t>
        </is>
      </c>
      <c r="N1034" s="3" t="inlineStr">
        <is>
          <t>北区</t>
        </is>
      </c>
      <c r="O1034" s="3" t="inlineStr">
        <is>
          <t>香港</t>
        </is>
      </c>
      <c r="P1034" s="3" t="inlineStr">
        <is>
          <t>香港特别行政区</t>
        </is>
      </c>
      <c r="Q1034" s="3" t="n">
        <v>599598</v>
      </c>
      <c r="R1034" s="3" t="inlineStr">
        <is>
          <t>GYOJASANG</t>
        </is>
      </c>
      <c r="S1034" s="3" t="inlineStr">
        <is>
          <t>****28809868</t>
        </is>
      </c>
      <c r="T1034" s="3" t="inlineStr">
        <is>
          <t>****28809868</t>
        </is>
      </c>
      <c r="U1034" s="3" t="inlineStr">
        <is>
          <t>***** k地下C號舖</t>
        </is>
      </c>
      <c r="V1034" s="3" t="inlineStr">
        <is>
          <t>香港</t>
        </is>
      </c>
      <c r="W1034" s="3" t="inlineStr">
        <is>
          <t>塑料袋【小】/ 扎出</t>
        </is>
      </c>
      <c r="X1034" s="3" t="inlineStr">
        <is>
          <t>ESS-SFTS-OTMS</t>
        </is>
      </c>
      <c r="Y1034" s="3" t="n"/>
      <c r="Z1034" s="3" t="inlineStr"/>
      <c r="AA1034" s="3" t="inlineStr">
        <is>
          <t>寄付月結</t>
        </is>
      </c>
      <c r="AB1034">
        <f>IFERROR(VLOOKUP(Q1034&amp;"",對照表!$A:$B,1,FALSE),"")</f>
        <v/>
      </c>
      <c r="AC1034">
        <f>IFERROR(VLOOKUP(Q1034&amp;"",對照表!$A:$B,2,FALSE),"")</f>
        <v/>
      </c>
    </row>
    <row r="1035">
      <c r="A1035" s="3" t="inlineStr">
        <is>
          <t>SF5113427648695</t>
        </is>
      </c>
      <c r="B1035" s="3" t="n">
        <v>58435485630632</v>
      </c>
      <c r="C1035" s="3" t="inlineStr">
        <is>
          <t>已簽收</t>
        </is>
      </c>
      <c r="D1035" s="3" t="inlineStr">
        <is>
          <t>2026-07-06 16:10:50</t>
        </is>
      </c>
      <c r="E1035" s="3" t="inlineStr">
        <is>
          <t>2026-07-07 09:02</t>
        </is>
      </c>
      <c r="F1035" s="3" t="n">
        <v>29</v>
      </c>
      <c r="G1035" s="3" t="n">
        <v>2</v>
      </c>
      <c r="H1035" s="3" t="n"/>
      <c r="I1035" s="3" t="inlineStr"/>
      <c r="J1035" s="3" t="inlineStr">
        <is>
          <t>Keeta</t>
        </is>
      </c>
      <c r="K1035" s="3" t="inlineStr">
        <is>
          <t>****9568</t>
        </is>
      </c>
      <c r="L1035" s="3" t="n"/>
      <c r="M1035" s="3" t="inlineStr">
        <is>
          <t>***** 物流中心5樓</t>
        </is>
      </c>
      <c r="N1035" s="3" t="inlineStr">
        <is>
          <t>北区</t>
        </is>
      </c>
      <c r="O1035" s="3" t="inlineStr">
        <is>
          <t>香港</t>
        </is>
      </c>
      <c r="P1035" s="3" t="inlineStr">
        <is>
          <t>香港特别行政区</t>
        </is>
      </c>
      <c r="Q1035" s="3" t="n">
        <v>494425</v>
      </c>
      <c r="R1035" s="3" t="inlineStr">
        <is>
          <t>麥當勞(恆盛II)McDonalds</t>
        </is>
      </c>
      <c r="S1035" s="3" t="inlineStr">
        <is>
          <t>****27804073</t>
        </is>
      </c>
      <c r="T1035" s="3" t="inlineStr">
        <is>
          <t>****27804073</t>
        </is>
      </c>
      <c r="U1035" s="3" t="inlineStr">
        <is>
          <t>***** 大廈地下B舖</t>
        </is>
      </c>
      <c r="V1035" s="3" t="inlineStr">
        <is>
          <t>香港</t>
        </is>
      </c>
      <c r="W1035" s="3" t="inlineStr">
        <is>
          <t>纸袋【通版】/ 箱出</t>
        </is>
      </c>
      <c r="X1035" s="3" t="inlineStr">
        <is>
          <t>ESS-SFTS-OTMS</t>
        </is>
      </c>
      <c r="Y1035" s="3" t="n"/>
      <c r="Z1035" s="3" t="inlineStr"/>
      <c r="AA1035" s="3" t="inlineStr">
        <is>
          <t>寄付月結</t>
        </is>
      </c>
      <c r="AB1035">
        <f>IFERROR(VLOOKUP(Q1035&amp;"",對照表!$A:$B,1,FALSE),"")</f>
        <v/>
      </c>
      <c r="AC1035">
        <f>IFERROR(VLOOKUP(Q1035&amp;"",對照表!$A:$B,2,FALSE),"")</f>
        <v/>
      </c>
    </row>
    <row r="1036">
      <c r="A1036" s="3" t="inlineStr">
        <is>
          <t>SF5113427648728</t>
        </is>
      </c>
      <c r="B1036" s="3" t="n">
        <v>58435485630640</v>
      </c>
      <c r="C1036" s="3" t="inlineStr">
        <is>
          <t>已簽收</t>
        </is>
      </c>
      <c r="D1036" s="3" t="inlineStr">
        <is>
          <t>2026-07-06 17:08:35</t>
        </is>
      </c>
      <c r="E1036" s="3" t="inlineStr">
        <is>
          <t>2026-07-07 08:59</t>
        </is>
      </c>
      <c r="F1036" s="3" t="n">
        <v>3.64</v>
      </c>
      <c r="G1036" s="3" t="n">
        <v>1</v>
      </c>
      <c r="H1036" s="3" t="n"/>
      <c r="I1036" s="3" t="inlineStr"/>
      <c r="J1036" s="3" t="inlineStr">
        <is>
          <t>Keeta</t>
        </is>
      </c>
      <c r="K1036" s="3" t="inlineStr">
        <is>
          <t>****9568</t>
        </is>
      </c>
      <c r="L1036" s="3" t="n"/>
      <c r="M1036" s="3" t="inlineStr">
        <is>
          <t>***** 物流中心5樓</t>
        </is>
      </c>
      <c r="N1036" s="3" t="inlineStr">
        <is>
          <t>北区</t>
        </is>
      </c>
      <c r="O1036" s="3" t="inlineStr">
        <is>
          <t>香港</t>
        </is>
      </c>
      <c r="P1036" s="3" t="inlineStr">
        <is>
          <t>香港特别行政区</t>
        </is>
      </c>
      <c r="Q1036" s="3" t="n">
        <v>468136</v>
      </c>
      <c r="R1036" s="3" t="inlineStr">
        <is>
          <t>快樂蜂(國都大廈)Jollibee(MetropoleBuilding)</t>
        </is>
      </c>
      <c r="S1036" s="3" t="inlineStr">
        <is>
          <t>****27922838</t>
        </is>
      </c>
      <c r="T1036" s="3" t="inlineStr">
        <is>
          <t>****27922838</t>
        </is>
      </c>
      <c r="U1036" s="3" t="inlineStr">
        <is>
          <t>***** 國都大廈地庫</t>
        </is>
      </c>
      <c r="V1036" s="3" t="inlineStr">
        <is>
          <t>香港</t>
        </is>
      </c>
      <c r="W1036" s="3" t="inlineStr">
        <is>
          <t>机纸/小票纸 / 包出</t>
        </is>
      </c>
      <c r="X1036" s="3" t="inlineStr">
        <is>
          <t>ESS-SFTS-OTMS</t>
        </is>
      </c>
      <c r="Y1036" s="3" t="n"/>
      <c r="Z1036" s="3" t="inlineStr"/>
      <c r="AA1036" s="3" t="inlineStr">
        <is>
          <t>寄付月結</t>
        </is>
      </c>
      <c r="AB1036">
        <f>IFERROR(VLOOKUP(Q1036&amp;"",對照表!$A:$B,1,FALSE),"")</f>
        <v/>
      </c>
      <c r="AC1036">
        <f>IFERROR(VLOOKUP(Q1036&amp;"",對照表!$A:$B,2,FALSE),"")</f>
        <v/>
      </c>
    </row>
    <row r="1037">
      <c r="A1037" s="3" t="inlineStr">
        <is>
          <t>SF5113427648773</t>
        </is>
      </c>
      <c r="B1037" s="3" t="n">
        <v>58435485630651</v>
      </c>
      <c r="C1037" s="3" t="inlineStr">
        <is>
          <t>已簽收</t>
        </is>
      </c>
      <c r="D1037" s="3" t="inlineStr">
        <is>
          <t>2026-07-06 16:10:38</t>
        </is>
      </c>
      <c r="E1037" s="3" t="inlineStr">
        <is>
          <t>2026-07-07 10:21</t>
        </is>
      </c>
      <c r="F1037" s="3" t="n">
        <v>29</v>
      </c>
      <c r="G1037" s="3" t="n">
        <v>2</v>
      </c>
      <c r="H1037" s="3" t="n"/>
      <c r="I1037" s="3" t="inlineStr"/>
      <c r="J1037" s="3" t="inlineStr">
        <is>
          <t>Keeta</t>
        </is>
      </c>
      <c r="K1037" s="3" t="inlineStr">
        <is>
          <t>****9568</t>
        </is>
      </c>
      <c r="L1037" s="3" t="n"/>
      <c r="M1037" s="3" t="inlineStr">
        <is>
          <t>***** 物流中心5樓</t>
        </is>
      </c>
      <c r="N1037" s="3" t="inlineStr">
        <is>
          <t>北区</t>
        </is>
      </c>
      <c r="O1037" s="3" t="inlineStr">
        <is>
          <t>香港</t>
        </is>
      </c>
      <c r="P1037" s="3" t="inlineStr">
        <is>
          <t>香港特别行政区</t>
        </is>
      </c>
      <c r="Q1037" s="3" t="n">
        <v>471376</v>
      </c>
      <c r="R1037" s="3" t="inlineStr">
        <is>
          <t>麥當勞（紅磡灣中心）McDonalds</t>
        </is>
      </c>
      <c r="S1037" s="3" t="inlineStr">
        <is>
          <t>****23622034</t>
        </is>
      </c>
      <c r="T1037" s="3" t="inlineStr">
        <is>
          <t>****23622034</t>
        </is>
      </c>
      <c r="U1037" s="3" t="inlineStr">
        <is>
          <t>***** 心地下8號舖</t>
        </is>
      </c>
      <c r="V1037" s="3" t="inlineStr">
        <is>
          <t>香港</t>
        </is>
      </c>
      <c r="W1037" s="3" t="inlineStr">
        <is>
          <t>纸袋【通版】/ 箱出</t>
        </is>
      </c>
      <c r="X1037" s="3" t="inlineStr">
        <is>
          <t>ESS-SFTS-OTMS</t>
        </is>
      </c>
      <c r="Y1037" s="3" t="n"/>
      <c r="Z1037" s="3" t="inlineStr"/>
      <c r="AA1037" s="3" t="inlineStr">
        <is>
          <t>寄付月結</t>
        </is>
      </c>
      <c r="AB1037">
        <f>IFERROR(VLOOKUP(Q1037&amp;"",對照表!$A:$B,1,FALSE),"")</f>
        <v/>
      </c>
      <c r="AC1037">
        <f>IFERROR(VLOOKUP(Q1037&amp;"",對照表!$A:$B,2,FALSE),"")</f>
        <v/>
      </c>
    </row>
    <row r="1038">
      <c r="A1038" s="3" t="inlineStr">
        <is>
          <t>SF5113427648464</t>
        </is>
      </c>
      <c r="B1038" s="3" t="n">
        <v>58435485630579</v>
      </c>
      <c r="C1038" s="3" t="inlineStr">
        <is>
          <t>已簽收</t>
        </is>
      </c>
      <c r="D1038" s="3" t="inlineStr">
        <is>
          <t>2026-07-06 16:10:47</t>
        </is>
      </c>
      <c r="E1038" s="3" t="inlineStr">
        <is>
          <t>2026-07-07 12:02</t>
        </is>
      </c>
      <c r="F1038" s="3" t="n">
        <v>29</v>
      </c>
      <c r="G1038" s="3" t="n">
        <v>2</v>
      </c>
      <c r="H1038" s="3" t="n"/>
      <c r="I1038" s="3" t="inlineStr"/>
      <c r="J1038" s="3" t="inlineStr">
        <is>
          <t>Keeta</t>
        </is>
      </c>
      <c r="K1038" s="3" t="inlineStr">
        <is>
          <t>****9568</t>
        </is>
      </c>
      <c r="L1038" s="3" t="n"/>
      <c r="M1038" s="3" t="inlineStr">
        <is>
          <t>***** 物流中心5樓</t>
        </is>
      </c>
      <c r="N1038" s="3" t="inlineStr">
        <is>
          <t>北区</t>
        </is>
      </c>
      <c r="O1038" s="3" t="inlineStr">
        <is>
          <t>香港</t>
        </is>
      </c>
      <c r="P1038" s="3" t="inlineStr">
        <is>
          <t>香港特别行政区</t>
        </is>
      </c>
      <c r="Q1038" s="3" t="n">
        <v>573224</v>
      </c>
      <c r="R1038" s="3" t="inlineStr">
        <is>
          <t>麥當勞(置富嘉湖II)McDonalds</t>
        </is>
      </c>
      <c r="S1038" s="3" t="inlineStr">
        <is>
          <t>****26174329</t>
        </is>
      </c>
      <c r="T1038" s="3" t="inlineStr">
        <is>
          <t>****26174329</t>
        </is>
      </c>
      <c r="U1038" s="3" t="inlineStr">
        <is>
          <t>***** 座區G57A</t>
        </is>
      </c>
      <c r="V1038" s="3" t="inlineStr">
        <is>
          <t>香港</t>
        </is>
      </c>
      <c r="W1038" s="3" t="inlineStr">
        <is>
          <t>纸袋【通版】/ 箱出</t>
        </is>
      </c>
      <c r="X1038" s="3" t="inlineStr">
        <is>
          <t>ESS-SFTS-OTMS</t>
        </is>
      </c>
      <c r="Y1038" s="3" t="n"/>
      <c r="Z1038" s="3" t="inlineStr"/>
      <c r="AA1038" s="3" t="inlineStr">
        <is>
          <t>寄付月結</t>
        </is>
      </c>
      <c r="AB1038">
        <f>IFERROR(VLOOKUP(Q1038&amp;"",對照表!$A:$B,1,FALSE),"")</f>
        <v/>
      </c>
      <c r="AC1038">
        <f>IFERROR(VLOOKUP(Q1038&amp;"",對照表!$A:$B,2,FALSE),"")</f>
        <v/>
      </c>
    </row>
    <row r="1039">
      <c r="A1039" s="3" t="inlineStr">
        <is>
          <t>SF5113427648368</t>
        </is>
      </c>
      <c r="B1039" s="3" t="n">
        <v>58435485630555</v>
      </c>
      <c r="C1039" s="3" t="inlineStr">
        <is>
          <t>已簽收</t>
        </is>
      </c>
      <c r="D1039" s="3" t="inlineStr">
        <is>
          <t>2026-07-06 17:16:07</t>
        </is>
      </c>
      <c r="E1039" s="3" t="inlineStr">
        <is>
          <t>2026-07-07 11:59</t>
        </is>
      </c>
      <c r="F1039" s="3" t="n">
        <v>1</v>
      </c>
      <c r="G1039" s="3" t="n">
        <v>1</v>
      </c>
      <c r="H1039" s="3" t="n"/>
      <c r="I1039" s="3" t="inlineStr"/>
      <c r="J1039" s="3" t="inlineStr">
        <is>
          <t>Keeta</t>
        </is>
      </c>
      <c r="K1039" s="3" t="inlineStr">
        <is>
          <t>****9568</t>
        </is>
      </c>
      <c r="L1039" s="3" t="n"/>
      <c r="M1039" s="3" t="inlineStr">
        <is>
          <t>***** 物流中心5樓</t>
        </is>
      </c>
      <c r="N1039" s="3" t="inlineStr">
        <is>
          <t>北区</t>
        </is>
      </c>
      <c r="O1039" s="3" t="inlineStr">
        <is>
          <t>香港</t>
        </is>
      </c>
      <c r="P1039" s="3" t="inlineStr">
        <is>
          <t>香港特别行政区</t>
        </is>
      </c>
      <c r="Q1039" s="3" t="n">
        <v>721531390</v>
      </c>
      <c r="R1039" s="3" t="inlineStr">
        <is>
          <t>越南法式麵包</t>
        </is>
      </c>
      <c r="S1039" s="3" t="inlineStr">
        <is>
          <t>****6668</t>
        </is>
      </c>
      <c r="T1039" s="3" t="inlineStr">
        <is>
          <t>****6668</t>
        </is>
      </c>
      <c r="U1039" s="3" t="inlineStr">
        <is>
          <t>***** 下41C號鋪</t>
        </is>
      </c>
      <c r="V1039" s="3" t="inlineStr">
        <is>
          <t>香港</t>
        </is>
      </c>
      <c r="W1039" s="3" t="inlineStr">
        <is>
          <t>翻新POS机【真唯】/ 件出</t>
        </is>
      </c>
      <c r="X1039" s="3" t="inlineStr">
        <is>
          <t>ESS-SFTS-OTMS</t>
        </is>
      </c>
      <c r="Y1039" s="3" t="n"/>
      <c r="Z1039" s="3" t="inlineStr"/>
      <c r="AA1039" s="3" t="inlineStr">
        <is>
          <t>寄付月結</t>
        </is>
      </c>
      <c r="AB1039">
        <f>IFERROR(VLOOKUP(Q1039&amp;"",對照表!$A:$B,1,FALSE),"")</f>
        <v/>
      </c>
      <c r="AC1039">
        <f>IFERROR(VLOOKUP(Q1039&amp;"",對照表!$A:$B,2,FALSE),"")</f>
        <v/>
      </c>
    </row>
    <row r="1040">
      <c r="A1040" s="3" t="inlineStr">
        <is>
          <t>SF5113427648700</t>
        </is>
      </c>
      <c r="B1040" s="3" t="n">
        <v>58435485630635</v>
      </c>
      <c r="C1040" s="3" t="inlineStr">
        <is>
          <t>已簽收</t>
        </is>
      </c>
      <c r="D1040" s="3" t="inlineStr">
        <is>
          <t>2026-07-06 17:15:07</t>
        </is>
      </c>
      <c r="E1040" s="3" t="inlineStr">
        <is>
          <t>2026-07-07 10:42</t>
        </is>
      </c>
      <c r="F1040" s="3" t="n">
        <v>1</v>
      </c>
      <c r="G1040" s="3" t="n">
        <v>1</v>
      </c>
      <c r="H1040" s="3" t="n"/>
      <c r="I1040" s="3" t="inlineStr"/>
      <c r="J1040" s="3" t="inlineStr">
        <is>
          <t>Keeta</t>
        </is>
      </c>
      <c r="K1040" s="3" t="inlineStr">
        <is>
          <t>****9568</t>
        </is>
      </c>
      <c r="L1040" s="3" t="n"/>
      <c r="M1040" s="3" t="inlineStr">
        <is>
          <t>***** 物流中心5樓</t>
        </is>
      </c>
      <c r="N1040" s="3" t="inlineStr">
        <is>
          <t>北区</t>
        </is>
      </c>
      <c r="O1040" s="3" t="inlineStr">
        <is>
          <t>香港</t>
        </is>
      </c>
      <c r="P1040" s="3" t="inlineStr">
        <is>
          <t>香港特别行政区</t>
        </is>
      </c>
      <c r="Q1040" s="3" t="n">
        <v>474683</v>
      </c>
      <c r="R1040" s="3" t="inlineStr">
        <is>
          <t>富記燒味</t>
        </is>
      </c>
      <c r="S1040" s="3" t="inlineStr">
        <is>
          <t>****69033085</t>
        </is>
      </c>
      <c r="T1040" s="3" t="inlineStr">
        <is>
          <t>****69033085</t>
        </is>
      </c>
      <c r="U1040" s="3" t="inlineStr">
        <is>
          <t>***** 和街109號</t>
        </is>
      </c>
      <c r="V1040" s="3" t="inlineStr">
        <is>
          <t>香港</t>
        </is>
      </c>
      <c r="W1040" s="3" t="inlineStr">
        <is>
          <t>翻新POS机【真唯】/ 件出</t>
        </is>
      </c>
      <c r="X1040" s="3" t="inlineStr">
        <is>
          <t>ESS-SFTS-OTMS</t>
        </is>
      </c>
      <c r="Y1040" s="3" t="n"/>
      <c r="Z1040" s="3" t="inlineStr"/>
      <c r="AA1040" s="3" t="inlineStr">
        <is>
          <t>寄付月結</t>
        </is>
      </c>
      <c r="AB1040">
        <f>IFERROR(VLOOKUP(Q1040&amp;"",對照表!$A:$B,1,FALSE),"")</f>
        <v/>
      </c>
      <c r="AC1040">
        <f>IFERROR(VLOOKUP(Q1040&amp;"",對照表!$A:$B,2,FALSE),"")</f>
        <v/>
      </c>
    </row>
    <row r="1041">
      <c r="A1041" s="3" t="inlineStr">
        <is>
          <t>SF5113427648746</t>
        </is>
      </c>
      <c r="B1041" s="3" t="n">
        <v>58435485630644</v>
      </c>
      <c r="C1041" s="3" t="inlineStr">
        <is>
          <t>已簽收</t>
        </is>
      </c>
      <c r="D1041" s="3" t="inlineStr">
        <is>
          <t>2026-07-06 16:45:47</t>
        </is>
      </c>
      <c r="E1041" s="3" t="inlineStr">
        <is>
          <t>2026-07-07 15:02</t>
        </is>
      </c>
      <c r="F1041" s="3" t="n">
        <v>0.67</v>
      </c>
      <c r="G1041" s="3" t="n">
        <v>1</v>
      </c>
      <c r="H1041" s="3" t="n"/>
      <c r="I1041" s="3" t="inlineStr"/>
      <c r="J1041" s="3" t="inlineStr">
        <is>
          <t>Keeta</t>
        </is>
      </c>
      <c r="K1041" s="3" t="inlineStr">
        <is>
          <t>****9568</t>
        </is>
      </c>
      <c r="L1041" s="3" t="n"/>
      <c r="M1041" s="3" t="inlineStr">
        <is>
          <t>***** 物流中心5樓</t>
        </is>
      </c>
      <c r="N1041" s="3" t="inlineStr">
        <is>
          <t>北区</t>
        </is>
      </c>
      <c r="O1041" s="3" t="inlineStr">
        <is>
          <t>香港</t>
        </is>
      </c>
      <c r="P1041" s="3" t="inlineStr">
        <is>
          <t>香港特别行政区</t>
        </is>
      </c>
      <c r="Q1041" s="3" t="n">
        <v>468944</v>
      </c>
      <c r="R1041" s="3" t="inlineStr">
        <is>
          <t>富都茶餐廳(大壩街)限時優惠常餐59起</t>
        </is>
      </c>
      <c r="S1041" s="3" t="inlineStr">
        <is>
          <t>****93105375</t>
        </is>
      </c>
      <c r="T1041" s="3" t="inlineStr">
        <is>
          <t>****93105375</t>
        </is>
      </c>
      <c r="U1041" s="3" t="inlineStr">
        <is>
          <t>***** 街57號地舖</t>
        </is>
      </c>
      <c r="V1041" s="3" t="inlineStr">
        <is>
          <t>香港</t>
        </is>
      </c>
      <c r="W1041" s="3" t="inlineStr">
        <is>
          <t>机纸/小票纸 / 包出</t>
        </is>
      </c>
      <c r="X1041" s="3" t="inlineStr">
        <is>
          <t>ESS-SFTS-OTMS</t>
        </is>
      </c>
      <c r="Y1041" s="3" t="n"/>
      <c r="Z1041" s="3" t="inlineStr"/>
      <c r="AA1041" s="3" t="inlineStr">
        <is>
          <t>寄付月結</t>
        </is>
      </c>
      <c r="AB1041">
        <f>IFERROR(VLOOKUP(Q1041&amp;"",對照表!$A:$B,1,FALSE),"")</f>
        <v/>
      </c>
      <c r="AC1041">
        <f>IFERROR(VLOOKUP(Q1041&amp;"",對照表!$A:$B,2,FALSE),"")</f>
        <v/>
      </c>
    </row>
    <row r="1042">
      <c r="A1042" s="3" t="inlineStr">
        <is>
          <t>SF5113427648816</t>
        </is>
      </c>
      <c r="B1042" s="3" t="n">
        <v>58435485630663</v>
      </c>
      <c r="C1042" s="3" t="inlineStr">
        <is>
          <t>已簽收</t>
        </is>
      </c>
      <c r="D1042" s="3" t="inlineStr">
        <is>
          <t>2026-07-06 16:07:03</t>
        </is>
      </c>
      <c r="E1042" s="3" t="inlineStr">
        <is>
          <t>2026-07-07 13:59</t>
        </is>
      </c>
      <c r="F1042" s="3" t="n">
        <v>4.45</v>
      </c>
      <c r="G1042" s="3" t="n">
        <v>1</v>
      </c>
      <c r="H1042" s="3" t="n"/>
      <c r="I1042" s="3" t="inlineStr"/>
      <c r="J1042" s="3" t="inlineStr">
        <is>
          <t>Keeta</t>
        </is>
      </c>
      <c r="K1042" s="3" t="inlineStr">
        <is>
          <t>****9568</t>
        </is>
      </c>
      <c r="L1042" s="3" t="n"/>
      <c r="M1042" s="3" t="inlineStr">
        <is>
          <t>***** 物流中心5樓</t>
        </is>
      </c>
      <c r="N1042" s="3" t="inlineStr">
        <is>
          <t>北区</t>
        </is>
      </c>
      <c r="O1042" s="3" t="inlineStr">
        <is>
          <t>香港</t>
        </is>
      </c>
      <c r="P1042" s="3" t="inlineStr">
        <is>
          <t>香港特别行政区</t>
        </is>
      </c>
      <c r="Q1042" s="3" t="n">
        <v>468413</v>
      </c>
      <c r="R1042" s="3" t="inlineStr">
        <is>
          <t>喵仔記小食常餐買一送一進行中喵</t>
        </is>
      </c>
      <c r="S1042" s="3" t="inlineStr">
        <is>
          <t>****96837140</t>
        </is>
      </c>
      <c r="T1042" s="3" t="inlineStr">
        <is>
          <t>****96837140</t>
        </is>
      </c>
      <c r="U1042" s="3" t="inlineStr">
        <is>
          <t>***** 座地下38號</t>
        </is>
      </c>
      <c r="V1042" s="3" t="inlineStr">
        <is>
          <t>香港</t>
        </is>
      </c>
      <c r="W1042" s="3" t="inlineStr">
        <is>
          <t>机纸/小票纸 / 包出</t>
        </is>
      </c>
      <c r="X1042" s="3" t="inlineStr">
        <is>
          <t>ESS-SFTS-OTMS</t>
        </is>
      </c>
      <c r="Y1042" s="3" t="n"/>
      <c r="Z1042" s="3" t="inlineStr"/>
      <c r="AA1042" s="3" t="inlineStr">
        <is>
          <t>寄付月結</t>
        </is>
      </c>
      <c r="AB1042">
        <f>IFERROR(VLOOKUP(Q1042&amp;"",對照表!$A:$B,1,FALSE),"")</f>
        <v/>
      </c>
      <c r="AC1042">
        <f>IFERROR(VLOOKUP(Q1042&amp;"",對照表!$A:$B,2,FALSE),"")</f>
        <v/>
      </c>
    </row>
    <row r="1043">
      <c r="A1043" s="3" t="inlineStr">
        <is>
          <t>SF5113427648959</t>
        </is>
      </c>
      <c r="B1043" s="3" t="n">
        <v>58435485630702</v>
      </c>
      <c r="C1043" s="3" t="inlineStr">
        <is>
          <t>已簽收</t>
        </is>
      </c>
      <c r="D1043" s="3" t="inlineStr">
        <is>
          <t>2026-07-06 16:06:58</t>
        </is>
      </c>
      <c r="E1043" s="3" t="inlineStr">
        <is>
          <t>2026-07-07 08:51</t>
        </is>
      </c>
      <c r="F1043" s="3" t="n">
        <v>4.45</v>
      </c>
      <c r="G1043" s="3" t="n">
        <v>1</v>
      </c>
      <c r="H1043" s="3" t="n"/>
      <c r="I1043" s="3" t="inlineStr"/>
      <c r="J1043" s="3" t="inlineStr">
        <is>
          <t>Keeta</t>
        </is>
      </c>
      <c r="K1043" s="3" t="inlineStr">
        <is>
          <t>****9568</t>
        </is>
      </c>
      <c r="L1043" s="3" t="n"/>
      <c r="M1043" s="3" t="inlineStr">
        <is>
          <t>***** 物流中心5樓</t>
        </is>
      </c>
      <c r="N1043" s="3" t="inlineStr">
        <is>
          <t>北区</t>
        </is>
      </c>
      <c r="O1043" s="3" t="inlineStr">
        <is>
          <t>香港</t>
        </is>
      </c>
      <c r="P1043" s="3" t="inlineStr">
        <is>
          <t>香港特别行政区</t>
        </is>
      </c>
      <c r="Q1043" s="3" t="n">
        <v>721437317</v>
      </c>
      <c r="R1043" s="3" t="inlineStr">
        <is>
          <t>珍珍泰國菜x北京烤鴨（京膳鴨）</t>
        </is>
      </c>
      <c r="S1043" s="3" t="inlineStr">
        <is>
          <t>****51977669</t>
        </is>
      </c>
      <c r="T1043" s="3" t="inlineStr">
        <is>
          <t>****51977669</t>
        </is>
      </c>
      <c r="U1043" s="3" t="inlineStr">
        <is>
          <t>***** 廈9樓A及C</t>
        </is>
      </c>
      <c r="V1043" s="3" t="inlineStr">
        <is>
          <t>香港</t>
        </is>
      </c>
      <c r="W1043" s="3" t="inlineStr">
        <is>
          <t>机纸/小票纸 / 包出</t>
        </is>
      </c>
      <c r="X1043" s="3" t="inlineStr">
        <is>
          <t>ESS-SFTS-OTMS</t>
        </is>
      </c>
      <c r="Y1043" s="3" t="n"/>
      <c r="Z1043" s="3" t="inlineStr"/>
      <c r="AA1043" s="3" t="inlineStr">
        <is>
          <t>寄付月結</t>
        </is>
      </c>
      <c r="AB1043">
        <f>IFERROR(VLOOKUP(Q1043&amp;"",對照表!$A:$B,1,FALSE),"")</f>
        <v/>
      </c>
      <c r="AC1043">
        <f>IFERROR(VLOOKUP(Q1043&amp;"",對照表!$A:$B,2,FALSE),"")</f>
        <v/>
      </c>
    </row>
    <row r="1044">
      <c r="A1044" s="3" t="inlineStr">
        <is>
          <t>SF5113427648659</t>
        </is>
      </c>
      <c r="B1044" s="3" t="n">
        <v>58435485630618</v>
      </c>
      <c r="C1044" s="3" t="inlineStr">
        <is>
          <t>已簽收</t>
        </is>
      </c>
      <c r="D1044" s="3" t="inlineStr">
        <is>
          <t>2026-07-06 16:07:02</t>
        </is>
      </c>
      <c r="E1044" s="3" t="inlineStr">
        <is>
          <t>2026-07-07 10:10</t>
        </is>
      </c>
      <c r="F1044" s="3" t="n">
        <v>4.45</v>
      </c>
      <c r="G1044" s="3" t="n">
        <v>1</v>
      </c>
      <c r="H1044" s="3" t="n"/>
      <c r="I1044" s="3" t="inlineStr"/>
      <c r="J1044" s="3" t="inlineStr">
        <is>
          <t>Keeta</t>
        </is>
      </c>
      <c r="K1044" s="3" t="inlineStr">
        <is>
          <t>****9568</t>
        </is>
      </c>
      <c r="L1044" s="3" t="n"/>
      <c r="M1044" s="3" t="inlineStr">
        <is>
          <t>***** 物流中心5樓</t>
        </is>
      </c>
      <c r="N1044" s="3" t="inlineStr">
        <is>
          <t>北区</t>
        </is>
      </c>
      <c r="O1044" s="3" t="inlineStr">
        <is>
          <t>香港</t>
        </is>
      </c>
      <c r="P1044" s="3" t="inlineStr">
        <is>
          <t>香港特别行政区</t>
        </is>
      </c>
      <c r="Q1044" s="3" t="n">
        <v>614789</v>
      </c>
      <c r="R1044" s="3" t="inlineStr">
        <is>
          <t>逸東餃子（大埔）</t>
        </is>
      </c>
      <c r="S1044" s="3" t="inlineStr">
        <is>
          <t>****26572656</t>
        </is>
      </c>
      <c r="T1044" s="3" t="inlineStr">
        <is>
          <t>****26572656</t>
        </is>
      </c>
      <c r="U1044" s="3" t="inlineStr">
        <is>
          <t>***** 閣地下E號舖</t>
        </is>
      </c>
      <c r="V1044" s="3" t="inlineStr">
        <is>
          <t>香港</t>
        </is>
      </c>
      <c r="W1044" s="3" t="inlineStr">
        <is>
          <t>机纸/小票纸 / 包出</t>
        </is>
      </c>
      <c r="X1044" s="3" t="inlineStr">
        <is>
          <t>ESS-SFTS-OTMS</t>
        </is>
      </c>
      <c r="Y1044" s="3" t="n"/>
      <c r="Z1044" s="3" t="inlineStr"/>
      <c r="AA1044" s="3" t="inlineStr">
        <is>
          <t>寄付月結</t>
        </is>
      </c>
      <c r="AB1044">
        <f>IFERROR(VLOOKUP(Q1044&amp;"",對照表!$A:$B,1,FALSE),"")</f>
        <v/>
      </c>
      <c r="AC1044">
        <f>IFERROR(VLOOKUP(Q1044&amp;"",對照表!$A:$B,2,FALSE),"")</f>
        <v/>
      </c>
    </row>
    <row r="1045">
      <c r="A1045" s="3" t="inlineStr">
        <is>
          <t>SF5113427648598</t>
        </is>
      </c>
      <c r="B1045" s="3" t="n">
        <v>58435485630609</v>
      </c>
      <c r="C1045" s="3" t="inlineStr">
        <is>
          <t>已簽收</t>
        </is>
      </c>
      <c r="D1045" s="3" t="inlineStr">
        <is>
          <t>2026-07-06 17:48:19</t>
        </is>
      </c>
      <c r="E1045" s="3" t="inlineStr">
        <is>
          <t>2026-07-07 13:11</t>
        </is>
      </c>
      <c r="F1045" s="3" t="n">
        <v>8</v>
      </c>
      <c r="G1045" s="3" t="n">
        <v>1</v>
      </c>
      <c r="H1045" s="3" t="n"/>
      <c r="I1045" s="3" t="inlineStr"/>
      <c r="J1045" s="3" t="inlineStr">
        <is>
          <t>Keeta</t>
        </is>
      </c>
      <c r="K1045" s="3" t="inlineStr">
        <is>
          <t>****9568</t>
        </is>
      </c>
      <c r="L1045" s="3" t="n"/>
      <c r="M1045" s="3" t="inlineStr">
        <is>
          <t>***** 物流中心5樓</t>
        </is>
      </c>
      <c r="N1045" s="3" t="inlineStr">
        <is>
          <t>北区</t>
        </is>
      </c>
      <c r="O1045" s="3" t="inlineStr">
        <is>
          <t>香港</t>
        </is>
      </c>
      <c r="P1045" s="3" t="inlineStr">
        <is>
          <t>香港特别行政区</t>
        </is>
      </c>
      <c r="Q1045" s="3" t="n">
        <v>491656</v>
      </c>
      <c r="R1045" s="3" t="inlineStr">
        <is>
          <t>日嚐慢煮生活(高質日本料理)</t>
        </is>
      </c>
      <c r="S1045" s="3" t="inlineStr">
        <is>
          <t>****66761236</t>
        </is>
      </c>
      <c r="T1045" s="3" t="inlineStr">
        <is>
          <t>****66761236</t>
        </is>
      </c>
      <c r="U1045" s="3" t="inlineStr">
        <is>
          <t>***** 院地下F號舖</t>
        </is>
      </c>
      <c r="V1045" s="3" t="inlineStr">
        <is>
          <t>香港</t>
        </is>
      </c>
      <c r="W1045" s="3" t="inlineStr">
        <is>
          <t>无纺布【规格二双杯】/ 箱出</t>
        </is>
      </c>
      <c r="X1045" s="3" t="inlineStr">
        <is>
          <t>ESS-SFTS-OTMS</t>
        </is>
      </c>
      <c r="Y1045" s="3" t="n"/>
      <c r="Z1045" s="3" t="inlineStr"/>
      <c r="AA1045" s="3" t="inlineStr">
        <is>
          <t>寄付月結</t>
        </is>
      </c>
      <c r="AB1045">
        <f>IFERROR(VLOOKUP(Q1045&amp;"",對照表!$A:$B,1,FALSE),"")</f>
        <v/>
      </c>
      <c r="AC1045">
        <f>IFERROR(VLOOKUP(Q1045&amp;"",對照表!$A:$B,2,FALSE),"")</f>
        <v/>
      </c>
    </row>
    <row r="1046">
      <c r="A1046" s="3" t="inlineStr">
        <is>
          <t>SF5113427648668</t>
        </is>
      </c>
      <c r="B1046" s="3" t="n">
        <v>58435485630625</v>
      </c>
      <c r="C1046" s="3" t="inlineStr">
        <is>
          <t>已簽收</t>
        </is>
      </c>
      <c r="D1046" s="3" t="inlineStr">
        <is>
          <t>2026-07-06 16:10:52</t>
        </is>
      </c>
      <c r="E1046" s="3" t="inlineStr">
        <is>
          <t>2026-07-07 11:51</t>
        </is>
      </c>
      <c r="F1046" s="3" t="n">
        <v>29</v>
      </c>
      <c r="G1046" s="3" t="n">
        <v>2</v>
      </c>
      <c r="H1046" s="3" t="n"/>
      <c r="I1046" s="3" t="inlineStr"/>
      <c r="J1046" s="3" t="inlineStr">
        <is>
          <t>Keeta</t>
        </is>
      </c>
      <c r="K1046" s="3" t="inlineStr">
        <is>
          <t>****9568</t>
        </is>
      </c>
      <c r="L1046" s="3" t="n"/>
      <c r="M1046" s="3" t="inlineStr">
        <is>
          <t>***** 物流中心5樓</t>
        </is>
      </c>
      <c r="N1046" s="3" t="inlineStr">
        <is>
          <t>北区</t>
        </is>
      </c>
      <c r="O1046" s="3" t="inlineStr">
        <is>
          <t>香港</t>
        </is>
      </c>
      <c r="P1046" s="3" t="inlineStr">
        <is>
          <t>香港特别行政区</t>
        </is>
      </c>
      <c r="Q1046" s="3" t="n">
        <v>458880</v>
      </c>
      <c r="R1046" s="3" t="inlineStr">
        <is>
          <t>麥當勞(TheSouthside)McDonalds</t>
        </is>
      </c>
      <c r="S1046" s="3" t="inlineStr">
        <is>
          <t>****23801378</t>
        </is>
      </c>
      <c r="T1046" s="3" t="inlineStr">
        <is>
          <t>****23801378</t>
        </is>
      </c>
      <c r="U1046" s="3" t="inlineStr">
        <is>
          <t>***** G01 號舖</t>
        </is>
      </c>
      <c r="V1046" s="3" t="inlineStr">
        <is>
          <t>香港</t>
        </is>
      </c>
      <c r="W1046" s="3" t="inlineStr">
        <is>
          <t>纸袋【通版】/ 箱出</t>
        </is>
      </c>
      <c r="X1046" s="3" t="inlineStr">
        <is>
          <t>ESS-SFTS-OTMS</t>
        </is>
      </c>
      <c r="Y1046" s="3" t="n"/>
      <c r="Z1046" s="3" t="inlineStr"/>
      <c r="AA1046" s="3" t="inlineStr">
        <is>
          <t>寄付月結</t>
        </is>
      </c>
      <c r="AB1046">
        <f>IFERROR(VLOOKUP(Q1046&amp;"",對照表!$A:$B,1,FALSE),"")</f>
        <v/>
      </c>
      <c r="AC1046">
        <f>IFERROR(VLOOKUP(Q1046&amp;"",對照表!$A:$B,2,FALSE),"")</f>
        <v/>
      </c>
    </row>
    <row r="1047">
      <c r="A1047" s="3" t="inlineStr">
        <is>
          <t>SF5113427648340</t>
        </is>
      </c>
      <c r="B1047" s="3" t="n">
        <v>58435485630551</v>
      </c>
      <c r="C1047" s="3" t="inlineStr">
        <is>
          <t>已簽收</t>
        </is>
      </c>
      <c r="D1047" s="3" t="inlineStr">
        <is>
          <t>2026-07-06 16:07:01</t>
        </is>
      </c>
      <c r="E1047" s="3" t="inlineStr">
        <is>
          <t>2026-07-07 18:18</t>
        </is>
      </c>
      <c r="F1047" s="3" t="n">
        <v>4.45</v>
      </c>
      <c r="G1047" s="3" t="n">
        <v>1</v>
      </c>
      <c r="H1047" s="3" t="n"/>
      <c r="I1047" s="3" t="inlineStr"/>
      <c r="J1047" s="3" t="inlineStr">
        <is>
          <t>Keeta</t>
        </is>
      </c>
      <c r="K1047" s="3" t="inlineStr">
        <is>
          <t>****9568</t>
        </is>
      </c>
      <c r="L1047" s="3" t="n"/>
      <c r="M1047" s="3" t="inlineStr">
        <is>
          <t>***** 物流中心5樓</t>
        </is>
      </c>
      <c r="N1047" s="3" t="inlineStr">
        <is>
          <t>北区</t>
        </is>
      </c>
      <c r="O1047" s="3" t="inlineStr">
        <is>
          <t>香港</t>
        </is>
      </c>
      <c r="P1047" s="3" t="inlineStr">
        <is>
          <t>香港特别行政区</t>
        </is>
      </c>
      <c r="Q1047" s="3" t="n">
        <v>573292</v>
      </c>
      <c r="R1047" s="3" t="inlineStr">
        <is>
          <t>太興(麗城)</t>
        </is>
      </c>
      <c r="S1047" s="3" t="inlineStr">
        <is>
          <t>****24938799</t>
        </is>
      </c>
      <c r="T1047" s="3" t="inlineStr">
        <is>
          <t>****24938799</t>
        </is>
      </c>
      <c r="U1047" s="3" t="inlineStr">
        <is>
          <t>***** 薈地下一號舖</t>
        </is>
      </c>
      <c r="V1047" s="3" t="inlineStr">
        <is>
          <t>香港</t>
        </is>
      </c>
      <c r="W1047" s="3" t="inlineStr">
        <is>
          <t>机纸/小票纸 / 包出</t>
        </is>
      </c>
      <c r="X1047" s="3" t="inlineStr">
        <is>
          <t>ESS-SFTS-OTMS</t>
        </is>
      </c>
      <c r="Y1047" s="3" t="n"/>
      <c r="Z1047" s="3" t="inlineStr"/>
      <c r="AA1047" s="3" t="inlineStr">
        <is>
          <t>寄付月結</t>
        </is>
      </c>
      <c r="AB1047">
        <f>IFERROR(VLOOKUP(Q1047&amp;"",對照表!$A:$B,1,FALSE),"")</f>
        <v/>
      </c>
      <c r="AC1047">
        <f>IFERROR(VLOOKUP(Q1047&amp;"",對照表!$A:$B,2,FALSE),"")</f>
        <v/>
      </c>
    </row>
    <row r="1048">
      <c r="A1048" s="3" t="inlineStr">
        <is>
          <t>SF5113427648216</t>
        </is>
      </c>
      <c r="B1048" s="3" t="n">
        <v>58435485630523</v>
      </c>
      <c r="C1048" s="3" t="inlineStr">
        <is>
          <t>已簽收</t>
        </is>
      </c>
      <c r="D1048" s="3" t="inlineStr">
        <is>
          <t>2026-07-06 16:03:12</t>
        </is>
      </c>
      <c r="E1048" s="3" t="inlineStr">
        <is>
          <t>2026-07-07 12:12</t>
        </is>
      </c>
      <c r="F1048" s="3" t="n">
        <v>4.45</v>
      </c>
      <c r="G1048" s="3" t="n">
        <v>1</v>
      </c>
      <c r="H1048" s="3" t="n"/>
      <c r="I1048" s="3" t="inlineStr"/>
      <c r="J1048" s="3" t="inlineStr">
        <is>
          <t>Keeta</t>
        </is>
      </c>
      <c r="K1048" s="3" t="inlineStr">
        <is>
          <t>****9568</t>
        </is>
      </c>
      <c r="L1048" s="3" t="n"/>
      <c r="M1048" s="3" t="inlineStr">
        <is>
          <t>***** 物流中心5樓</t>
        </is>
      </c>
      <c r="N1048" s="3" t="inlineStr">
        <is>
          <t>北区</t>
        </is>
      </c>
      <c r="O1048" s="3" t="inlineStr">
        <is>
          <t>香港</t>
        </is>
      </c>
      <c r="P1048" s="3" t="inlineStr">
        <is>
          <t>香港特别行政区</t>
        </is>
      </c>
      <c r="Q1048" s="3" t="n">
        <v>460383</v>
      </c>
      <c r="R1048" s="3" t="inlineStr">
        <is>
          <t>三津湯包（蒸飯茶點深水埗店）</t>
        </is>
      </c>
      <c r="S1048" s="3" t="inlineStr">
        <is>
          <t>****65791304</t>
        </is>
      </c>
      <c r="T1048" s="3" t="inlineStr">
        <is>
          <t>****65791304</t>
        </is>
      </c>
      <c r="U1048" s="3" t="inlineStr">
        <is>
          <t>***** 地下B及C鋪</t>
        </is>
      </c>
      <c r="V1048" s="3" t="inlineStr">
        <is>
          <t>香港</t>
        </is>
      </c>
      <c r="W1048" s="3" t="inlineStr">
        <is>
          <t>机纸/小票纸 / 包出</t>
        </is>
      </c>
      <c r="X1048" s="3" t="inlineStr">
        <is>
          <t>ESS-SFTS-OTMS</t>
        </is>
      </c>
      <c r="Y1048" s="3" t="n"/>
      <c r="Z1048" s="3" t="inlineStr"/>
      <c r="AA1048" s="3" t="inlineStr">
        <is>
          <t>寄付月結</t>
        </is>
      </c>
      <c r="AB1048">
        <f>IFERROR(VLOOKUP(Q1048&amp;"",對照表!$A:$B,1,FALSE),"")</f>
        <v/>
      </c>
      <c r="AC1048">
        <f>IFERROR(VLOOKUP(Q1048&amp;"",對照表!$A:$B,2,FALSE),"")</f>
        <v/>
      </c>
    </row>
    <row r="1049">
      <c r="A1049" s="3" t="inlineStr">
        <is>
          <t>SF5113427648755</t>
        </is>
      </c>
      <c r="B1049" s="3" t="n">
        <v>58435485630647</v>
      </c>
      <c r="C1049" s="3" t="inlineStr">
        <is>
          <t>已簽收</t>
        </is>
      </c>
      <c r="D1049" s="3" t="inlineStr">
        <is>
          <t>2026-07-06 16:10:42</t>
        </is>
      </c>
      <c r="E1049" s="3" t="inlineStr">
        <is>
          <t>2026-07-07 12:34</t>
        </is>
      </c>
      <c r="F1049" s="3" t="n">
        <v>29</v>
      </c>
      <c r="G1049" s="3" t="n">
        <v>2</v>
      </c>
      <c r="H1049" s="3" t="n"/>
      <c r="I1049" s="3" t="inlineStr"/>
      <c r="J1049" s="3" t="inlineStr">
        <is>
          <t>Keeta</t>
        </is>
      </c>
      <c r="K1049" s="3" t="inlineStr">
        <is>
          <t>****9568</t>
        </is>
      </c>
      <c r="L1049" s="3" t="n"/>
      <c r="M1049" s="3" t="inlineStr">
        <is>
          <t>***** 物流中心5樓</t>
        </is>
      </c>
      <c r="N1049" s="3" t="inlineStr">
        <is>
          <t>北区</t>
        </is>
      </c>
      <c r="O1049" s="3" t="inlineStr">
        <is>
          <t>香港</t>
        </is>
      </c>
      <c r="P1049" s="3" t="inlineStr">
        <is>
          <t>香港特别行政区</t>
        </is>
      </c>
      <c r="Q1049" s="3" t="n">
        <v>462068</v>
      </c>
      <c r="R1049" s="3" t="inlineStr">
        <is>
          <t>麥當勞(皇后山)McDonalds</t>
        </is>
      </c>
      <c r="S1049" s="3" t="inlineStr">
        <is>
          <t>****26872223</t>
        </is>
      </c>
      <c r="T1049" s="3" t="inlineStr">
        <is>
          <t>****26872223</t>
        </is>
      </c>
      <c r="U1049" s="3" t="inlineStr">
        <is>
          <t>***** 地下11號舖</t>
        </is>
      </c>
      <c r="V1049" s="3" t="inlineStr">
        <is>
          <t>香港</t>
        </is>
      </c>
      <c r="W1049" s="3" t="inlineStr">
        <is>
          <t>纸袋【通版】/ 箱出</t>
        </is>
      </c>
      <c r="X1049" s="3" t="inlineStr">
        <is>
          <t>ESS-SFTS-OTMS</t>
        </is>
      </c>
      <c r="Y1049" s="3" t="n"/>
      <c r="Z1049" s="3" t="inlineStr"/>
      <c r="AA1049" s="3" t="inlineStr">
        <is>
          <t>寄付月結</t>
        </is>
      </c>
      <c r="AB1049">
        <f>IFERROR(VLOOKUP(Q1049&amp;"",對照表!$A:$B,1,FALSE),"")</f>
        <v/>
      </c>
      <c r="AC1049">
        <f>IFERROR(VLOOKUP(Q1049&amp;"",對照表!$A:$B,2,FALSE),"")</f>
        <v/>
      </c>
    </row>
    <row r="1050">
      <c r="A1050" s="3" t="inlineStr">
        <is>
          <t>SF5113427648604</t>
        </is>
      </c>
      <c r="B1050" s="3" t="n">
        <v>58435485630612</v>
      </c>
      <c r="C1050" s="3" t="inlineStr">
        <is>
          <t>已簽收</t>
        </is>
      </c>
      <c r="D1050" s="3" t="inlineStr">
        <is>
          <t>2026-07-06 16:10:01</t>
        </is>
      </c>
      <c r="E1050" s="3" t="inlineStr">
        <is>
          <t>2026-07-07 16:34</t>
        </is>
      </c>
      <c r="F1050" s="3" t="n">
        <v>58</v>
      </c>
      <c r="G1050" s="3" t="n">
        <v>4</v>
      </c>
      <c r="H1050" s="3" t="n"/>
      <c r="I1050" s="3" t="inlineStr"/>
      <c r="J1050" s="3" t="inlineStr">
        <is>
          <t>Keeta</t>
        </is>
      </c>
      <c r="K1050" s="3" t="inlineStr">
        <is>
          <t>****9568</t>
        </is>
      </c>
      <c r="L1050" s="3" t="n"/>
      <c r="M1050" s="3" t="inlineStr">
        <is>
          <t>***** 物流中心5樓</t>
        </is>
      </c>
      <c r="N1050" s="3" t="inlineStr">
        <is>
          <t>北区</t>
        </is>
      </c>
      <c r="O1050" s="3" t="inlineStr">
        <is>
          <t>香港</t>
        </is>
      </c>
      <c r="P1050" s="3" t="inlineStr">
        <is>
          <t>香港特别行政区</t>
        </is>
      </c>
      <c r="Q1050" s="3" t="n">
        <v>471908</v>
      </c>
      <c r="R1050" s="3" t="inlineStr">
        <is>
          <t>麥當勞(元朗貿易中心)McDonalds</t>
        </is>
      </c>
      <c r="S1050" s="3" t="inlineStr">
        <is>
          <t>****24748088</t>
        </is>
      </c>
      <c r="T1050" s="3" t="inlineStr">
        <is>
          <t>****24748088</t>
        </is>
      </c>
      <c r="U1050" s="3" t="inlineStr">
        <is>
          <t>***** 舖及一樓二樓</t>
        </is>
      </c>
      <c r="V1050" s="3" t="inlineStr">
        <is>
          <t>香港</t>
        </is>
      </c>
      <c r="W1050" s="3" t="inlineStr">
        <is>
          <t>纸袋【通版】/ 箱出</t>
        </is>
      </c>
      <c r="X1050" s="3" t="inlineStr">
        <is>
          <t>ESS-SFTS-OTMS</t>
        </is>
      </c>
      <c r="Y1050" s="3" t="n"/>
      <c r="Z1050" s="3" t="inlineStr"/>
      <c r="AA1050" s="3" t="inlineStr">
        <is>
          <t>寄付月結</t>
        </is>
      </c>
      <c r="AB1050">
        <f>IFERROR(VLOOKUP(Q1050&amp;"",對照表!$A:$B,1,FALSE),"")</f>
        <v/>
      </c>
      <c r="AC1050">
        <f>IFERROR(VLOOKUP(Q1050&amp;"",對照表!$A:$B,2,FALSE),"")</f>
        <v/>
      </c>
    </row>
    <row r="1051">
      <c r="A1051" s="3" t="inlineStr">
        <is>
          <t>SF5113427648552</t>
        </is>
      </c>
      <c r="B1051" s="3" t="n">
        <v>58435485630601</v>
      </c>
      <c r="C1051" s="3" t="inlineStr">
        <is>
          <t>已簽收</t>
        </is>
      </c>
      <c r="D1051" s="3" t="inlineStr">
        <is>
          <t>2026-07-06 17:45:24</t>
        </is>
      </c>
      <c r="E1051" s="3" t="inlineStr">
        <is>
          <t>2026-07-07 13:09</t>
        </is>
      </c>
      <c r="F1051" s="3" t="n">
        <v>1.24</v>
      </c>
      <c r="G1051" s="3" t="n">
        <v>1</v>
      </c>
      <c r="H1051" s="3" t="n"/>
      <c r="I1051" s="3" t="inlineStr"/>
      <c r="J1051" s="3" t="inlineStr">
        <is>
          <t>Keeta</t>
        </is>
      </c>
      <c r="K1051" s="3" t="inlineStr">
        <is>
          <t>****9568</t>
        </is>
      </c>
      <c r="L1051" s="3" t="n"/>
      <c r="M1051" s="3" t="inlineStr">
        <is>
          <t>***** 物流中心5樓</t>
        </is>
      </c>
      <c r="N1051" s="3" t="inlineStr">
        <is>
          <t>北区</t>
        </is>
      </c>
      <c r="O1051" s="3" t="inlineStr">
        <is>
          <t>香港</t>
        </is>
      </c>
      <c r="P1051" s="3" t="inlineStr">
        <is>
          <t>香港特别行政区</t>
        </is>
      </c>
      <c r="Q1051" s="3" t="n">
        <v>483032</v>
      </c>
      <c r="R1051" s="3" t="inlineStr">
        <is>
          <t>GreyhoundCafe(又一城)</t>
        </is>
      </c>
      <c r="S1051" s="3" t="inlineStr">
        <is>
          <t>****23834838</t>
        </is>
      </c>
      <c r="T1051" s="3" t="inlineStr">
        <is>
          <t>****23834838</t>
        </is>
      </c>
      <c r="U1051" s="3" t="inlineStr">
        <is>
          <t>***** 2-42號舖</t>
        </is>
      </c>
      <c r="V1051" s="3" t="inlineStr">
        <is>
          <t>香港</t>
        </is>
      </c>
      <c r="W1051" s="3" t="inlineStr">
        <is>
          <t>塑料袋【小】/ 扎出</t>
        </is>
      </c>
      <c r="X1051" s="3" t="inlineStr">
        <is>
          <t>ESS-SFTS-OTMS</t>
        </is>
      </c>
      <c r="Y1051" s="3" t="n"/>
      <c r="Z1051" s="3" t="inlineStr"/>
      <c r="AA1051" s="3" t="inlineStr">
        <is>
          <t>寄付月結</t>
        </is>
      </c>
      <c r="AB1051">
        <f>IFERROR(VLOOKUP(Q1051&amp;"",對照表!$A:$B,1,FALSE),"")</f>
        <v/>
      </c>
      <c r="AC1051">
        <f>IFERROR(VLOOKUP(Q1051&amp;"",對照表!$A:$B,2,FALSE),"")</f>
        <v/>
      </c>
    </row>
    <row r="1052">
      <c r="A1052" s="3" t="inlineStr">
        <is>
          <t>SF5113427648613</t>
        </is>
      </c>
      <c r="B1052" s="3" t="n">
        <v>58435485630615</v>
      </c>
      <c r="C1052" s="3" t="inlineStr">
        <is>
          <t>已簽收</t>
        </is>
      </c>
      <c r="D1052" s="3" t="inlineStr">
        <is>
          <t>2026-07-06 17:13:04</t>
        </is>
      </c>
      <c r="E1052" s="3" t="inlineStr">
        <is>
          <t>2026-07-07 13:14</t>
        </is>
      </c>
      <c r="F1052" s="3" t="n">
        <v>5.04</v>
      </c>
      <c r="G1052" s="3" t="n">
        <v>1</v>
      </c>
      <c r="H1052" s="3" t="n"/>
      <c r="I1052" s="3" t="inlineStr"/>
      <c r="J1052" s="3" t="inlineStr">
        <is>
          <t>Keeta</t>
        </is>
      </c>
      <c r="K1052" s="3" t="inlineStr">
        <is>
          <t>****9568</t>
        </is>
      </c>
      <c r="L1052" s="3" t="n"/>
      <c r="M1052" s="3" t="inlineStr">
        <is>
          <t>***** 物流中心5樓</t>
        </is>
      </c>
      <c r="N1052" s="3" t="inlineStr">
        <is>
          <t>北区</t>
        </is>
      </c>
      <c r="O1052" s="3" t="inlineStr">
        <is>
          <t>香港</t>
        </is>
      </c>
      <c r="P1052" s="3" t="inlineStr">
        <is>
          <t>香港特别行政区</t>
        </is>
      </c>
      <c r="Q1052" s="3" t="n">
        <v>471494</v>
      </c>
      <c r="R1052" s="3" t="inlineStr">
        <is>
          <t>泰利（泰國風味餐廳）</t>
        </is>
      </c>
      <c r="S1052" s="3" t="inlineStr">
        <is>
          <t>****64388112</t>
        </is>
      </c>
      <c r="T1052" s="3" t="inlineStr">
        <is>
          <t>****64388112</t>
        </is>
      </c>
      <c r="U1052" s="3" t="inlineStr">
        <is>
          <t>***** 市地下5號舖</t>
        </is>
      </c>
      <c r="V1052" s="3" t="inlineStr">
        <is>
          <t>香港</t>
        </is>
      </c>
      <c r="W1052" s="3" t="inlineStr">
        <is>
          <t>翻新POS机【真唯】/ 件出, 机纸/小票纸 / 包出</t>
        </is>
      </c>
      <c r="X1052" s="3" t="inlineStr">
        <is>
          <t>ESS-SFTS-OTMS</t>
        </is>
      </c>
      <c r="Y1052" s="3" t="n"/>
      <c r="Z1052" s="3" t="inlineStr"/>
      <c r="AA1052" s="3" t="inlineStr">
        <is>
          <t>寄付月結</t>
        </is>
      </c>
      <c r="AB1052">
        <f>IFERROR(VLOOKUP(Q1052&amp;"",對照表!$A:$B,1,FALSE),"")</f>
        <v/>
      </c>
      <c r="AC1052">
        <f>IFERROR(VLOOKUP(Q1052&amp;"",對照表!$A:$B,2,FALSE),"")</f>
        <v/>
      </c>
    </row>
    <row r="1053">
      <c r="A1053" s="3" t="inlineStr">
        <is>
          <t>SF5113427648913</t>
        </is>
      </c>
      <c r="B1053" s="3" t="n">
        <v>58435485630688</v>
      </c>
      <c r="C1053" s="3" t="inlineStr">
        <is>
          <t>已簽收</t>
        </is>
      </c>
      <c r="D1053" s="3" t="inlineStr">
        <is>
          <t>2026-07-06 15:19:06</t>
        </is>
      </c>
      <c r="E1053" s="3" t="inlineStr">
        <is>
          <t>2026-07-07 12:03</t>
        </is>
      </c>
      <c r="F1053" s="3" t="n">
        <v>14.5</v>
      </c>
      <c r="G1053" s="3" t="n">
        <v>1</v>
      </c>
      <c r="H1053" s="3" t="n"/>
      <c r="I1053" s="3" t="inlineStr"/>
      <c r="J1053" s="3" t="inlineStr">
        <is>
          <t>Keeta</t>
        </is>
      </c>
      <c r="K1053" s="3" t="inlineStr">
        <is>
          <t>****9568</t>
        </is>
      </c>
      <c r="L1053" s="3" t="n"/>
      <c r="M1053" s="3" t="inlineStr">
        <is>
          <t>***** 物流中心5樓</t>
        </is>
      </c>
      <c r="N1053" s="3" t="inlineStr">
        <is>
          <t>北区</t>
        </is>
      </c>
      <c r="O1053" s="3" t="inlineStr">
        <is>
          <t>香港</t>
        </is>
      </c>
      <c r="P1053" s="3" t="inlineStr">
        <is>
          <t>香港特别行政区</t>
        </is>
      </c>
      <c r="Q1053" s="3" t="n">
        <v>721528408</v>
      </c>
      <c r="R1053" s="3" t="inlineStr">
        <is>
          <t>Lavazza（上環德輔道中308）</t>
        </is>
      </c>
      <c r="S1053" s="3" t="inlineStr">
        <is>
          <t>****7072235</t>
        </is>
      </c>
      <c r="T1053" s="3" t="inlineStr">
        <is>
          <t>****7072235</t>
        </is>
      </c>
      <c r="U1053" s="3" t="inlineStr">
        <is>
          <t>***** 地下1A號舖</t>
        </is>
      </c>
      <c r="V1053" s="3" t="inlineStr">
        <is>
          <t>香港</t>
        </is>
      </c>
      <c r="W1053" s="3" t="inlineStr">
        <is>
          <t>纸袋【通版】/ 箱出</t>
        </is>
      </c>
      <c r="X1053" s="3" t="inlineStr">
        <is>
          <t>ESS-SFTS-OTMS</t>
        </is>
      </c>
      <c r="Y1053" s="3" t="n"/>
      <c r="Z1053" s="3" t="inlineStr"/>
      <c r="AA1053" s="3" t="inlineStr">
        <is>
          <t>寄付月結</t>
        </is>
      </c>
      <c r="AB1053">
        <f>IFERROR(VLOOKUP(Q1053&amp;"",對照表!$A:$B,1,FALSE),"")</f>
        <v/>
      </c>
      <c r="AC1053">
        <f>IFERROR(VLOOKUP(Q1053&amp;"",對照表!$A:$B,2,FALSE),"")</f>
        <v/>
      </c>
    </row>
    <row r="1054">
      <c r="A1054" s="3" t="inlineStr">
        <is>
          <t>SF5113427648898</t>
        </is>
      </c>
      <c r="B1054" s="3" t="n">
        <v>58435485630684</v>
      </c>
      <c r="C1054" s="3" t="inlineStr">
        <is>
          <t>已簽收</t>
        </is>
      </c>
      <c r="D1054" s="3" t="inlineStr">
        <is>
          <t>2026-07-06 16:03:19</t>
        </is>
      </c>
      <c r="E1054" s="3" t="inlineStr">
        <is>
          <t>2026-07-07 11:34</t>
        </is>
      </c>
      <c r="F1054" s="3" t="n">
        <v>4.45</v>
      </c>
      <c r="G1054" s="3" t="n">
        <v>1</v>
      </c>
      <c r="H1054" s="3" t="n"/>
      <c r="I1054" s="3" t="inlineStr"/>
      <c r="J1054" s="3" t="inlineStr">
        <is>
          <t>Keeta</t>
        </is>
      </c>
      <c r="K1054" s="3" t="inlineStr">
        <is>
          <t>****9568</t>
        </is>
      </c>
      <c r="L1054" s="3" t="n"/>
      <c r="M1054" s="3" t="inlineStr">
        <is>
          <t>***** 物流中心5樓</t>
        </is>
      </c>
      <c r="N1054" s="3" t="inlineStr">
        <is>
          <t>北区</t>
        </is>
      </c>
      <c r="O1054" s="3" t="inlineStr">
        <is>
          <t>香港</t>
        </is>
      </c>
      <c r="P1054" s="3" t="inlineStr">
        <is>
          <t>香港特别行政区</t>
        </is>
      </c>
      <c r="Q1054" s="3" t="n">
        <v>453328</v>
      </c>
      <c r="R1054" s="3" t="inlineStr">
        <is>
          <t>栢檔(荔枝角)極品海南雞飯</t>
        </is>
      </c>
      <c r="S1054" s="3" t="inlineStr">
        <is>
          <t>****92345678</t>
        </is>
      </c>
      <c r="T1054" s="3" t="inlineStr">
        <is>
          <t>****92345678</t>
        </is>
      </c>
      <c r="U1054" s="3" t="inlineStr">
        <is>
          <t>***** 樓101號舖</t>
        </is>
      </c>
      <c r="V1054" s="3" t="inlineStr">
        <is>
          <t>香港</t>
        </is>
      </c>
      <c r="W1054" s="3" t="inlineStr">
        <is>
          <t>机纸/小票纸 / 包出</t>
        </is>
      </c>
      <c r="X1054" s="3" t="inlineStr">
        <is>
          <t>ESS-SFTS-OTMS</t>
        </is>
      </c>
      <c r="Y1054" s="3" t="n"/>
      <c r="Z1054" s="3" t="inlineStr"/>
      <c r="AA1054" s="3" t="inlineStr">
        <is>
          <t>寄付月結</t>
        </is>
      </c>
      <c r="AB1054">
        <f>IFERROR(VLOOKUP(Q1054&amp;"",對照表!$A:$B,1,FALSE),"")</f>
        <v/>
      </c>
      <c r="AC1054">
        <f>IFERROR(VLOOKUP(Q1054&amp;"",對照表!$A:$B,2,FALSE),"")</f>
        <v/>
      </c>
    </row>
    <row r="1055">
      <c r="A1055" s="3" t="inlineStr">
        <is>
          <t>SF5113427648852</t>
        </is>
      </c>
      <c r="B1055" s="3" t="n">
        <v>58435485630675</v>
      </c>
      <c r="C1055" s="3" t="inlineStr">
        <is>
          <t>已簽收</t>
        </is>
      </c>
      <c r="D1055" s="3" t="inlineStr">
        <is>
          <t>2026-07-06 15:19:04</t>
        </is>
      </c>
      <c r="E1055" s="3" t="inlineStr">
        <is>
          <t>2026-07-07 15:47</t>
        </is>
      </c>
      <c r="F1055" s="3" t="n">
        <v>14.5</v>
      </c>
      <c r="G1055" s="3" t="n">
        <v>1</v>
      </c>
      <c r="H1055" s="3" t="n"/>
      <c r="I1055" s="3" t="inlineStr"/>
      <c r="J1055" s="3" t="inlineStr">
        <is>
          <t>Keeta</t>
        </is>
      </c>
      <c r="K1055" s="3" t="inlineStr">
        <is>
          <t>****9568</t>
        </is>
      </c>
      <c r="L1055" s="3" t="n"/>
      <c r="M1055" s="3" t="inlineStr">
        <is>
          <t>***** 物流中心5樓</t>
        </is>
      </c>
      <c r="N1055" s="3" t="inlineStr">
        <is>
          <t>北区</t>
        </is>
      </c>
      <c r="O1055" s="3" t="inlineStr">
        <is>
          <t>香港</t>
        </is>
      </c>
      <c r="P1055" s="3" t="inlineStr">
        <is>
          <t>香港特别行政区</t>
        </is>
      </c>
      <c r="Q1055" s="3" t="n">
        <v>478121</v>
      </c>
      <c r="R1055" s="3" t="inlineStr">
        <is>
          <t>麥當勞(麗晶商場)McDonalds</t>
        </is>
      </c>
      <c r="S1055" s="3" t="inlineStr">
        <is>
          <t>****27590623</t>
        </is>
      </c>
      <c r="T1055" s="3" t="inlineStr">
        <is>
          <t>****27590623</t>
        </is>
      </c>
      <c r="U1055" s="3" t="inlineStr">
        <is>
          <t>***** 18-1號舖</t>
        </is>
      </c>
      <c r="V1055" s="3" t="inlineStr">
        <is>
          <t>香港</t>
        </is>
      </c>
      <c r="W1055" s="3" t="inlineStr">
        <is>
          <t>纸袋【通版】/ 箱出</t>
        </is>
      </c>
      <c r="X1055" s="3" t="inlineStr">
        <is>
          <t>ESS-SFTS-OTMS</t>
        </is>
      </c>
      <c r="Y1055" s="3" t="n"/>
      <c r="Z1055" s="3" t="inlineStr"/>
      <c r="AA1055" s="3" t="inlineStr">
        <is>
          <t>寄付月結</t>
        </is>
      </c>
      <c r="AB1055">
        <f>IFERROR(VLOOKUP(Q1055&amp;"",對照表!$A:$B,1,FALSE),"")</f>
        <v/>
      </c>
      <c r="AC1055">
        <f>IFERROR(VLOOKUP(Q1055&amp;"",對照表!$A:$B,2,FALSE),"")</f>
        <v/>
      </c>
    </row>
    <row r="1056">
      <c r="A1056" s="3" t="inlineStr">
        <is>
          <t>SF5113427648968</t>
        </is>
      </c>
      <c r="B1056" s="3" t="n">
        <v>58435485630706</v>
      </c>
      <c r="C1056" s="3" t="inlineStr">
        <is>
          <t>已簽收</t>
        </is>
      </c>
      <c r="D1056" s="3" t="inlineStr">
        <is>
          <t>2026-07-06 16:10:57</t>
        </is>
      </c>
      <c r="E1056" s="3" t="inlineStr">
        <is>
          <t>2026-07-06 20:40</t>
        </is>
      </c>
      <c r="F1056" s="3" t="n">
        <v>29</v>
      </c>
      <c r="G1056" s="3" t="n">
        <v>2</v>
      </c>
      <c r="H1056" s="3" t="n"/>
      <c r="I1056" s="3" t="inlineStr"/>
      <c r="J1056" s="3" t="inlineStr">
        <is>
          <t>Keeta</t>
        </is>
      </c>
      <c r="K1056" s="3" t="inlineStr">
        <is>
          <t>****9568</t>
        </is>
      </c>
      <c r="L1056" s="3" t="n"/>
      <c r="M1056" s="3" t="inlineStr">
        <is>
          <t>***** 物流中心5樓</t>
        </is>
      </c>
      <c r="N1056" s="3" t="inlineStr">
        <is>
          <t>北区</t>
        </is>
      </c>
      <c r="O1056" s="3" t="inlineStr">
        <is>
          <t>香港</t>
        </is>
      </c>
      <c r="P1056" s="3" t="inlineStr">
        <is>
          <t>香港特别行政区</t>
        </is>
      </c>
      <c r="Q1056" s="3" t="n">
        <v>678445</v>
      </c>
      <c r="R1056" s="3" t="inlineStr">
        <is>
          <t>添好運（奧海城）</t>
        </is>
      </c>
      <c r="S1056" s="3" t="inlineStr">
        <is>
          <t>****23322896</t>
        </is>
      </c>
      <c r="T1056" s="3" t="inlineStr">
        <is>
          <t>****23322896</t>
        </is>
      </c>
      <c r="U1056" s="3" t="inlineStr">
        <is>
          <t>***** 72A-C舖</t>
        </is>
      </c>
      <c r="V1056" s="3" t="inlineStr">
        <is>
          <t>香港</t>
        </is>
      </c>
      <c r="W1056" s="3" t="inlineStr">
        <is>
          <t>纸袋【通版】/ 箱出</t>
        </is>
      </c>
      <c r="X1056" s="3" t="inlineStr">
        <is>
          <t>ESS-SFTS-OTMS</t>
        </is>
      </c>
      <c r="Y1056" s="3" t="n"/>
      <c r="Z1056" s="3" t="inlineStr"/>
      <c r="AA1056" s="3" t="inlineStr">
        <is>
          <t>寄付月結</t>
        </is>
      </c>
      <c r="AB1056">
        <f>IFERROR(VLOOKUP(Q1056&amp;"",對照表!$A:$B,1,FALSE),"")</f>
        <v/>
      </c>
      <c r="AC1056">
        <f>IFERROR(VLOOKUP(Q1056&amp;"",對照表!$A:$B,2,FALSE),"")</f>
        <v/>
      </c>
    </row>
    <row r="1057">
      <c r="A1057" s="3" t="inlineStr">
        <is>
          <t>SF5113427648182</t>
        </is>
      </c>
      <c r="B1057" s="3" t="n">
        <v>58435485630517</v>
      </c>
      <c r="C1057" s="3" t="inlineStr">
        <is>
          <t>已簽收</t>
        </is>
      </c>
      <c r="D1057" s="3" t="inlineStr">
        <is>
          <t>2026-07-06 15:46:22</t>
        </is>
      </c>
      <c r="E1057" s="3" t="inlineStr">
        <is>
          <t>2026-07-07 10:20</t>
        </is>
      </c>
      <c r="F1057" s="3" t="n">
        <v>58</v>
      </c>
      <c r="G1057" s="3" t="n">
        <v>4</v>
      </c>
      <c r="H1057" s="3" t="n"/>
      <c r="I1057" s="3" t="inlineStr"/>
      <c r="J1057" s="3" t="inlineStr">
        <is>
          <t>Keeta</t>
        </is>
      </c>
      <c r="K1057" s="3" t="inlineStr">
        <is>
          <t>****9568</t>
        </is>
      </c>
      <c r="L1057" s="3" t="n"/>
      <c r="M1057" s="3" t="inlineStr">
        <is>
          <t>***** 物流中心5樓</t>
        </is>
      </c>
      <c r="N1057" s="3" t="inlineStr">
        <is>
          <t>北区</t>
        </is>
      </c>
      <c r="O1057" s="3" t="inlineStr">
        <is>
          <t>香港</t>
        </is>
      </c>
      <c r="P1057" s="3" t="inlineStr">
        <is>
          <t>香港特别行政区</t>
        </is>
      </c>
      <c r="Q1057" s="3" t="n">
        <v>491795</v>
      </c>
      <c r="R1057" s="3" t="inlineStr">
        <is>
          <t>麥當勞(沙田商業中心)McDonalds</t>
        </is>
      </c>
      <c r="S1057" s="3" t="inlineStr">
        <is>
          <t>****21454123</t>
        </is>
      </c>
      <c r="T1057" s="3" t="inlineStr">
        <is>
          <t>****21454123</t>
        </is>
      </c>
      <c r="U1057" s="3" t="inlineStr">
        <is>
          <t>***** 下1及2號舖</t>
        </is>
      </c>
      <c r="V1057" s="3" t="inlineStr">
        <is>
          <t>香港</t>
        </is>
      </c>
      <c r="W1057" s="3" t="inlineStr">
        <is>
          <t>纸袋【通版】/ 箱出</t>
        </is>
      </c>
      <c r="X1057" s="3" t="inlineStr">
        <is>
          <t>ESS-SFTS-OTMS</t>
        </is>
      </c>
      <c r="Y1057" s="3" t="n"/>
      <c r="Z1057" s="3" t="inlineStr"/>
      <c r="AA1057" s="3" t="inlineStr">
        <is>
          <t>寄付月結</t>
        </is>
      </c>
      <c r="AB1057">
        <f>IFERROR(VLOOKUP(Q1057&amp;"",對照表!$A:$B,1,FALSE),"")</f>
        <v/>
      </c>
      <c r="AC1057">
        <f>IFERROR(VLOOKUP(Q1057&amp;"",對照表!$A:$B,2,FALSE),"")</f>
        <v/>
      </c>
    </row>
    <row r="1058">
      <c r="A1058" s="3" t="inlineStr">
        <is>
          <t>SF5113427648870</t>
        </is>
      </c>
      <c r="B1058" s="3" t="n">
        <v>58435485630681</v>
      </c>
      <c r="C1058" s="3" t="inlineStr">
        <is>
          <t>已簽收</t>
        </is>
      </c>
      <c r="D1058" s="3" t="inlineStr">
        <is>
          <t>2026-07-06 17:08:33</t>
        </is>
      </c>
      <c r="E1058" s="3" t="inlineStr">
        <is>
          <t>2026-07-07 13:32</t>
        </is>
      </c>
      <c r="F1058" s="3" t="n">
        <v>4.6</v>
      </c>
      <c r="G1058" s="3" t="n">
        <v>1</v>
      </c>
      <c r="H1058" s="3" t="n"/>
      <c r="I1058" s="3" t="inlineStr"/>
      <c r="J1058" s="3" t="inlineStr">
        <is>
          <t>Keeta</t>
        </is>
      </c>
      <c r="K1058" s="3" t="inlineStr">
        <is>
          <t>****9568</t>
        </is>
      </c>
      <c r="L1058" s="3" t="n"/>
      <c r="M1058" s="3" t="inlineStr">
        <is>
          <t>***** 物流中心5樓</t>
        </is>
      </c>
      <c r="N1058" s="3" t="inlineStr">
        <is>
          <t>北区</t>
        </is>
      </c>
      <c r="O1058" s="3" t="inlineStr">
        <is>
          <t>香港</t>
        </is>
      </c>
      <c r="P1058" s="3" t="inlineStr">
        <is>
          <t>香港特别行政区</t>
        </is>
      </c>
      <c r="Q1058" s="3" t="n">
        <v>448572</v>
      </c>
      <c r="R1058" s="3" t="inlineStr">
        <is>
          <t>越北牛肉粉專門店(西灣河)</t>
        </is>
      </c>
      <c r="S1058" s="3" t="inlineStr">
        <is>
          <t>****22034699</t>
        </is>
      </c>
      <c r="T1058" s="3" t="inlineStr">
        <is>
          <t>****22034699</t>
        </is>
      </c>
      <c r="U1058" s="3" t="inlineStr">
        <is>
          <t>***** 下G23號舖</t>
        </is>
      </c>
      <c r="V1058" s="3" t="inlineStr">
        <is>
          <t>香港</t>
        </is>
      </c>
      <c r="W1058" s="3" t="inlineStr">
        <is>
          <t>机纸/小票纸 / 包出</t>
        </is>
      </c>
      <c r="X1058" s="3" t="inlineStr">
        <is>
          <t>ESS-SFTS-OTMS</t>
        </is>
      </c>
      <c r="Y1058" s="3" t="n"/>
      <c r="Z1058" s="3" t="inlineStr"/>
      <c r="AA1058" s="3" t="inlineStr">
        <is>
          <t>寄付月結</t>
        </is>
      </c>
      <c r="AB1058">
        <f>IFERROR(VLOOKUP(Q1058&amp;"",對照表!$A:$B,1,FALSE),"")</f>
        <v/>
      </c>
      <c r="AC1058">
        <f>IFERROR(VLOOKUP(Q1058&amp;"",對照表!$A:$B,2,FALSE),"")</f>
        <v/>
      </c>
    </row>
    <row r="1059">
      <c r="A1059" s="3" t="inlineStr">
        <is>
          <t>SF5113427648304</t>
        </is>
      </c>
      <c r="B1059" s="3" t="n">
        <v>58435485630543</v>
      </c>
      <c r="C1059" s="3" t="inlineStr">
        <is>
          <t>已簽收</t>
        </is>
      </c>
      <c r="D1059" s="3" t="inlineStr">
        <is>
          <t>2026-07-06 15:29:43</t>
        </is>
      </c>
      <c r="E1059" s="3" t="inlineStr">
        <is>
          <t>2026-07-07 17:36</t>
        </is>
      </c>
      <c r="F1059" s="3" t="n">
        <v>116</v>
      </c>
      <c r="G1059" s="3" t="n">
        <v>8</v>
      </c>
      <c r="H1059" s="3" t="n"/>
      <c r="I1059" s="3" t="inlineStr"/>
      <c r="J1059" s="3" t="inlineStr">
        <is>
          <t>Keeta</t>
        </is>
      </c>
      <c r="K1059" s="3" t="inlineStr">
        <is>
          <t>****9568</t>
        </is>
      </c>
      <c r="L1059" s="3" t="n"/>
      <c r="M1059" s="3" t="inlineStr">
        <is>
          <t>***** 物流中心5樓</t>
        </is>
      </c>
      <c r="N1059" s="3" t="inlineStr">
        <is>
          <t>北区</t>
        </is>
      </c>
      <c r="O1059" s="3" t="inlineStr">
        <is>
          <t>香港</t>
        </is>
      </c>
      <c r="P1059" s="3" t="inlineStr">
        <is>
          <t>香港特别行政区</t>
        </is>
      </c>
      <c r="Q1059" s="3" t="n">
        <v>576566</v>
      </c>
      <c r="R1059" s="3" t="inlineStr">
        <is>
          <t>麥當勞(俊宏軒)McDonalds</t>
        </is>
      </c>
      <c r="S1059" s="3" t="inlineStr">
        <is>
          <t>****28115481</t>
        </is>
      </c>
      <c r="T1059" s="3" t="inlineStr">
        <is>
          <t>****28115481</t>
        </is>
      </c>
      <c r="U1059" s="3" t="inlineStr">
        <is>
          <t>***** 5-G7號舖</t>
        </is>
      </c>
      <c r="V1059" s="3" t="inlineStr">
        <is>
          <t>香港</t>
        </is>
      </c>
      <c r="W1059" s="3" t="inlineStr">
        <is>
          <t>纸袋【通版】/ 箱出</t>
        </is>
      </c>
      <c r="X1059" s="3" t="inlineStr">
        <is>
          <t>ESS-SFTS-OTMS</t>
        </is>
      </c>
      <c r="Y1059" s="3" t="n"/>
      <c r="Z1059" s="3" t="inlineStr"/>
      <c r="AA1059" s="3" t="inlineStr">
        <is>
          <t>寄付月結</t>
        </is>
      </c>
      <c r="AB1059">
        <f>IFERROR(VLOOKUP(Q1059&amp;"",對照表!$A:$B,1,FALSE),"")</f>
        <v/>
      </c>
      <c r="AC1059">
        <f>IFERROR(VLOOKUP(Q1059&amp;"",對照表!$A:$B,2,FALSE),"")</f>
        <v/>
      </c>
    </row>
    <row r="1060">
      <c r="A1060" s="3" t="inlineStr">
        <is>
          <t>SF5113427649071</t>
        </is>
      </c>
      <c r="B1060" s="3" t="n">
        <v>58435485630754</v>
      </c>
      <c r="C1060" s="3" t="inlineStr">
        <is>
          <t>已簽收</t>
        </is>
      </c>
      <c r="D1060" s="3" t="inlineStr">
        <is>
          <t>2026-07-06 16:44:26</t>
        </is>
      </c>
      <c r="E1060" s="3" t="inlineStr">
        <is>
          <t>2026-07-07 15:47</t>
        </is>
      </c>
      <c r="F1060" s="3" t="n">
        <v>0.67</v>
      </c>
      <c r="G1060" s="3" t="n">
        <v>1</v>
      </c>
      <c r="H1060" s="3" t="n"/>
      <c r="I1060" s="3" t="inlineStr"/>
      <c r="J1060" s="3" t="inlineStr">
        <is>
          <t>Keeta</t>
        </is>
      </c>
      <c r="K1060" s="3" t="inlineStr">
        <is>
          <t>****9568</t>
        </is>
      </c>
      <c r="L1060" s="3" t="n"/>
      <c r="M1060" s="3" t="inlineStr">
        <is>
          <t>***** 物流中心5樓</t>
        </is>
      </c>
      <c r="N1060" s="3" t="inlineStr">
        <is>
          <t>北区</t>
        </is>
      </c>
      <c r="O1060" s="3" t="inlineStr">
        <is>
          <t>香港</t>
        </is>
      </c>
      <c r="P1060" s="3" t="inlineStr">
        <is>
          <t>香港特别行政区</t>
        </is>
      </c>
      <c r="Q1060" s="3" t="n">
        <v>721537343</v>
      </c>
      <c r="R1060" s="3" t="inlineStr">
        <is>
          <t>利多美食（健康餐首選推薦必試爆汁大塊牛肉飯）</t>
        </is>
      </c>
      <c r="S1060" s="3" t="inlineStr">
        <is>
          <t>****94685288</t>
        </is>
      </c>
      <c r="T1060" s="3" t="inlineStr">
        <is>
          <t>****94685288</t>
        </is>
      </c>
      <c r="U1060" s="3" t="inlineStr">
        <is>
          <t>***** 地下19B鋪</t>
        </is>
      </c>
      <c r="V1060" s="3" t="inlineStr">
        <is>
          <t>香港</t>
        </is>
      </c>
      <c r="W1060" s="3" t="inlineStr">
        <is>
          <t>机纸/小票纸 / 包出</t>
        </is>
      </c>
      <c r="X1060" s="3" t="inlineStr">
        <is>
          <t>ESS-SFTS-OTMS</t>
        </is>
      </c>
      <c r="Y1060" s="3" t="n"/>
      <c r="Z1060" s="3" t="inlineStr"/>
      <c r="AA1060" s="3" t="inlineStr">
        <is>
          <t>寄付月結</t>
        </is>
      </c>
      <c r="AB1060">
        <f>IFERROR(VLOOKUP(Q1060&amp;"",對照表!$A:$B,1,FALSE),"")</f>
        <v/>
      </c>
      <c r="AC1060">
        <f>IFERROR(VLOOKUP(Q1060&amp;"",對照表!$A:$B,2,FALSE),"")</f>
        <v/>
      </c>
    </row>
    <row r="1061">
      <c r="A1061" s="3" t="inlineStr">
        <is>
          <t>SF5113427648782</t>
        </is>
      </c>
      <c r="B1061" s="3" t="n">
        <v>58435485630655</v>
      </c>
      <c r="C1061" s="3" t="inlineStr">
        <is>
          <t>已簽收</t>
        </is>
      </c>
      <c r="D1061" s="3" t="inlineStr">
        <is>
          <t>2026-07-06 17:09:12</t>
        </is>
      </c>
      <c r="E1061" s="3" t="inlineStr">
        <is>
          <t>2026-07-07 12:04</t>
        </is>
      </c>
      <c r="F1061" s="3" t="n">
        <v>1.9</v>
      </c>
      <c r="G1061" s="3" t="n">
        <v>1</v>
      </c>
      <c r="H1061" s="3" t="n"/>
      <c r="I1061" s="3" t="inlineStr"/>
      <c r="J1061" s="3" t="inlineStr">
        <is>
          <t>Keeta</t>
        </is>
      </c>
      <c r="K1061" s="3" t="inlineStr">
        <is>
          <t>****9568</t>
        </is>
      </c>
      <c r="L1061" s="3" t="n"/>
      <c r="M1061" s="3" t="inlineStr">
        <is>
          <t>***** 物流中心5樓</t>
        </is>
      </c>
      <c r="N1061" s="3" t="inlineStr">
        <is>
          <t>北区</t>
        </is>
      </c>
      <c r="O1061" s="3" t="inlineStr">
        <is>
          <t>香港</t>
        </is>
      </c>
      <c r="P1061" s="3" t="inlineStr">
        <is>
          <t>香港特别行政区</t>
        </is>
      </c>
      <c r="Q1061" s="3" t="n">
        <v>711302</v>
      </c>
      <c r="R1061" s="3" t="inlineStr">
        <is>
          <t>囍麵見</t>
        </is>
      </c>
      <c r="S1061" s="3" t="inlineStr">
        <is>
          <t>****90728515</t>
        </is>
      </c>
      <c r="T1061" s="3" t="inlineStr">
        <is>
          <t>****90728515</t>
        </is>
      </c>
      <c r="U1061" s="3" t="inlineStr">
        <is>
          <t>*****  2樓1號舖</t>
        </is>
      </c>
      <c r="V1061" s="3" t="inlineStr">
        <is>
          <t>香港</t>
        </is>
      </c>
      <c r="W1061" s="3" t="inlineStr">
        <is>
          <t>机纸/小票纸 / 包出</t>
        </is>
      </c>
      <c r="X1061" s="3" t="inlineStr">
        <is>
          <t>ESS-SFTS-OTMS</t>
        </is>
      </c>
      <c r="Y1061" s="3" t="n"/>
      <c r="Z1061" s="3" t="inlineStr"/>
      <c r="AA1061" s="3" t="inlineStr">
        <is>
          <t>寄付月結</t>
        </is>
      </c>
      <c r="AB1061">
        <f>IFERROR(VLOOKUP(Q1061&amp;"",對照表!$A:$B,1,FALSE),"")</f>
        <v/>
      </c>
      <c r="AC1061">
        <f>IFERROR(VLOOKUP(Q1061&amp;"",對照表!$A:$B,2,FALSE),"")</f>
        <v/>
      </c>
    </row>
    <row r="1062">
      <c r="A1062" s="3" t="inlineStr">
        <is>
          <t>SF5113427649211</t>
        </is>
      </c>
      <c r="B1062" s="3" t="n">
        <v>58435485630791</v>
      </c>
      <c r="C1062" s="3" t="inlineStr">
        <is>
          <t>已簽收</t>
        </is>
      </c>
      <c r="D1062" s="3" t="inlineStr">
        <is>
          <t>2026-07-06 16:07:11</t>
        </is>
      </c>
      <c r="E1062" s="3" t="inlineStr">
        <is>
          <t>2026-07-07 16:17</t>
        </is>
      </c>
      <c r="F1062" s="3" t="n">
        <v>4.45</v>
      </c>
      <c r="G1062" s="3" t="n">
        <v>1</v>
      </c>
      <c r="H1062" s="3" t="n"/>
      <c r="I1062" s="3" t="inlineStr"/>
      <c r="J1062" s="3" t="inlineStr">
        <is>
          <t>Keeta</t>
        </is>
      </c>
      <c r="K1062" s="3" t="inlineStr">
        <is>
          <t>****9568</t>
        </is>
      </c>
      <c r="L1062" s="3" t="n"/>
      <c r="M1062" s="3" t="inlineStr">
        <is>
          <t>***** 物流中心5樓</t>
        </is>
      </c>
      <c r="N1062" s="3" t="inlineStr">
        <is>
          <t>北区</t>
        </is>
      </c>
      <c r="O1062" s="3" t="inlineStr">
        <is>
          <t>香港</t>
        </is>
      </c>
      <c r="P1062" s="3" t="inlineStr">
        <is>
          <t>香港特别行政区</t>
        </is>
      </c>
      <c r="Q1062" s="3" t="n">
        <v>488070</v>
      </c>
      <c r="R1062" s="3" t="inlineStr">
        <is>
          <t>明珠冰室(港式懷舊冰室)</t>
        </is>
      </c>
      <c r="S1062" s="3" t="inlineStr">
        <is>
          <t>****24782477</t>
        </is>
      </c>
      <c r="T1062" s="3" t="inlineStr">
        <is>
          <t>****24782477</t>
        </is>
      </c>
      <c r="U1062" s="3" t="inlineStr">
        <is>
          <t>***** 街27號地下</t>
        </is>
      </c>
      <c r="V1062" s="3" t="inlineStr">
        <is>
          <t>香港</t>
        </is>
      </c>
      <c r="W1062" s="3" t="inlineStr">
        <is>
          <t>机纸/小票纸 / 包出</t>
        </is>
      </c>
      <c r="X1062" s="3" t="inlineStr">
        <is>
          <t>ESS-SFTS-OTMS</t>
        </is>
      </c>
      <c r="Y1062" s="3" t="n"/>
      <c r="Z1062" s="3" t="inlineStr"/>
      <c r="AA1062" s="3" t="inlineStr">
        <is>
          <t>寄付月結</t>
        </is>
      </c>
      <c r="AB1062">
        <f>IFERROR(VLOOKUP(Q1062&amp;"",對照表!$A:$B,1,FALSE),"")</f>
        <v/>
      </c>
      <c r="AC1062">
        <f>IFERROR(VLOOKUP(Q1062&amp;"",對照表!$A:$B,2,FALSE),"")</f>
        <v/>
      </c>
    </row>
    <row r="1063">
      <c r="A1063" s="3" t="inlineStr">
        <is>
          <t>SF5113427648791</t>
        </is>
      </c>
      <c r="B1063" s="3" t="n">
        <v>58435485630661</v>
      </c>
      <c r="C1063" s="3" t="inlineStr">
        <is>
          <t>已簽收</t>
        </is>
      </c>
      <c r="D1063" s="3" t="inlineStr">
        <is>
          <t>2026-07-06 17:50:03</t>
        </is>
      </c>
      <c r="E1063" s="3" t="inlineStr">
        <is>
          <t>2026-07-07 16:08</t>
        </is>
      </c>
      <c r="F1063" s="3" t="n">
        <v>11.59</v>
      </c>
      <c r="G1063" s="3" t="n">
        <v>1</v>
      </c>
      <c r="H1063" s="3" t="n"/>
      <c r="I1063" s="3" t="inlineStr"/>
      <c r="J1063" s="3" t="inlineStr">
        <is>
          <t>Keeta</t>
        </is>
      </c>
      <c r="K1063" s="3" t="inlineStr">
        <is>
          <t>****9568</t>
        </is>
      </c>
      <c r="L1063" s="3" t="n"/>
      <c r="M1063" s="3" t="inlineStr">
        <is>
          <t>***** 物流中心5樓</t>
        </is>
      </c>
      <c r="N1063" s="3" t="inlineStr">
        <is>
          <t>北区</t>
        </is>
      </c>
      <c r="O1063" s="3" t="inlineStr">
        <is>
          <t>香港</t>
        </is>
      </c>
      <c r="P1063" s="3" t="inlineStr">
        <is>
          <t>香港特别行政区</t>
        </is>
      </c>
      <c r="Q1063" s="3" t="n">
        <v>495013</v>
      </c>
      <c r="R1063" s="3" t="inlineStr">
        <is>
          <t>銀杏館婆婆廚房健康有機</t>
        </is>
      </c>
      <c r="S1063" s="3" t="inlineStr">
        <is>
          <t>****26631998</t>
        </is>
      </c>
      <c r="T1063" s="3" t="inlineStr">
        <is>
          <t>****26631998</t>
        </is>
      </c>
      <c r="U1063" s="3" t="inlineStr">
        <is>
          <t>***** 園R01號舖</t>
        </is>
      </c>
      <c r="V1063" s="3" t="inlineStr">
        <is>
          <t>香港</t>
        </is>
      </c>
      <c r="W1063" s="3" t="inlineStr">
        <is>
          <t>无纺布【规格四大号】/ 箱出</t>
        </is>
      </c>
      <c r="X1063" s="3" t="inlineStr">
        <is>
          <t>ESS-SFTS-OTMS</t>
        </is>
      </c>
      <c r="Y1063" s="3" t="n"/>
      <c r="Z1063" s="3" t="inlineStr"/>
      <c r="AA1063" s="3" t="inlineStr">
        <is>
          <t>寄付月結</t>
        </is>
      </c>
      <c r="AB1063">
        <f>IFERROR(VLOOKUP(Q1063&amp;"",對照表!$A:$B,1,FALSE),"")</f>
        <v/>
      </c>
      <c r="AC1063">
        <f>IFERROR(VLOOKUP(Q1063&amp;"",對照表!$A:$B,2,FALSE),"")</f>
        <v/>
      </c>
    </row>
    <row r="1064">
      <c r="A1064" s="3" t="inlineStr">
        <is>
          <t>SF5113427649017</t>
        </is>
      </c>
      <c r="B1064" s="3" t="n">
        <v>58435485630719</v>
      </c>
      <c r="C1064" s="3" t="inlineStr">
        <is>
          <t>已簽收</t>
        </is>
      </c>
      <c r="D1064" s="3" t="inlineStr">
        <is>
          <t>2026-07-06 17:17:35</t>
        </is>
      </c>
      <c r="E1064" s="3" t="inlineStr">
        <is>
          <t>2026-07-07 15:23</t>
        </is>
      </c>
      <c r="F1064" s="3" t="n">
        <v>1</v>
      </c>
      <c r="G1064" s="3" t="n">
        <v>1</v>
      </c>
      <c r="H1064" s="3" t="n"/>
      <c r="I1064" s="3" t="inlineStr"/>
      <c r="J1064" s="3" t="inlineStr">
        <is>
          <t>Keeta</t>
        </is>
      </c>
      <c r="K1064" s="3" t="inlineStr">
        <is>
          <t>****9568</t>
        </is>
      </c>
      <c r="L1064" s="3" t="n"/>
      <c r="M1064" s="3" t="inlineStr">
        <is>
          <t>***** 物流中心5樓</t>
        </is>
      </c>
      <c r="N1064" s="3" t="inlineStr">
        <is>
          <t>北区</t>
        </is>
      </c>
      <c r="O1064" s="3" t="inlineStr">
        <is>
          <t>香港</t>
        </is>
      </c>
      <c r="P1064" s="3" t="inlineStr">
        <is>
          <t>香港特别行政区</t>
        </is>
      </c>
      <c r="Q1064" s="3" t="n">
        <v>721424319</v>
      </c>
      <c r="R1064" s="3" t="inlineStr">
        <is>
          <t>五谷漁粉（灣仔店）必點無刺黑魚和脆鯛魚</t>
        </is>
      </c>
      <c r="S1064" s="3" t="inlineStr">
        <is>
          <t>****55979499</t>
        </is>
      </c>
      <c r="T1064" s="3" t="inlineStr">
        <is>
          <t>****55979499</t>
        </is>
      </c>
      <c r="U1064" s="3" t="inlineStr">
        <is>
          <t>***** n Road</t>
        </is>
      </c>
      <c r="V1064" s="3" t="inlineStr">
        <is>
          <t>香港</t>
        </is>
      </c>
      <c r="W1064" s="3" t="inlineStr">
        <is>
          <t>翻新POS机【真唯】/ 件出</t>
        </is>
      </c>
      <c r="X1064" s="3" t="inlineStr">
        <is>
          <t>ESS-SFTS-OTMS</t>
        </is>
      </c>
      <c r="Y1064" s="3" t="n"/>
      <c r="Z1064" s="3" t="inlineStr"/>
      <c r="AA1064" s="3" t="inlineStr">
        <is>
          <t>寄付月結</t>
        </is>
      </c>
      <c r="AB1064">
        <f>IFERROR(VLOOKUP(Q1064&amp;"",對照表!$A:$B,1,FALSE),"")</f>
        <v/>
      </c>
      <c r="AC1064">
        <f>IFERROR(VLOOKUP(Q1064&amp;"",對照表!$A:$B,2,FALSE),"")</f>
        <v/>
      </c>
    </row>
    <row r="1065">
      <c r="A1065" s="3" t="inlineStr">
        <is>
          <t>SF5113427648931</t>
        </is>
      </c>
      <c r="B1065" s="3" t="n">
        <v>58435485630693</v>
      </c>
      <c r="C1065" s="3" t="inlineStr">
        <is>
          <t>已簽收</t>
        </is>
      </c>
      <c r="D1065" s="3" t="inlineStr">
        <is>
          <t>2026-07-06 16:10:53</t>
        </is>
      </c>
      <c r="E1065" s="3" t="inlineStr">
        <is>
          <t>2026-07-07 11:57</t>
        </is>
      </c>
      <c r="F1065" s="3" t="n">
        <v>29</v>
      </c>
      <c r="G1065" s="3" t="n">
        <v>2</v>
      </c>
      <c r="H1065" s="3" t="n"/>
      <c r="I1065" s="3" t="inlineStr"/>
      <c r="J1065" s="3" t="inlineStr">
        <is>
          <t>Keeta</t>
        </is>
      </c>
      <c r="K1065" s="3" t="inlineStr">
        <is>
          <t>****9568</t>
        </is>
      </c>
      <c r="L1065" s="3" t="n"/>
      <c r="M1065" s="3" t="inlineStr">
        <is>
          <t>***** 物流中心5樓</t>
        </is>
      </c>
      <c r="N1065" s="3" t="inlineStr">
        <is>
          <t>北区</t>
        </is>
      </c>
      <c r="O1065" s="3" t="inlineStr">
        <is>
          <t>香港</t>
        </is>
      </c>
      <c r="P1065" s="3" t="inlineStr">
        <is>
          <t>香港特别行政区</t>
        </is>
      </c>
      <c r="Q1065" s="3" t="n">
        <v>494396</v>
      </c>
      <c r="R1065" s="3" t="inlineStr">
        <is>
          <t>麥當勞(鴨寮街)McDonalds</t>
        </is>
      </c>
      <c r="S1065" s="3" t="inlineStr">
        <is>
          <t>****23864460</t>
        </is>
      </c>
      <c r="T1065" s="3" t="inlineStr">
        <is>
          <t>****23864460</t>
        </is>
      </c>
      <c r="U1065" s="3" t="inlineStr">
        <is>
          <t>***** ,E及F單位</t>
        </is>
      </c>
      <c r="V1065" s="3" t="inlineStr">
        <is>
          <t>香港</t>
        </is>
      </c>
      <c r="W1065" s="3" t="inlineStr">
        <is>
          <t>纸袋【通版】/ 箱出</t>
        </is>
      </c>
      <c r="X1065" s="3" t="inlineStr">
        <is>
          <t>ESS-SFTS-OTMS</t>
        </is>
      </c>
      <c r="Y1065" s="3" t="n"/>
      <c r="Z1065" s="3" t="inlineStr"/>
      <c r="AA1065" s="3" t="inlineStr">
        <is>
          <t>寄付月結</t>
        </is>
      </c>
      <c r="AB1065">
        <f>IFERROR(VLOOKUP(Q1065&amp;"",對照表!$A:$B,1,FALSE),"")</f>
        <v/>
      </c>
      <c r="AC1065">
        <f>IFERROR(VLOOKUP(Q1065&amp;"",對照表!$A:$B,2,FALSE),"")</f>
        <v/>
      </c>
    </row>
    <row r="1066">
      <c r="A1066" s="3" t="inlineStr">
        <is>
          <t>SF5113427648377</t>
        </is>
      </c>
      <c r="B1066" s="3" t="n">
        <v>58435485630558</v>
      </c>
      <c r="C1066" s="3" t="inlineStr">
        <is>
          <t>已簽收</t>
        </is>
      </c>
      <c r="D1066" s="3" t="inlineStr">
        <is>
          <t>2026-07-06 17:49:44</t>
        </is>
      </c>
      <c r="E1066" s="3" t="inlineStr">
        <is>
          <t>2026-07-07 11:30</t>
        </is>
      </c>
      <c r="F1066" s="3" t="n">
        <v>23.68</v>
      </c>
      <c r="G1066" s="3" t="n">
        <v>2</v>
      </c>
      <c r="H1066" s="3" t="n"/>
      <c r="I1066" s="3" t="inlineStr"/>
      <c r="J1066" s="3" t="inlineStr">
        <is>
          <t>Keeta</t>
        </is>
      </c>
      <c r="K1066" s="3" t="inlineStr">
        <is>
          <t>****9568</t>
        </is>
      </c>
      <c r="L1066" s="3" t="n"/>
      <c r="M1066" s="3" t="inlineStr">
        <is>
          <t>***** 物流中心5樓</t>
        </is>
      </c>
      <c r="N1066" s="3" t="inlineStr">
        <is>
          <t>北区</t>
        </is>
      </c>
      <c r="O1066" s="3" t="inlineStr">
        <is>
          <t>香港</t>
        </is>
      </c>
      <c r="P1066" s="3" t="inlineStr">
        <is>
          <t>香港特别行政区</t>
        </is>
      </c>
      <c r="Q1066" s="3" t="n">
        <v>767160</v>
      </c>
      <c r="R1066" s="3" t="inlineStr">
        <is>
          <t>ODDS</t>
        </is>
      </c>
      <c r="S1066" s="3" t="inlineStr">
        <is>
          <t>****28913988</t>
        </is>
      </c>
      <c r="T1066" s="3" t="inlineStr">
        <is>
          <t>****28913988</t>
        </is>
      </c>
      <c r="U1066" s="3" t="inlineStr">
        <is>
          <t>***** 廈地下G2舖</t>
        </is>
      </c>
      <c r="V1066" s="3" t="inlineStr">
        <is>
          <t>香港</t>
        </is>
      </c>
      <c r="W1066" s="3" t="inlineStr">
        <is>
          <t>无纺布【Preminum黑】/ 箱出, 纸袋【Preminum黑】/ 箱出</t>
        </is>
      </c>
      <c r="X1066" s="3" t="inlineStr">
        <is>
          <t>ESS-SFTS-OTMS</t>
        </is>
      </c>
      <c r="Y1066" s="3" t="n"/>
      <c r="Z1066" s="3" t="inlineStr"/>
      <c r="AA1066" s="3" t="inlineStr">
        <is>
          <t>寄付月結</t>
        </is>
      </c>
      <c r="AB1066">
        <f>IFERROR(VLOOKUP(Q1066&amp;"",對照表!$A:$B,1,FALSE),"")</f>
        <v/>
      </c>
      <c r="AC1066">
        <f>IFERROR(VLOOKUP(Q1066&amp;"",對照表!$A:$B,2,FALSE),"")</f>
        <v/>
      </c>
    </row>
    <row r="1067">
      <c r="A1067" s="3" t="inlineStr">
        <is>
          <t>SF5113427649053</t>
        </is>
      </c>
      <c r="B1067" s="3" t="n">
        <v>58435485630749</v>
      </c>
      <c r="C1067" s="3" t="inlineStr">
        <is>
          <t>已簽收</t>
        </is>
      </c>
      <c r="D1067" s="3" t="inlineStr">
        <is>
          <t>2026-07-06 16:03:18</t>
        </is>
      </c>
      <c r="E1067" s="3" t="inlineStr">
        <is>
          <t>2026-07-07 11:28</t>
        </is>
      </c>
      <c r="F1067" s="3" t="n">
        <v>4.45</v>
      </c>
      <c r="G1067" s="3" t="n">
        <v>1</v>
      </c>
      <c r="H1067" s="3" t="n"/>
      <c r="I1067" s="3" t="inlineStr"/>
      <c r="J1067" s="3" t="inlineStr">
        <is>
          <t>Keeta</t>
        </is>
      </c>
      <c r="K1067" s="3" t="inlineStr">
        <is>
          <t>****9568</t>
        </is>
      </c>
      <c r="L1067" s="3" t="n"/>
      <c r="M1067" s="3" t="inlineStr">
        <is>
          <t>***** 物流中心5樓</t>
        </is>
      </c>
      <c r="N1067" s="3" t="inlineStr">
        <is>
          <t>北区</t>
        </is>
      </c>
      <c r="O1067" s="3" t="inlineStr">
        <is>
          <t>香港</t>
        </is>
      </c>
      <c r="P1067" s="3" t="inlineStr">
        <is>
          <t>香港特别行政区</t>
        </is>
      </c>
      <c r="Q1067" s="3" t="n">
        <v>488129</v>
      </c>
      <c r="R1067" s="3" t="inlineStr">
        <is>
          <t>茶皇殿點心燒味住家菜平台力推同區首選(葵涌)</t>
        </is>
      </c>
      <c r="S1067" s="3" t="inlineStr">
        <is>
          <t>****26261948</t>
        </is>
      </c>
      <c r="T1067" s="3" t="inlineStr">
        <is>
          <t>****26261948</t>
        </is>
      </c>
      <c r="U1067" s="3" t="inlineStr">
        <is>
          <t>***** 場207號舖</t>
        </is>
      </c>
      <c r="V1067" s="3" t="inlineStr">
        <is>
          <t>香港</t>
        </is>
      </c>
      <c r="W1067" s="3" t="inlineStr">
        <is>
          <t>机纸/小票纸 / 包出</t>
        </is>
      </c>
      <c r="X1067" s="3" t="inlineStr">
        <is>
          <t>ESS-SFTS-OTMS</t>
        </is>
      </c>
      <c r="Y1067" s="3" t="n"/>
      <c r="Z1067" s="3" t="inlineStr"/>
      <c r="AA1067" s="3" t="inlineStr">
        <is>
          <t>寄付月結</t>
        </is>
      </c>
      <c r="AB1067">
        <f>IFERROR(VLOOKUP(Q1067&amp;"",對照表!$A:$B,1,FALSE),"")</f>
        <v/>
      </c>
      <c r="AC1067">
        <f>IFERROR(VLOOKUP(Q1067&amp;"",對照表!$A:$B,2,FALSE),"")</f>
        <v/>
      </c>
    </row>
    <row r="1068">
      <c r="A1068" s="3" t="inlineStr">
        <is>
          <t>SF5113427648764</t>
        </is>
      </c>
      <c r="B1068" s="3" t="n">
        <v>58435485630649</v>
      </c>
      <c r="C1068" s="3" t="inlineStr">
        <is>
          <t>已簽收</t>
        </is>
      </c>
      <c r="D1068" s="3" t="inlineStr">
        <is>
          <t>2026-07-06 16:07:00</t>
        </is>
      </c>
      <c r="E1068" s="3" t="inlineStr">
        <is>
          <t>2026-07-07 13:01</t>
        </is>
      </c>
      <c r="F1068" s="3" t="n">
        <v>4.45</v>
      </c>
      <c r="G1068" s="3" t="n">
        <v>1</v>
      </c>
      <c r="H1068" s="3" t="n"/>
      <c r="I1068" s="3" t="inlineStr"/>
      <c r="J1068" s="3" t="inlineStr">
        <is>
          <t>Keeta</t>
        </is>
      </c>
      <c r="K1068" s="3" t="inlineStr">
        <is>
          <t>****9568</t>
        </is>
      </c>
      <c r="L1068" s="3" t="n"/>
      <c r="M1068" s="3" t="inlineStr">
        <is>
          <t>***** 物流中心5樓</t>
        </is>
      </c>
      <c r="N1068" s="3" t="inlineStr">
        <is>
          <t>北区</t>
        </is>
      </c>
      <c r="O1068" s="3" t="inlineStr">
        <is>
          <t>香港</t>
        </is>
      </c>
      <c r="P1068" s="3" t="inlineStr">
        <is>
          <t>香港特别行政区</t>
        </is>
      </c>
      <c r="Q1068" s="3" t="n">
        <v>613541</v>
      </c>
      <c r="R1068" s="3" t="inlineStr">
        <is>
          <t>米線伝</t>
        </is>
      </c>
      <c r="S1068" s="3" t="inlineStr">
        <is>
          <t>****52812029</t>
        </is>
      </c>
      <c r="T1068" s="3" t="inlineStr">
        <is>
          <t>****52812029</t>
        </is>
      </c>
      <c r="U1068" s="3" t="inlineStr">
        <is>
          <t>***** 子石道84號</t>
        </is>
      </c>
      <c r="V1068" s="3" t="inlineStr">
        <is>
          <t>香港</t>
        </is>
      </c>
      <c r="W1068" s="3" t="inlineStr">
        <is>
          <t>机纸/小票纸 / 包出</t>
        </is>
      </c>
      <c r="X1068" s="3" t="inlineStr">
        <is>
          <t>ESS-SFTS-OTMS</t>
        </is>
      </c>
      <c r="Y1068" s="3" t="n"/>
      <c r="Z1068" s="3" t="inlineStr"/>
      <c r="AA1068" s="3" t="inlineStr">
        <is>
          <t>寄付月結</t>
        </is>
      </c>
      <c r="AB1068">
        <f>IFERROR(VLOOKUP(Q1068&amp;"",對照表!$A:$B,1,FALSE),"")</f>
        <v/>
      </c>
      <c r="AC1068">
        <f>IFERROR(VLOOKUP(Q1068&amp;"",對照表!$A:$B,2,FALSE),"")</f>
        <v/>
      </c>
    </row>
    <row r="1069">
      <c r="A1069" s="3" t="inlineStr">
        <is>
          <t>SF5113427648825</t>
        </is>
      </c>
      <c r="B1069" s="3" t="n">
        <v>58435485630666</v>
      </c>
      <c r="C1069" s="3" t="inlineStr">
        <is>
          <t>派送中</t>
        </is>
      </c>
      <c r="D1069" s="3" t="inlineStr">
        <is>
          <t>2026-07-06 17:22:49</t>
        </is>
      </c>
      <c r="E1069" s="3" t="n"/>
      <c r="F1069" s="3" t="n">
        <v>1</v>
      </c>
      <c r="G1069" s="3" t="n">
        <v>1</v>
      </c>
      <c r="H1069" s="3" t="n"/>
      <c r="I1069" s="3" t="inlineStr"/>
      <c r="J1069" s="3" t="inlineStr">
        <is>
          <t>Keeta</t>
        </is>
      </c>
      <c r="K1069" s="3" t="inlineStr">
        <is>
          <t>****9568</t>
        </is>
      </c>
      <c r="L1069" s="3" t="n"/>
      <c r="M1069" s="3" t="inlineStr">
        <is>
          <t>***** 物流中心5樓</t>
        </is>
      </c>
      <c r="N1069" s="3" t="inlineStr">
        <is>
          <t>北区</t>
        </is>
      </c>
      <c r="O1069" s="3" t="inlineStr">
        <is>
          <t>香港</t>
        </is>
      </c>
      <c r="P1069" s="3" t="inlineStr">
        <is>
          <t>香港特别行政区</t>
        </is>
      </c>
      <c r="Q1069" s="3" t="n">
        <v>468229</v>
      </c>
      <c r="R1069" s="3" t="inlineStr">
        <is>
          <t>PeekAPoke（希雲街店）</t>
        </is>
      </c>
      <c r="S1069" s="3" t="inlineStr">
        <is>
          <t>****55957729</t>
        </is>
      </c>
      <c r="T1069" s="3" t="inlineStr">
        <is>
          <t>****55957729</t>
        </is>
      </c>
      <c r="U1069" s="3" t="inlineStr">
        <is>
          <t>***** 街16號地舖</t>
        </is>
      </c>
      <c r="V1069" s="3" t="inlineStr">
        <is>
          <t>香港</t>
        </is>
      </c>
      <c r="W1069" s="3" t="inlineStr">
        <is>
          <t>翻新POS机【真唯】/ 件出</t>
        </is>
      </c>
      <c r="X1069" s="3" t="inlineStr">
        <is>
          <t>ESS-SFTS-OTMS</t>
        </is>
      </c>
      <c r="Y1069" s="3" t="n"/>
      <c r="Z1069" s="3" t="inlineStr"/>
      <c r="AA1069" s="3" t="inlineStr">
        <is>
          <t>寄付月結</t>
        </is>
      </c>
      <c r="AB1069">
        <f>IFERROR(VLOOKUP(Q1069&amp;"",對照表!$A:$B,1,FALSE),"")</f>
        <v/>
      </c>
      <c r="AC1069">
        <f>IFERROR(VLOOKUP(Q1069&amp;"",對照表!$A:$B,2,FALSE),"")</f>
        <v/>
      </c>
    </row>
    <row r="1070">
      <c r="A1070" s="3" t="inlineStr">
        <is>
          <t>SF5113427648940</t>
        </is>
      </c>
      <c r="B1070" s="3" t="n">
        <v>58435485630699</v>
      </c>
      <c r="C1070" s="3" t="inlineStr">
        <is>
          <t>已簽收</t>
        </is>
      </c>
      <c r="D1070" s="3" t="inlineStr">
        <is>
          <t>2026-07-06 17:10:16</t>
        </is>
      </c>
      <c r="E1070" s="3" t="inlineStr">
        <is>
          <t>2026-07-07 13:00</t>
        </is>
      </c>
      <c r="F1070" s="3" t="n">
        <v>2.8</v>
      </c>
      <c r="G1070" s="3" t="n">
        <v>1</v>
      </c>
      <c r="H1070" s="3" t="n"/>
      <c r="I1070" s="3" t="inlineStr"/>
      <c r="J1070" s="3" t="inlineStr">
        <is>
          <t>Keeta</t>
        </is>
      </c>
      <c r="K1070" s="3" t="inlineStr">
        <is>
          <t>****9568</t>
        </is>
      </c>
      <c r="L1070" s="3" t="n"/>
      <c r="M1070" s="3" t="inlineStr">
        <is>
          <t>***** 物流中心5樓</t>
        </is>
      </c>
      <c r="N1070" s="3" t="inlineStr">
        <is>
          <t>北区</t>
        </is>
      </c>
      <c r="O1070" s="3" t="inlineStr">
        <is>
          <t>香港</t>
        </is>
      </c>
      <c r="P1070" s="3" t="inlineStr">
        <is>
          <t>香港特别行政区</t>
        </is>
      </c>
      <c r="Q1070" s="3" t="n">
        <v>611167</v>
      </c>
      <c r="R1070" s="3" t="inlineStr">
        <is>
          <t>歡樂麵家(晧日)一口爆汁QQ彈彈</t>
        </is>
      </c>
      <c r="S1070" s="3" t="inlineStr">
        <is>
          <t>****23892287</t>
        </is>
      </c>
      <c r="T1070" s="3" t="inlineStr">
        <is>
          <t>****23892287</t>
        </is>
      </c>
      <c r="U1070" s="3" t="inlineStr">
        <is>
          <t>***** 地下G02鋪</t>
        </is>
      </c>
      <c r="V1070" s="3" t="inlineStr">
        <is>
          <t>香港</t>
        </is>
      </c>
      <c r="W1070" s="3" t="inlineStr">
        <is>
          <t>机纸/小票纸 / 包出</t>
        </is>
      </c>
      <c r="X1070" s="3" t="inlineStr">
        <is>
          <t>ESS-SFTS-OTMS</t>
        </is>
      </c>
      <c r="Y1070" s="3" t="n"/>
      <c r="Z1070" s="3" t="inlineStr"/>
      <c r="AA1070" s="3" t="inlineStr">
        <is>
          <t>寄付月結</t>
        </is>
      </c>
      <c r="AB1070">
        <f>IFERROR(VLOOKUP(Q1070&amp;"",對照表!$A:$B,1,FALSE),"")</f>
        <v/>
      </c>
      <c r="AC1070">
        <f>IFERROR(VLOOKUP(Q1070&amp;"",對照表!$A:$B,2,FALSE),"")</f>
        <v/>
      </c>
    </row>
    <row r="1071">
      <c r="A1071" s="3" t="inlineStr">
        <is>
          <t>SF5113427648861</t>
        </is>
      </c>
      <c r="B1071" s="3" t="n">
        <v>58435485630676</v>
      </c>
      <c r="C1071" s="3" t="inlineStr">
        <is>
          <t>已簽收</t>
        </is>
      </c>
      <c r="D1071" s="3" t="inlineStr">
        <is>
          <t>2026-07-06 15:19:03</t>
        </is>
      </c>
      <c r="E1071" s="3" t="inlineStr">
        <is>
          <t>2026-07-07 09:39</t>
        </is>
      </c>
      <c r="F1071" s="3" t="n">
        <v>14.5</v>
      </c>
      <c r="G1071" s="3" t="n">
        <v>1</v>
      </c>
      <c r="H1071" s="3" t="n"/>
      <c r="I1071" s="3" t="inlineStr"/>
      <c r="J1071" s="3" t="inlineStr">
        <is>
          <t>Keeta</t>
        </is>
      </c>
      <c r="K1071" s="3" t="inlineStr">
        <is>
          <t>****9568</t>
        </is>
      </c>
      <c r="L1071" s="3" t="n"/>
      <c r="M1071" s="3" t="inlineStr">
        <is>
          <t>***** 物流中心5樓</t>
        </is>
      </c>
      <c r="N1071" s="3" t="inlineStr">
        <is>
          <t>北区</t>
        </is>
      </c>
      <c r="O1071" s="3" t="inlineStr">
        <is>
          <t>香港</t>
        </is>
      </c>
      <c r="P1071" s="3" t="inlineStr">
        <is>
          <t>香港特别行政区</t>
        </is>
      </c>
      <c r="Q1071" s="3" t="n">
        <v>589649</v>
      </c>
      <c r="R1071" s="3" t="inlineStr">
        <is>
          <t>NoodFoodCafe(荷李活道)</t>
        </is>
      </c>
      <c r="S1071" s="3" t="inlineStr">
        <is>
          <t>****36913271</t>
        </is>
      </c>
      <c r="T1071" s="3" t="inlineStr">
        <is>
          <t>****36913271</t>
        </is>
      </c>
      <c r="U1071" s="3" t="inlineStr">
        <is>
          <t>***** 榮基中心2樓</t>
        </is>
      </c>
      <c r="V1071" s="3" t="inlineStr">
        <is>
          <t>香港</t>
        </is>
      </c>
      <c r="W1071" s="3" t="inlineStr">
        <is>
          <t>纸袋【通版】/ 箱出</t>
        </is>
      </c>
      <c r="X1071" s="3" t="inlineStr">
        <is>
          <t>ESS-SFTS-OTMS</t>
        </is>
      </c>
      <c r="Y1071" s="3" t="n"/>
      <c r="Z1071" s="3" t="inlineStr"/>
      <c r="AA1071" s="3" t="inlineStr">
        <is>
          <t>寄付月結</t>
        </is>
      </c>
      <c r="AB1071">
        <f>IFERROR(VLOOKUP(Q1071&amp;"",對照表!$A:$B,1,FALSE),"")</f>
        <v/>
      </c>
      <c r="AC1071">
        <f>IFERROR(VLOOKUP(Q1071&amp;"",對照表!$A:$B,2,FALSE),"")</f>
        <v/>
      </c>
    </row>
    <row r="1072">
      <c r="A1072" s="3" t="inlineStr">
        <is>
          <t>SF5113427649150</t>
        </is>
      </c>
      <c r="B1072" s="3" t="n">
        <v>58435485630777</v>
      </c>
      <c r="C1072" s="3" t="inlineStr">
        <is>
          <t>派送中</t>
        </is>
      </c>
      <c r="D1072" s="3" t="inlineStr">
        <is>
          <t>2026-07-06 17:48:02</t>
        </is>
      </c>
      <c r="E1072" s="3" t="n"/>
      <c r="F1072" s="3" t="n">
        <v>8</v>
      </c>
      <c r="G1072" s="3" t="n">
        <v>1</v>
      </c>
      <c r="H1072" s="3" t="n"/>
      <c r="I1072" s="3" t="inlineStr"/>
      <c r="J1072" s="3" t="inlineStr">
        <is>
          <t>Keeta</t>
        </is>
      </c>
      <c r="K1072" s="3" t="inlineStr">
        <is>
          <t>****9568</t>
        </is>
      </c>
      <c r="L1072" s="3" t="n"/>
      <c r="M1072" s="3" t="inlineStr">
        <is>
          <t>***** 物流中心5樓</t>
        </is>
      </c>
      <c r="N1072" s="3" t="inlineStr">
        <is>
          <t>北区</t>
        </is>
      </c>
      <c r="O1072" s="3" t="inlineStr">
        <is>
          <t>香港</t>
        </is>
      </c>
      <c r="P1072" s="3" t="inlineStr">
        <is>
          <t>香港特别行政区</t>
        </is>
      </c>
      <c r="Q1072" s="3" t="n">
        <v>481260</v>
      </c>
      <c r="R1072" s="3" t="inlineStr">
        <is>
          <t>TheMatchaTokyo(K11)</t>
        </is>
      </c>
      <c r="S1072" s="3" t="inlineStr">
        <is>
          <t>****39621107</t>
        </is>
      </c>
      <c r="T1072" s="3" t="inlineStr">
        <is>
          <t>****39621107</t>
        </is>
      </c>
      <c r="U1072" s="3" t="inlineStr">
        <is>
          <t>***** B201號鋪</t>
        </is>
      </c>
      <c r="V1072" s="3" t="inlineStr">
        <is>
          <t>香港</t>
        </is>
      </c>
      <c r="W1072" s="3" t="inlineStr">
        <is>
          <t>无纺布【规格二双杯】/ 箱出</t>
        </is>
      </c>
      <c r="X1072" s="3" t="inlineStr">
        <is>
          <t>ESS-SFTS-OTMS</t>
        </is>
      </c>
      <c r="Y1072" s="3" t="n"/>
      <c r="Z1072" s="3" t="inlineStr"/>
      <c r="AA1072" s="3" t="inlineStr">
        <is>
          <t>寄付月結</t>
        </is>
      </c>
      <c r="AB1072">
        <f>IFERROR(VLOOKUP(Q1072&amp;"",對照表!$A:$B,1,FALSE),"")</f>
        <v/>
      </c>
      <c r="AC1072">
        <f>IFERROR(VLOOKUP(Q1072&amp;"",對照表!$A:$B,2,FALSE),"")</f>
        <v/>
      </c>
    </row>
    <row r="1073">
      <c r="A1073" s="3" t="inlineStr">
        <is>
          <t>SF5113427648889</t>
        </is>
      </c>
      <c r="B1073" s="3" t="n">
        <v>58435485630683</v>
      </c>
      <c r="C1073" s="3" t="inlineStr">
        <is>
          <t>已簽收</t>
        </is>
      </c>
      <c r="D1073" s="3" t="inlineStr">
        <is>
          <t>2026-07-06 16:10:45</t>
        </is>
      </c>
      <c r="E1073" s="3" t="inlineStr">
        <is>
          <t>2026-07-07 10:07</t>
        </is>
      </c>
      <c r="F1073" s="3" t="n">
        <v>29</v>
      </c>
      <c r="G1073" s="3" t="n">
        <v>2</v>
      </c>
      <c r="H1073" s="3" t="n"/>
      <c r="I1073" s="3" t="inlineStr"/>
      <c r="J1073" s="3" t="inlineStr">
        <is>
          <t>Keeta</t>
        </is>
      </c>
      <c r="K1073" s="3" t="inlineStr">
        <is>
          <t>****9568</t>
        </is>
      </c>
      <c r="L1073" s="3" t="n"/>
      <c r="M1073" s="3" t="inlineStr">
        <is>
          <t>***** 物流中心5樓</t>
        </is>
      </c>
      <c r="N1073" s="3" t="inlineStr">
        <is>
          <t>北区</t>
        </is>
      </c>
      <c r="O1073" s="3" t="inlineStr">
        <is>
          <t>香港</t>
        </is>
      </c>
      <c r="P1073" s="3" t="inlineStr">
        <is>
          <t>香港特别行政区</t>
        </is>
      </c>
      <c r="Q1073" s="3" t="n">
        <v>566732</v>
      </c>
      <c r="R1073" s="3" t="inlineStr">
        <is>
          <t>麥當勞(坪石)McDonalds</t>
        </is>
      </c>
      <c r="S1073" s="3" t="inlineStr">
        <is>
          <t>****22527938</t>
        </is>
      </c>
      <c r="T1073" s="3" t="inlineStr">
        <is>
          <t>****22527938</t>
        </is>
      </c>
      <c r="U1073" s="3" t="inlineStr">
        <is>
          <t>***** 場 G1號舖</t>
        </is>
      </c>
      <c r="V1073" s="3" t="inlineStr">
        <is>
          <t>香港</t>
        </is>
      </c>
      <c r="W1073" s="3" t="inlineStr">
        <is>
          <t>纸袋【通版】/ 箱出</t>
        </is>
      </c>
      <c r="X1073" s="3" t="inlineStr">
        <is>
          <t>ESS-SFTS-OTMS</t>
        </is>
      </c>
      <c r="Y1073" s="3" t="n"/>
      <c r="Z1073" s="3" t="inlineStr"/>
      <c r="AA1073" s="3" t="inlineStr">
        <is>
          <t>寄付月結</t>
        </is>
      </c>
      <c r="AB1073">
        <f>IFERROR(VLOOKUP(Q1073&amp;"",對照表!$A:$B,1,FALSE),"")</f>
        <v/>
      </c>
      <c r="AC1073">
        <f>IFERROR(VLOOKUP(Q1073&amp;"",對照表!$A:$B,2,FALSE),"")</f>
        <v/>
      </c>
    </row>
    <row r="1074">
      <c r="A1074" s="3" t="inlineStr">
        <is>
          <t>SF5113427653021</t>
        </is>
      </c>
      <c r="B1074" s="3" t="n">
        <v>58435485630823</v>
      </c>
      <c r="C1074" s="3" t="inlineStr">
        <is>
          <t>已簽收</t>
        </is>
      </c>
      <c r="D1074" s="3" t="inlineStr">
        <is>
          <t>2026-07-06 16:11:02</t>
        </is>
      </c>
      <c r="E1074" s="3" t="inlineStr">
        <is>
          <t>2026-07-07 09:49</t>
        </is>
      </c>
      <c r="F1074" s="3" t="n">
        <v>29</v>
      </c>
      <c r="G1074" s="3" t="n">
        <v>2</v>
      </c>
      <c r="H1074" s="3" t="n"/>
      <c r="I1074" s="3" t="inlineStr"/>
      <c r="J1074" s="3" t="inlineStr">
        <is>
          <t>Keeta</t>
        </is>
      </c>
      <c r="K1074" s="3" t="inlineStr">
        <is>
          <t>****9568</t>
        </is>
      </c>
      <c r="L1074" s="3" t="n"/>
      <c r="M1074" s="3" t="inlineStr">
        <is>
          <t>***** 物流中心5樓</t>
        </is>
      </c>
      <c r="N1074" s="3" t="inlineStr">
        <is>
          <t>北区</t>
        </is>
      </c>
      <c r="O1074" s="3" t="inlineStr">
        <is>
          <t>香港</t>
        </is>
      </c>
      <c r="P1074" s="3" t="inlineStr">
        <is>
          <t>香港特别行政区</t>
        </is>
      </c>
      <c r="Q1074" s="3" t="n">
        <v>609418</v>
      </c>
      <c r="R1074" s="3" t="inlineStr">
        <is>
          <t>麥當勞(兆康苑)McDonalds</t>
        </is>
      </c>
      <c r="S1074" s="3" t="inlineStr">
        <is>
          <t>****24649297</t>
        </is>
      </c>
      <c r="T1074" s="3" t="inlineStr">
        <is>
          <t>****24649297</t>
        </is>
      </c>
      <c r="U1074" s="3" t="inlineStr">
        <is>
          <t>***** 場109號舖</t>
        </is>
      </c>
      <c r="V1074" s="3" t="inlineStr">
        <is>
          <t>香港</t>
        </is>
      </c>
      <c r="W1074" s="3" t="inlineStr">
        <is>
          <t>纸袋【通版】/ 箱出</t>
        </is>
      </c>
      <c r="X1074" s="3" t="inlineStr">
        <is>
          <t>ESS-SFTS-OTMS</t>
        </is>
      </c>
      <c r="Y1074" s="3" t="n"/>
      <c r="Z1074" s="3" t="inlineStr"/>
      <c r="AA1074" s="3" t="inlineStr">
        <is>
          <t>寄付月結</t>
        </is>
      </c>
      <c r="AB1074">
        <f>IFERROR(VLOOKUP(Q1074&amp;"",對照表!$A:$B,1,FALSE),"")</f>
        <v/>
      </c>
      <c r="AC1074">
        <f>IFERROR(VLOOKUP(Q1074&amp;"",對照表!$A:$B,2,FALSE),"")</f>
        <v/>
      </c>
    </row>
    <row r="1075">
      <c r="A1075" s="3" t="inlineStr">
        <is>
          <t>SF5113427648904</t>
        </is>
      </c>
      <c r="B1075" s="3" t="n">
        <v>58435485630686</v>
      </c>
      <c r="C1075" s="3" t="inlineStr">
        <is>
          <t>已簽收</t>
        </is>
      </c>
      <c r="D1075" s="3" t="inlineStr">
        <is>
          <t>2026-07-06 16:10:55</t>
        </is>
      </c>
      <c r="E1075" s="3" t="inlineStr">
        <is>
          <t>2026-07-07 15:17</t>
        </is>
      </c>
      <c r="F1075" s="3" t="n">
        <v>29</v>
      </c>
      <c r="G1075" s="3" t="n">
        <v>2</v>
      </c>
      <c r="H1075" s="3" t="n"/>
      <c r="I1075" s="3" t="inlineStr"/>
      <c r="J1075" s="3" t="inlineStr">
        <is>
          <t>Keeta</t>
        </is>
      </c>
      <c r="K1075" s="3" t="inlineStr">
        <is>
          <t>****9568</t>
        </is>
      </c>
      <c r="L1075" s="3" t="n"/>
      <c r="M1075" s="3" t="inlineStr">
        <is>
          <t>***** 物流中心5樓</t>
        </is>
      </c>
      <c r="N1075" s="3" t="inlineStr">
        <is>
          <t>北区</t>
        </is>
      </c>
      <c r="O1075" s="3" t="inlineStr">
        <is>
          <t>香港</t>
        </is>
      </c>
      <c r="P1075" s="3" t="inlineStr">
        <is>
          <t>香港特别行政区</t>
        </is>
      </c>
      <c r="Q1075" s="3" t="n">
        <v>721528317</v>
      </c>
      <c r="R1075" s="3" t="inlineStr">
        <is>
          <t>添好運點心專門店(Mkiki)</t>
        </is>
      </c>
      <c r="S1075" s="3" t="inlineStr">
        <is>
          <t>****23662802</t>
        </is>
      </c>
      <c r="T1075" s="3" t="inlineStr">
        <is>
          <t>****23662802</t>
        </is>
      </c>
      <c r="U1075" s="3" t="inlineStr">
        <is>
          <t>***** 下G11號舖</t>
        </is>
      </c>
      <c r="V1075" s="3" t="inlineStr">
        <is>
          <t>香港</t>
        </is>
      </c>
      <c r="W1075" s="3" t="inlineStr">
        <is>
          <t>纸袋【通版】/ 箱出</t>
        </is>
      </c>
      <c r="X1075" s="3" t="inlineStr">
        <is>
          <t>ESS-SFTS-OTMS</t>
        </is>
      </c>
      <c r="Y1075" s="3" t="n"/>
      <c r="Z1075" s="3" t="inlineStr"/>
      <c r="AA1075" s="3" t="inlineStr">
        <is>
          <t>寄付月結</t>
        </is>
      </c>
      <c r="AB1075">
        <f>IFERROR(VLOOKUP(Q1075&amp;"",對照表!$A:$B,1,FALSE),"")</f>
        <v/>
      </c>
      <c r="AC1075">
        <f>IFERROR(VLOOKUP(Q1075&amp;"",對照表!$A:$B,2,FALSE),"")</f>
        <v/>
      </c>
    </row>
    <row r="1076">
      <c r="A1076" s="3" t="inlineStr">
        <is>
          <t>SF5113427649239</t>
        </is>
      </c>
      <c r="B1076" s="3" t="n">
        <v>58435485630794</v>
      </c>
      <c r="C1076" s="3" t="inlineStr">
        <is>
          <t>已簽收</t>
        </is>
      </c>
      <c r="D1076" s="3" t="inlineStr">
        <is>
          <t>2026-07-06 16:15:31</t>
        </is>
      </c>
      <c r="E1076" s="3" t="inlineStr">
        <is>
          <t>2026-07-07 09:58</t>
        </is>
      </c>
      <c r="F1076" s="3" t="n">
        <v>4.45</v>
      </c>
      <c r="G1076" s="3" t="n">
        <v>1</v>
      </c>
      <c r="H1076" s="3" t="n"/>
      <c r="I1076" s="3" t="inlineStr"/>
      <c r="J1076" s="3" t="inlineStr">
        <is>
          <t>Keeta</t>
        </is>
      </c>
      <c r="K1076" s="3" t="inlineStr">
        <is>
          <t>****9568</t>
        </is>
      </c>
      <c r="L1076" s="3" t="n"/>
      <c r="M1076" s="3" t="inlineStr">
        <is>
          <t>***** 物流中心5樓</t>
        </is>
      </c>
      <c r="N1076" s="3" t="inlineStr">
        <is>
          <t>北区</t>
        </is>
      </c>
      <c r="O1076" s="3" t="inlineStr">
        <is>
          <t>香港</t>
        </is>
      </c>
      <c r="P1076" s="3" t="inlineStr">
        <is>
          <t>香港特别行政区</t>
        </is>
      </c>
      <c r="Q1076" s="3" t="n">
        <v>448433</v>
      </c>
      <c r="R1076" s="3" t="inlineStr">
        <is>
          <t>香港仔魚蛋王(馳名魚蛋秋冬煲仔飯)</t>
        </is>
      </c>
      <c r="S1076" s="3" t="inlineStr">
        <is>
          <t>****67633838</t>
        </is>
      </c>
      <c r="T1076" s="3" t="inlineStr">
        <is>
          <t>****67633838</t>
        </is>
      </c>
      <c r="U1076" s="3" t="inlineStr">
        <is>
          <t>***** 街25號地下</t>
        </is>
      </c>
      <c r="V1076" s="3" t="inlineStr">
        <is>
          <t>香港</t>
        </is>
      </c>
      <c r="W1076" s="3" t="inlineStr">
        <is>
          <t>机纸/小票纸 / 包出</t>
        </is>
      </c>
      <c r="X1076" s="3" t="inlineStr">
        <is>
          <t>ESS-SFTS-OTMS</t>
        </is>
      </c>
      <c r="Y1076" s="3" t="n"/>
      <c r="Z1076" s="3" t="inlineStr"/>
      <c r="AA1076" s="3" t="inlineStr">
        <is>
          <t>寄付月結</t>
        </is>
      </c>
      <c r="AB1076">
        <f>IFERROR(VLOOKUP(Q1076&amp;"",對照表!$A:$B,1,FALSE),"")</f>
        <v/>
      </c>
      <c r="AC1076">
        <f>IFERROR(VLOOKUP(Q1076&amp;"",對照表!$A:$B,2,FALSE),"")</f>
        <v/>
      </c>
    </row>
    <row r="1077">
      <c r="A1077" s="3" t="inlineStr">
        <is>
          <t>SF5113427648686</t>
        </is>
      </c>
      <c r="B1077" s="3" t="n">
        <v>58435485630631</v>
      </c>
      <c r="C1077" s="3" t="inlineStr">
        <is>
          <t>已簽收</t>
        </is>
      </c>
      <c r="D1077" s="3" t="inlineStr">
        <is>
          <t>2026-07-06 17:51:43</t>
        </is>
      </c>
      <c r="E1077" s="3" t="inlineStr">
        <is>
          <t>2026-07-07 12:42</t>
        </is>
      </c>
      <c r="F1077" s="3" t="n">
        <v>33.08</v>
      </c>
      <c r="G1077" s="3" t="n">
        <v>3</v>
      </c>
      <c r="H1077" s="3" t="n"/>
      <c r="I1077" s="3" t="inlineStr"/>
      <c r="J1077" s="3" t="inlineStr">
        <is>
          <t>Keeta</t>
        </is>
      </c>
      <c r="K1077" s="3" t="inlineStr">
        <is>
          <t>****9568</t>
        </is>
      </c>
      <c r="L1077" s="3" t="n"/>
      <c r="M1077" s="3" t="inlineStr">
        <is>
          <t>***** 物流中心5樓</t>
        </is>
      </c>
      <c r="N1077" s="3" t="inlineStr">
        <is>
          <t>北区</t>
        </is>
      </c>
      <c r="O1077" s="3" t="inlineStr">
        <is>
          <t>香港</t>
        </is>
      </c>
      <c r="P1077" s="3" t="inlineStr">
        <is>
          <t>香港特别行政区</t>
        </is>
      </c>
      <c r="Q1077" s="3" t="n">
        <v>711299</v>
      </c>
      <c r="R1077" s="3" t="inlineStr">
        <is>
          <t>念川居(新世紀廣場)</t>
        </is>
      </c>
      <c r="S1077" s="3" t="inlineStr">
        <is>
          <t>****23391900</t>
        </is>
      </c>
      <c r="T1077" s="3" t="inlineStr">
        <is>
          <t>****23391900</t>
        </is>
      </c>
      <c r="U1077" s="3" t="inlineStr">
        <is>
          <t>***** 樓501號舖</t>
        </is>
      </c>
      <c r="V1077" s="3" t="inlineStr">
        <is>
          <t>香港</t>
        </is>
      </c>
      <c r="W1077" s="3" t="inlineStr">
        <is>
          <t>无纺布【规格四大号】/ 箱出, 无纺布【规格三中号】/ 箱出</t>
        </is>
      </c>
      <c r="X1077" s="3" t="inlineStr">
        <is>
          <t>ESS-SFTS-OTMS</t>
        </is>
      </c>
      <c r="Y1077" s="3" t="n"/>
      <c r="Z1077" s="3" t="inlineStr"/>
      <c r="AA1077" s="3" t="inlineStr">
        <is>
          <t>寄付月結</t>
        </is>
      </c>
      <c r="AB1077">
        <f>IFERROR(VLOOKUP(Q1077&amp;"",對照表!$A:$B,1,FALSE),"")</f>
        <v/>
      </c>
      <c r="AC1077">
        <f>IFERROR(VLOOKUP(Q1077&amp;"",對照表!$A:$B,2,FALSE),"")</f>
        <v/>
      </c>
    </row>
    <row r="1078">
      <c r="A1078" s="3" t="inlineStr">
        <is>
          <t>SF5113427649187</t>
        </is>
      </c>
      <c r="B1078" s="3" t="n">
        <v>58435485630785</v>
      </c>
      <c r="C1078" s="3" t="inlineStr">
        <is>
          <t>已簽收</t>
        </is>
      </c>
      <c r="D1078" s="3" t="inlineStr">
        <is>
          <t>2026-07-06 17:08:24</t>
        </is>
      </c>
      <c r="E1078" s="3" t="inlineStr">
        <is>
          <t>2026-07-07 13:44</t>
        </is>
      </c>
      <c r="F1078" s="3" t="n">
        <v>1.5</v>
      </c>
      <c r="G1078" s="3" t="n">
        <v>1</v>
      </c>
      <c r="H1078" s="3" t="n"/>
      <c r="I1078" s="3" t="inlineStr"/>
      <c r="J1078" s="3" t="inlineStr">
        <is>
          <t>Keeta</t>
        </is>
      </c>
      <c r="K1078" s="3" t="inlineStr">
        <is>
          <t>****9568</t>
        </is>
      </c>
      <c r="L1078" s="3" t="n"/>
      <c r="M1078" s="3" t="inlineStr">
        <is>
          <t>***** 物流中心5樓</t>
        </is>
      </c>
      <c r="N1078" s="3" t="inlineStr">
        <is>
          <t>北区</t>
        </is>
      </c>
      <c r="O1078" s="3" t="inlineStr">
        <is>
          <t>香港</t>
        </is>
      </c>
      <c r="P1078" s="3" t="inlineStr">
        <is>
          <t>香港特别行政区</t>
        </is>
      </c>
      <c r="Q1078" s="3" t="n">
        <v>721447321</v>
      </c>
      <c r="R1078" s="3" t="inlineStr">
        <is>
          <t>十勝牛和食料理（富來花園）</t>
        </is>
      </c>
      <c r="S1078" s="3" t="inlineStr">
        <is>
          <t>****61910177</t>
        </is>
      </c>
      <c r="T1078" s="3" t="inlineStr">
        <is>
          <t>****61910177</t>
        </is>
      </c>
      <c r="U1078" s="3" t="inlineStr">
        <is>
          <t>***** 8及43號舖</t>
        </is>
      </c>
      <c r="V1078" s="3" t="inlineStr">
        <is>
          <t>香港</t>
        </is>
      </c>
      <c r="W1078" s="3" t="inlineStr">
        <is>
          <t>机纸/小票纸 / 包出</t>
        </is>
      </c>
      <c r="X1078" s="3" t="inlineStr">
        <is>
          <t>ESS-SFTS-OTMS</t>
        </is>
      </c>
      <c r="Y1078" s="3" t="n"/>
      <c r="Z1078" s="3" t="inlineStr"/>
      <c r="AA1078" s="3" t="inlineStr">
        <is>
          <t>寄付月結</t>
        </is>
      </c>
      <c r="AB1078">
        <f>IFERROR(VLOOKUP(Q1078&amp;"",對照表!$A:$B,1,FALSE),"")</f>
        <v/>
      </c>
      <c r="AC1078">
        <f>IFERROR(VLOOKUP(Q1078&amp;"",對照表!$A:$B,2,FALSE),"")</f>
        <v/>
      </c>
    </row>
    <row r="1079">
      <c r="A1079" s="3" t="inlineStr">
        <is>
          <t>SF5113427648922</t>
        </is>
      </c>
      <c r="B1079" s="3" t="n">
        <v>58435485630690</v>
      </c>
      <c r="C1079" s="3" t="inlineStr">
        <is>
          <t>已簽收</t>
        </is>
      </c>
      <c r="D1079" s="3" t="inlineStr">
        <is>
          <t>2026-07-06 17:16:35</t>
        </is>
      </c>
      <c r="E1079" s="3" t="inlineStr">
        <is>
          <t>2026-07-07 11:52</t>
        </is>
      </c>
      <c r="F1079" s="3" t="n">
        <v>1</v>
      </c>
      <c r="G1079" s="3" t="n">
        <v>1</v>
      </c>
      <c r="H1079" s="3" t="n"/>
      <c r="I1079" s="3" t="inlineStr"/>
      <c r="J1079" s="3" t="inlineStr">
        <is>
          <t>Keeta</t>
        </is>
      </c>
      <c r="K1079" s="3" t="inlineStr">
        <is>
          <t>****9568</t>
        </is>
      </c>
      <c r="L1079" s="3" t="n"/>
      <c r="M1079" s="3" t="inlineStr">
        <is>
          <t>***** 物流中心5樓</t>
        </is>
      </c>
      <c r="N1079" s="3" t="inlineStr">
        <is>
          <t>北区</t>
        </is>
      </c>
      <c r="O1079" s="3" t="inlineStr">
        <is>
          <t>香港</t>
        </is>
      </c>
      <c r="P1079" s="3" t="inlineStr">
        <is>
          <t>香港特别行政区</t>
        </is>
      </c>
      <c r="Q1079" s="3" t="n">
        <v>607427</v>
      </c>
      <c r="R1079" s="3" t="inlineStr">
        <is>
          <t>呂錦記手撕雞(富康花園店)</t>
        </is>
      </c>
      <c r="S1079" s="3" t="inlineStr">
        <is>
          <t>****25678558</t>
        </is>
      </c>
      <c r="T1079" s="3" t="inlineStr">
        <is>
          <t>****25678558</t>
        </is>
      </c>
      <c r="U1079" s="3" t="inlineStr">
        <is>
          <t>***** 地下45號舖</t>
        </is>
      </c>
      <c r="V1079" s="3" t="inlineStr">
        <is>
          <t>香港</t>
        </is>
      </c>
      <c r="W1079" s="3" t="inlineStr">
        <is>
          <t>翻新POS机【真唯】/ 件出</t>
        </is>
      </c>
      <c r="X1079" s="3" t="inlineStr">
        <is>
          <t>ESS-SFTS-OTMS</t>
        </is>
      </c>
      <c r="Y1079" s="3" t="n"/>
      <c r="Z1079" s="3" t="inlineStr"/>
      <c r="AA1079" s="3" t="inlineStr">
        <is>
          <t>寄付月結</t>
        </is>
      </c>
      <c r="AB1079">
        <f>IFERROR(VLOOKUP(Q1079&amp;"",對照表!$A:$B,1,FALSE),"")</f>
        <v/>
      </c>
      <c r="AC1079">
        <f>IFERROR(VLOOKUP(Q1079&amp;"",對照表!$A:$B,2,FALSE),"")</f>
        <v/>
      </c>
    </row>
    <row r="1080">
      <c r="A1080" s="3" t="inlineStr">
        <is>
          <t>SF5113427649080</t>
        </is>
      </c>
      <c r="B1080" s="3" t="n">
        <v>58435485630756</v>
      </c>
      <c r="C1080" s="3" t="inlineStr">
        <is>
          <t>已簽收</t>
        </is>
      </c>
      <c r="D1080" s="3" t="inlineStr">
        <is>
          <t>2026-07-06 17:52:50</t>
        </is>
      </c>
      <c r="E1080" s="3" t="inlineStr">
        <is>
          <t>2026-07-07 12:08</t>
        </is>
      </c>
      <c r="F1080" s="3" t="n">
        <v>23.18</v>
      </c>
      <c r="G1080" s="3" t="n">
        <v>2</v>
      </c>
      <c r="H1080" s="3" t="n"/>
      <c r="I1080" s="3" t="inlineStr"/>
      <c r="J1080" s="3" t="inlineStr">
        <is>
          <t>Keeta</t>
        </is>
      </c>
      <c r="K1080" s="3" t="inlineStr">
        <is>
          <t>****9568</t>
        </is>
      </c>
      <c r="L1080" s="3" t="n"/>
      <c r="M1080" s="3" t="inlineStr">
        <is>
          <t>***** 物流中心5樓</t>
        </is>
      </c>
      <c r="N1080" s="3" t="inlineStr">
        <is>
          <t>北区</t>
        </is>
      </c>
      <c r="O1080" s="3" t="inlineStr">
        <is>
          <t>香港</t>
        </is>
      </c>
      <c r="P1080" s="3" t="inlineStr">
        <is>
          <t>香港特别行政区</t>
        </is>
      </c>
      <c r="Q1080" s="3" t="n">
        <v>721421375</v>
      </c>
      <c r="R1080" s="3" t="inlineStr">
        <is>
          <t>觸木Touchwood（精選西式料理必試推介）</t>
        </is>
      </c>
      <c r="S1080" s="3" t="inlineStr">
        <is>
          <t>****92625636</t>
        </is>
      </c>
      <c r="T1080" s="3" t="inlineStr">
        <is>
          <t>****92625636</t>
        </is>
      </c>
      <c r="U1080" s="3" t="inlineStr">
        <is>
          <t>***** 座12樓7室</t>
        </is>
      </c>
      <c r="V1080" s="3" t="inlineStr">
        <is>
          <t>香港</t>
        </is>
      </c>
      <c r="W1080" s="3" t="inlineStr">
        <is>
          <t>无纺布【规格四大号】/ 箱出</t>
        </is>
      </c>
      <c r="X1080" s="3" t="inlineStr">
        <is>
          <t>ESS-SFTS-OTMS</t>
        </is>
      </c>
      <c r="Y1080" s="3" t="n"/>
      <c r="Z1080" s="3" t="inlineStr"/>
      <c r="AA1080" s="3" t="inlineStr">
        <is>
          <t>寄付月結</t>
        </is>
      </c>
      <c r="AB1080">
        <f>IFERROR(VLOOKUP(Q1080&amp;"",對照表!$A:$B,1,FALSE),"")</f>
        <v/>
      </c>
      <c r="AC1080">
        <f>IFERROR(VLOOKUP(Q1080&amp;"",對照表!$A:$B,2,FALSE),"")</f>
        <v/>
      </c>
    </row>
    <row r="1081">
      <c r="A1081" s="3" t="inlineStr">
        <is>
          <t>SF5113427652945</t>
        </is>
      </c>
      <c r="B1081" s="3" t="n">
        <v>58435485630800</v>
      </c>
      <c r="C1081" s="3" t="inlineStr">
        <is>
          <t>已簽收</t>
        </is>
      </c>
      <c r="D1081" s="3" t="inlineStr">
        <is>
          <t>2026-07-06 17:33:02</t>
        </is>
      </c>
      <c r="E1081" s="3" t="inlineStr">
        <is>
          <t>2026-07-07 10:06</t>
        </is>
      </c>
      <c r="F1081" s="3" t="n">
        <v>43.5</v>
      </c>
      <c r="G1081" s="3" t="n">
        <v>3</v>
      </c>
      <c r="H1081" s="3" t="n"/>
      <c r="I1081" s="3" t="inlineStr"/>
      <c r="J1081" s="3" t="inlineStr">
        <is>
          <t>Keeta</t>
        </is>
      </c>
      <c r="K1081" s="3" t="inlineStr">
        <is>
          <t>****9568</t>
        </is>
      </c>
      <c r="L1081" s="3" t="n"/>
      <c r="M1081" s="3" t="inlineStr">
        <is>
          <t>***** 物流中心5樓</t>
        </is>
      </c>
      <c r="N1081" s="3" t="inlineStr">
        <is>
          <t>北区</t>
        </is>
      </c>
      <c r="O1081" s="3" t="inlineStr">
        <is>
          <t>香港</t>
        </is>
      </c>
      <c r="P1081" s="3" t="inlineStr">
        <is>
          <t>香港特别行政区</t>
        </is>
      </c>
      <c r="Q1081" s="3" t="n">
        <v>606088</v>
      </c>
      <c r="R1081" s="3" t="inlineStr">
        <is>
          <t>麥當勞(莊士敦)McDonalds</t>
        </is>
      </c>
      <c r="S1081" s="3" t="inlineStr">
        <is>
          <t>****25914351</t>
        </is>
      </c>
      <c r="T1081" s="3" t="inlineStr">
        <is>
          <t>****25914351</t>
        </is>
      </c>
      <c r="U1081" s="3" t="inlineStr">
        <is>
          <t>***** 場地下2號舖</t>
        </is>
      </c>
      <c r="V1081" s="3" t="inlineStr">
        <is>
          <t>香港</t>
        </is>
      </c>
      <c r="W1081" s="3" t="inlineStr">
        <is>
          <t>纸袋【通版】/ 箱出</t>
        </is>
      </c>
      <c r="X1081" s="3" t="inlineStr">
        <is>
          <t>ESS-SFTS-OTMS</t>
        </is>
      </c>
      <c r="Y1081" s="3" t="n"/>
      <c r="Z1081" s="3" t="inlineStr"/>
      <c r="AA1081" s="3" t="inlineStr">
        <is>
          <t>寄付月結</t>
        </is>
      </c>
      <c r="AB1081">
        <f>IFERROR(VLOOKUP(Q1081&amp;"",對照表!$A:$B,1,FALSE),"")</f>
        <v/>
      </c>
      <c r="AC1081">
        <f>IFERROR(VLOOKUP(Q1081&amp;"",對照表!$A:$B,2,FALSE),"")</f>
        <v/>
      </c>
    </row>
    <row r="1082">
      <c r="A1082" s="3" t="inlineStr">
        <is>
          <t>SF5113427653030</t>
        </is>
      </c>
      <c r="B1082" s="3" t="n">
        <v>58435485630821</v>
      </c>
      <c r="C1082" s="3" t="inlineStr">
        <is>
          <t>已簽收</t>
        </is>
      </c>
      <c r="D1082" s="3" t="inlineStr">
        <is>
          <t>2026-07-06 16:15:29</t>
        </is>
      </c>
      <c r="E1082" s="3" t="inlineStr">
        <is>
          <t>2026-07-07 12:21</t>
        </is>
      </c>
      <c r="F1082" s="3" t="n">
        <v>4.45</v>
      </c>
      <c r="G1082" s="3" t="n">
        <v>1</v>
      </c>
      <c r="H1082" s="3" t="n"/>
      <c r="I1082" s="3" t="inlineStr"/>
      <c r="J1082" s="3" t="inlineStr">
        <is>
          <t>Keeta</t>
        </is>
      </c>
      <c r="K1082" s="3" t="inlineStr">
        <is>
          <t>****9568</t>
        </is>
      </c>
      <c r="L1082" s="3" t="n"/>
      <c r="M1082" s="3" t="inlineStr">
        <is>
          <t>***** 物流中心5樓</t>
        </is>
      </c>
      <c r="N1082" s="3" t="inlineStr">
        <is>
          <t>北区</t>
        </is>
      </c>
      <c r="O1082" s="3" t="inlineStr">
        <is>
          <t>香港</t>
        </is>
      </c>
      <c r="P1082" s="3" t="inlineStr">
        <is>
          <t>香港特别行政区</t>
        </is>
      </c>
      <c r="Q1082" s="3" t="n">
        <v>577772</v>
      </c>
      <c r="R1082" s="3" t="inlineStr">
        <is>
          <t>貢茶（觀塘廣場店）</t>
        </is>
      </c>
      <c r="S1082" s="3" t="inlineStr">
        <is>
          <t>****31050501</t>
        </is>
      </c>
      <c r="T1082" s="3" t="inlineStr">
        <is>
          <t>****31050501</t>
        </is>
      </c>
      <c r="U1082" s="3" t="inlineStr">
        <is>
          <t>***** 場地下9號鋪</t>
        </is>
      </c>
      <c r="V1082" s="3" t="inlineStr">
        <is>
          <t>香港</t>
        </is>
      </c>
      <c r="W1082" s="3" t="inlineStr">
        <is>
          <t>机纸/小票纸 / 包出</t>
        </is>
      </c>
      <c r="X1082" s="3" t="inlineStr">
        <is>
          <t>ESS-SFTS-OTMS</t>
        </is>
      </c>
      <c r="Y1082" s="3" t="n"/>
      <c r="Z1082" s="3" t="inlineStr"/>
      <c r="AA1082" s="3" t="inlineStr">
        <is>
          <t>寄付月結</t>
        </is>
      </c>
      <c r="AB1082">
        <f>IFERROR(VLOOKUP(Q1082&amp;"",對照表!$A:$B,1,FALSE),"")</f>
        <v/>
      </c>
      <c r="AC1082">
        <f>IFERROR(VLOOKUP(Q1082&amp;"",對照表!$A:$B,2,FALSE),"")</f>
        <v/>
      </c>
    </row>
    <row r="1083">
      <c r="A1083" s="3" t="inlineStr">
        <is>
          <t>SF5113427652963</t>
        </is>
      </c>
      <c r="B1083" s="3" t="n">
        <v>58435485630806</v>
      </c>
      <c r="C1083" s="3" t="inlineStr">
        <is>
          <t>已簽收</t>
        </is>
      </c>
      <c r="D1083" s="3" t="inlineStr">
        <is>
          <t>2026-07-06 17:52:48</t>
        </is>
      </c>
      <c r="E1083" s="3" t="inlineStr">
        <is>
          <t>2026-07-07 11:38</t>
        </is>
      </c>
      <c r="F1083" s="3" t="n">
        <v>23.18</v>
      </c>
      <c r="G1083" s="3" t="n">
        <v>2</v>
      </c>
      <c r="H1083" s="3" t="n"/>
      <c r="I1083" s="3" t="inlineStr"/>
      <c r="J1083" s="3" t="inlineStr">
        <is>
          <t>Keeta</t>
        </is>
      </c>
      <c r="K1083" s="3" t="inlineStr">
        <is>
          <t>****9568</t>
        </is>
      </c>
      <c r="L1083" s="3" t="n"/>
      <c r="M1083" s="3" t="inlineStr">
        <is>
          <t>***** 物流中心5樓</t>
        </is>
      </c>
      <c r="N1083" s="3" t="inlineStr">
        <is>
          <t>北区</t>
        </is>
      </c>
      <c r="O1083" s="3" t="inlineStr">
        <is>
          <t>香港</t>
        </is>
      </c>
      <c r="P1083" s="3" t="inlineStr">
        <is>
          <t>香港特别行政区</t>
        </is>
      </c>
      <c r="Q1083" s="3" t="n">
        <v>574178</v>
      </c>
      <c r="R1083" s="3" t="inlineStr">
        <is>
          <t>尚盛潮州海鮮飯店正宗潮州菜50年老字號</t>
        </is>
      </c>
      <c r="S1083" s="3" t="inlineStr">
        <is>
          <t>****28544557</t>
        </is>
      </c>
      <c r="T1083" s="3" t="inlineStr">
        <is>
          <t>****28544557</t>
        </is>
      </c>
      <c r="U1083" s="3" t="inlineStr">
        <is>
          <t>***** 下G04號舖</t>
        </is>
      </c>
      <c r="V1083" s="3" t="inlineStr">
        <is>
          <t>香港</t>
        </is>
      </c>
      <c r="W1083" s="3" t="inlineStr">
        <is>
          <t>无纺布【规格四大号】/ 箱出</t>
        </is>
      </c>
      <c r="X1083" s="3" t="inlineStr">
        <is>
          <t>ESS-SFTS-OTMS</t>
        </is>
      </c>
      <c r="Y1083" s="3" t="n"/>
      <c r="Z1083" s="3" t="inlineStr"/>
      <c r="AA1083" s="3" t="inlineStr">
        <is>
          <t>寄付月結</t>
        </is>
      </c>
      <c r="AB1083">
        <f>IFERROR(VLOOKUP(Q1083&amp;"",對照表!$A:$B,1,FALSE),"")</f>
        <v/>
      </c>
      <c r="AC1083">
        <f>IFERROR(VLOOKUP(Q1083&amp;"",對照表!$A:$B,2,FALSE),"")</f>
        <v/>
      </c>
    </row>
    <row r="1084">
      <c r="A1084" s="3" t="inlineStr">
        <is>
          <t>SF5113427649132</t>
        </is>
      </c>
      <c r="B1084" s="3" t="n">
        <v>58435485630771</v>
      </c>
      <c r="C1084" s="3" t="inlineStr">
        <is>
          <t>已簽收</t>
        </is>
      </c>
      <c r="D1084" s="3" t="inlineStr">
        <is>
          <t>2026-07-06 16:48:59</t>
        </is>
      </c>
      <c r="E1084" s="3" t="inlineStr">
        <is>
          <t>2026-07-07 16:16</t>
        </is>
      </c>
      <c r="F1084" s="3" t="n">
        <v>1.1</v>
      </c>
      <c r="G1084" s="3" t="n">
        <v>1</v>
      </c>
      <c r="H1084" s="3" t="n"/>
      <c r="I1084" s="3" t="inlineStr"/>
      <c r="J1084" s="3" t="inlineStr">
        <is>
          <t>Keeta</t>
        </is>
      </c>
      <c r="K1084" s="3" t="inlineStr">
        <is>
          <t>****9568</t>
        </is>
      </c>
      <c r="L1084" s="3" t="n"/>
      <c r="M1084" s="3" t="inlineStr">
        <is>
          <t>***** 物流中心5樓</t>
        </is>
      </c>
      <c r="N1084" s="3" t="inlineStr">
        <is>
          <t>北区</t>
        </is>
      </c>
      <c r="O1084" s="3" t="inlineStr">
        <is>
          <t>香港</t>
        </is>
      </c>
      <c r="P1084" s="3" t="inlineStr">
        <is>
          <t>香港特别行政区</t>
        </is>
      </c>
      <c r="Q1084" s="3" t="n">
        <v>721517337</v>
      </c>
      <c r="R1084" s="3" t="inlineStr">
        <is>
          <t>全日雞實驗所（海南雞專門店）（荃灣）</t>
        </is>
      </c>
      <c r="S1084" s="3" t="inlineStr">
        <is>
          <t>****62777845</t>
        </is>
      </c>
      <c r="T1084" s="3" t="inlineStr">
        <is>
          <t>****62777845</t>
        </is>
      </c>
      <c r="U1084" s="3" t="inlineStr">
        <is>
          <t>***** 街16號地下</t>
        </is>
      </c>
      <c r="V1084" s="3" t="inlineStr">
        <is>
          <t>香港</t>
        </is>
      </c>
      <c r="W1084" s="3" t="inlineStr">
        <is>
          <t>机纸/小票纸 / 包出</t>
        </is>
      </c>
      <c r="X1084" s="3" t="inlineStr">
        <is>
          <t>ESS-SFTS-OTMS</t>
        </is>
      </c>
      <c r="Y1084" s="3" t="n"/>
      <c r="Z1084" s="3" t="inlineStr"/>
      <c r="AA1084" s="3" t="inlineStr">
        <is>
          <t>寄付月結</t>
        </is>
      </c>
      <c r="AB1084">
        <f>IFERROR(VLOOKUP(Q1084&amp;"",對照表!$A:$B,1,FALSE),"")</f>
        <v/>
      </c>
      <c r="AC1084">
        <f>IFERROR(VLOOKUP(Q1084&amp;"",對照表!$A:$B,2,FALSE),"")</f>
        <v/>
      </c>
    </row>
    <row r="1085">
      <c r="A1085" s="3" t="inlineStr">
        <is>
          <t>SF5113427649220</t>
        </is>
      </c>
      <c r="B1085" s="3" t="n">
        <v>58435485630792</v>
      </c>
      <c r="C1085" s="3" t="inlineStr">
        <is>
          <t>已簽收</t>
        </is>
      </c>
      <c r="D1085" s="3" t="inlineStr">
        <is>
          <t>2026-07-06 16:48:54</t>
        </is>
      </c>
      <c r="E1085" s="3" t="inlineStr">
        <is>
          <t>2026-07-07 16:15</t>
        </is>
      </c>
      <c r="F1085" s="3" t="n">
        <v>1.9</v>
      </c>
      <c r="G1085" s="3" t="n">
        <v>1</v>
      </c>
      <c r="H1085" s="3" t="n"/>
      <c r="I1085" s="3" t="inlineStr"/>
      <c r="J1085" s="3" t="inlineStr">
        <is>
          <t>Keeta</t>
        </is>
      </c>
      <c r="K1085" s="3" t="inlineStr">
        <is>
          <t>****9568</t>
        </is>
      </c>
      <c r="L1085" s="3" t="n"/>
      <c r="M1085" s="3" t="inlineStr">
        <is>
          <t>***** 物流中心5樓</t>
        </is>
      </c>
      <c r="N1085" s="3" t="inlineStr">
        <is>
          <t>北区</t>
        </is>
      </c>
      <c r="O1085" s="3" t="inlineStr">
        <is>
          <t>香港</t>
        </is>
      </c>
      <c r="P1085" s="3" t="inlineStr">
        <is>
          <t>香港特别行政区</t>
        </is>
      </c>
      <c r="Q1085" s="3" t="n">
        <v>464871</v>
      </c>
      <c r="R1085" s="3" t="inlineStr">
        <is>
          <t>薔紅特色茶餐廳金牌脆皮燒雞（灣仔總店)</t>
        </is>
      </c>
      <c r="S1085" s="3" t="inlineStr">
        <is>
          <t>****28383784</t>
        </is>
      </c>
      <c r="T1085" s="3" t="inlineStr">
        <is>
          <t>****28383784</t>
        </is>
      </c>
      <c r="U1085" s="3" t="inlineStr">
        <is>
          <t>***** 商業中心1樓</t>
        </is>
      </c>
      <c r="V1085" s="3" t="inlineStr">
        <is>
          <t>香港</t>
        </is>
      </c>
      <c r="W1085" s="3" t="inlineStr">
        <is>
          <t>机纸/小票纸 / 包出</t>
        </is>
      </c>
      <c r="X1085" s="3" t="inlineStr">
        <is>
          <t>ESS-SFTS-OTMS</t>
        </is>
      </c>
      <c r="Y1085" s="3" t="n"/>
      <c r="Z1085" s="3" t="inlineStr"/>
      <c r="AA1085" s="3" t="inlineStr">
        <is>
          <t>寄付月結</t>
        </is>
      </c>
      <c r="AB1085">
        <f>IFERROR(VLOOKUP(Q1085&amp;"",對照表!$A:$B,1,FALSE),"")</f>
        <v/>
      </c>
      <c r="AC1085">
        <f>IFERROR(VLOOKUP(Q1085&amp;"",對照表!$A:$B,2,FALSE),"")</f>
        <v/>
      </c>
    </row>
    <row r="1086">
      <c r="A1086" s="3" t="inlineStr">
        <is>
          <t>SF5113427649169</t>
        </is>
      </c>
      <c r="B1086" s="3" t="n">
        <v>58435485630778</v>
      </c>
      <c r="C1086" s="3" t="inlineStr">
        <is>
          <t>已簽收</t>
        </is>
      </c>
      <c r="D1086" s="3" t="inlineStr">
        <is>
          <t>2026-07-06 16:15:36</t>
        </is>
      </c>
      <c r="E1086" s="3" t="inlineStr">
        <is>
          <t>2026-07-07 16:03</t>
        </is>
      </c>
      <c r="F1086" s="3" t="n">
        <v>4.45</v>
      </c>
      <c r="G1086" s="3" t="n">
        <v>1</v>
      </c>
      <c r="H1086" s="3" t="n"/>
      <c r="I1086" s="3" t="inlineStr"/>
      <c r="J1086" s="3" t="inlineStr">
        <is>
          <t>Keeta</t>
        </is>
      </c>
      <c r="K1086" s="3" t="inlineStr">
        <is>
          <t>****9568</t>
        </is>
      </c>
      <c r="L1086" s="3" t="n"/>
      <c r="M1086" s="3" t="inlineStr">
        <is>
          <t>***** 物流中心5樓</t>
        </is>
      </c>
      <c r="N1086" s="3" t="inlineStr">
        <is>
          <t>北区</t>
        </is>
      </c>
      <c r="O1086" s="3" t="inlineStr">
        <is>
          <t>香港</t>
        </is>
      </c>
      <c r="P1086" s="3" t="inlineStr">
        <is>
          <t>香港特别行政区</t>
        </is>
      </c>
      <c r="Q1086" s="3" t="n">
        <v>471786</v>
      </c>
      <c r="R1086" s="3" t="inlineStr">
        <is>
          <t>祥榮餐廳CheungWingRestaurant</t>
        </is>
      </c>
      <c r="S1086" s="3" t="inlineStr">
        <is>
          <t>****23622675</t>
        </is>
      </c>
      <c r="T1086" s="3" t="inlineStr">
        <is>
          <t>****23622675</t>
        </is>
      </c>
      <c r="U1086" s="3" t="inlineStr">
        <is>
          <t>*****  及7D號舖</t>
        </is>
      </c>
      <c r="V1086" s="3" t="inlineStr">
        <is>
          <t>香港</t>
        </is>
      </c>
      <c r="W1086" s="3" t="inlineStr">
        <is>
          <t>机纸/小票纸 / 包出</t>
        </is>
      </c>
      <c r="X1086" s="3" t="inlineStr">
        <is>
          <t>ESS-SFTS-OTMS</t>
        </is>
      </c>
      <c r="Y1086" s="3" t="n"/>
      <c r="Z1086" s="3" t="inlineStr"/>
      <c r="AA1086" s="3" t="inlineStr">
        <is>
          <t>寄付月結</t>
        </is>
      </c>
      <c r="AB1086">
        <f>IFERROR(VLOOKUP(Q1086&amp;"",對照表!$A:$B,1,FALSE),"")</f>
        <v/>
      </c>
      <c r="AC1086">
        <f>IFERROR(VLOOKUP(Q1086&amp;"",對照表!$A:$B,2,FALSE),"")</f>
        <v/>
      </c>
    </row>
    <row r="1087">
      <c r="A1087" s="3" t="inlineStr">
        <is>
          <t>SF5113427652936</t>
        </is>
      </c>
      <c r="B1087" s="3" t="n">
        <v>58435485630799</v>
      </c>
      <c r="C1087" s="3" t="inlineStr">
        <is>
          <t>已簽收</t>
        </is>
      </c>
      <c r="D1087" s="3" t="inlineStr">
        <is>
          <t>2026-07-06 16:48:52</t>
        </is>
      </c>
      <c r="E1087" s="3" t="inlineStr">
        <is>
          <t>2026-07-07 12:21</t>
        </is>
      </c>
      <c r="F1087" s="3" t="n">
        <v>1.1</v>
      </c>
      <c r="G1087" s="3" t="n">
        <v>1</v>
      </c>
      <c r="H1087" s="3" t="n"/>
      <c r="I1087" s="3" t="inlineStr"/>
      <c r="J1087" s="3" t="inlineStr">
        <is>
          <t>Keeta</t>
        </is>
      </c>
      <c r="K1087" s="3" t="inlineStr">
        <is>
          <t>****9568</t>
        </is>
      </c>
      <c r="L1087" s="3" t="n"/>
      <c r="M1087" s="3" t="inlineStr">
        <is>
          <t>***** 物流中心5樓</t>
        </is>
      </c>
      <c r="N1087" s="3" t="inlineStr">
        <is>
          <t>北区</t>
        </is>
      </c>
      <c r="O1087" s="3" t="inlineStr">
        <is>
          <t>香港</t>
        </is>
      </c>
      <c r="P1087" s="3" t="inlineStr">
        <is>
          <t>香港特别行政区</t>
        </is>
      </c>
      <c r="Q1087" s="3" t="n">
        <v>491794</v>
      </c>
      <c r="R1087" s="3" t="inlineStr">
        <is>
          <t>厚興瑜記手撕雞必食風味手撕雞飯(大角咀)</t>
        </is>
      </c>
      <c r="S1087" s="3" t="inlineStr">
        <is>
          <t>****69132641</t>
        </is>
      </c>
      <c r="T1087" s="3" t="inlineStr">
        <is>
          <t>****69132641</t>
        </is>
      </c>
      <c r="U1087" s="3" t="inlineStr">
        <is>
          <t>***** 號地下H號舖</t>
        </is>
      </c>
      <c r="V1087" s="3" t="inlineStr">
        <is>
          <t>香港</t>
        </is>
      </c>
      <c r="W1087" s="3" t="inlineStr">
        <is>
          <t>机纸/小票纸 / 包出</t>
        </is>
      </c>
      <c r="X1087" s="3" t="inlineStr">
        <is>
          <t>ESS-SFTS-OTMS</t>
        </is>
      </c>
      <c r="Y1087" s="3" t="n"/>
      <c r="Z1087" s="3" t="inlineStr"/>
      <c r="AA1087" s="3" t="inlineStr">
        <is>
          <t>寄付月結</t>
        </is>
      </c>
      <c r="AB1087">
        <f>IFERROR(VLOOKUP(Q1087&amp;"",對照表!$A:$B,1,FALSE),"")</f>
        <v/>
      </c>
      <c r="AC1087">
        <f>IFERROR(VLOOKUP(Q1087&amp;"",對照表!$A:$B,2,FALSE),"")</f>
        <v/>
      </c>
    </row>
    <row r="1088">
      <c r="A1088" s="3" t="inlineStr">
        <is>
          <t>SF5113427648807</t>
        </is>
      </c>
      <c r="B1088" s="3" t="n">
        <v>58435485630664</v>
      </c>
      <c r="C1088" s="3" t="inlineStr">
        <is>
          <t>已簽收</t>
        </is>
      </c>
      <c r="D1088" s="3" t="inlineStr">
        <is>
          <t>2026-07-06 17:20:57</t>
        </is>
      </c>
      <c r="E1088" s="3" t="inlineStr">
        <is>
          <t>2026-07-07 11:12</t>
        </is>
      </c>
      <c r="F1088" s="3" t="n">
        <v>1</v>
      </c>
      <c r="G1088" s="3" t="n">
        <v>1</v>
      </c>
      <c r="H1088" s="3" t="n"/>
      <c r="I1088" s="3" t="inlineStr"/>
      <c r="J1088" s="3" t="inlineStr">
        <is>
          <t>Keeta</t>
        </is>
      </c>
      <c r="K1088" s="3" t="inlineStr">
        <is>
          <t>****9568</t>
        </is>
      </c>
      <c r="L1088" s="3" t="n"/>
      <c r="M1088" s="3" t="inlineStr">
        <is>
          <t>***** 物流中心5樓</t>
        </is>
      </c>
      <c r="N1088" s="3" t="inlineStr">
        <is>
          <t>北区</t>
        </is>
      </c>
      <c r="O1088" s="3" t="inlineStr">
        <is>
          <t>香港</t>
        </is>
      </c>
      <c r="P1088" s="3" t="inlineStr">
        <is>
          <t>香港特别行政区</t>
        </is>
      </c>
      <c r="Q1088" s="3" t="n">
        <v>721517342</v>
      </c>
      <c r="R1088" s="3" t="inlineStr">
        <is>
          <t>咕嚕貓優質兩餸飯（鑽石山店）</t>
        </is>
      </c>
      <c r="S1088" s="3" t="inlineStr">
        <is>
          <t>****66158912</t>
        </is>
      </c>
      <c r="T1088" s="3" t="inlineStr">
        <is>
          <t>****66158912</t>
        </is>
      </c>
      <c r="U1088" s="3" t="inlineStr">
        <is>
          <t>***** a tsui</t>
        </is>
      </c>
      <c r="V1088" s="3" t="inlineStr">
        <is>
          <t>香港</t>
        </is>
      </c>
      <c r="W1088" s="3" t="inlineStr">
        <is>
          <t>翻新POS机【真唯】/ 件出</t>
        </is>
      </c>
      <c r="X1088" s="3" t="inlineStr">
        <is>
          <t>ESS-SFTS-OTMS</t>
        </is>
      </c>
      <c r="Y1088" s="3" t="n"/>
      <c r="Z1088" s="3" t="inlineStr"/>
      <c r="AA1088" s="3" t="inlineStr">
        <is>
          <t>寄付月結</t>
        </is>
      </c>
      <c r="AB1088">
        <f>IFERROR(VLOOKUP(Q1088&amp;"",對照表!$A:$B,1,FALSE),"")</f>
        <v/>
      </c>
      <c r="AC1088">
        <f>IFERROR(VLOOKUP(Q1088&amp;"",對照表!$A:$B,2,FALSE),"")</f>
        <v/>
      </c>
    </row>
    <row r="1089">
      <c r="A1089" s="3" t="inlineStr">
        <is>
          <t>SF5113427653012</t>
        </is>
      </c>
      <c r="B1089" s="3" t="n">
        <v>58435485630818</v>
      </c>
      <c r="C1089" s="3" t="inlineStr">
        <is>
          <t>已簽收</t>
        </is>
      </c>
      <c r="D1089" s="3" t="inlineStr">
        <is>
          <t>2026-07-06 16:11:11</t>
        </is>
      </c>
      <c r="E1089" s="3" t="inlineStr">
        <is>
          <t>2026-07-07 11:41</t>
        </is>
      </c>
      <c r="F1089" s="3" t="n">
        <v>29</v>
      </c>
      <c r="G1089" s="3" t="n">
        <v>2</v>
      </c>
      <c r="H1089" s="3" t="n"/>
      <c r="I1089" s="3" t="inlineStr"/>
      <c r="J1089" s="3" t="inlineStr">
        <is>
          <t>Keeta</t>
        </is>
      </c>
      <c r="K1089" s="3" t="inlineStr">
        <is>
          <t>****9568</t>
        </is>
      </c>
      <c r="L1089" s="3" t="n"/>
      <c r="M1089" s="3" t="inlineStr">
        <is>
          <t>***** 物流中心5樓</t>
        </is>
      </c>
      <c r="N1089" s="3" t="inlineStr">
        <is>
          <t>北区</t>
        </is>
      </c>
      <c r="O1089" s="3" t="inlineStr">
        <is>
          <t>香港</t>
        </is>
      </c>
      <c r="P1089" s="3" t="inlineStr">
        <is>
          <t>香港特别行政区</t>
        </is>
      </c>
      <c r="Q1089" s="3" t="n">
        <v>721531373</v>
      </c>
      <c r="R1089" s="3" t="inlineStr">
        <is>
          <t>麥當勞(幸福商場)McDonalds</t>
        </is>
      </c>
      <c r="S1089" s="3" t="inlineStr">
        <is>
          <t>****27583292</t>
        </is>
      </c>
      <c r="T1089" s="3" t="inlineStr">
        <is>
          <t>****27583292</t>
        </is>
      </c>
      <c r="U1089" s="3" t="inlineStr">
        <is>
          <t>***** 1樓111舖</t>
        </is>
      </c>
      <c r="V1089" s="3" t="inlineStr">
        <is>
          <t>香港</t>
        </is>
      </c>
      <c r="W1089" s="3" t="inlineStr">
        <is>
          <t>纸袋【通版】/ 箱出</t>
        </is>
      </c>
      <c r="X1089" s="3" t="inlineStr">
        <is>
          <t>ESS-SFTS-OTMS</t>
        </is>
      </c>
      <c r="Y1089" s="3" t="n"/>
      <c r="Z1089" s="3" t="inlineStr"/>
      <c r="AA1089" s="3" t="inlineStr">
        <is>
          <t>寄付月結</t>
        </is>
      </c>
      <c r="AB1089">
        <f>IFERROR(VLOOKUP(Q1089&amp;"",對照表!$A:$B,1,FALSE),"")</f>
        <v/>
      </c>
      <c r="AC1089">
        <f>IFERROR(VLOOKUP(Q1089&amp;"",對照表!$A:$B,2,FALSE),"")</f>
        <v/>
      </c>
    </row>
    <row r="1090">
      <c r="A1090" s="3" t="inlineStr">
        <is>
          <t>SF5113427653289</t>
        </is>
      </c>
      <c r="B1090" s="3" t="n">
        <v>58435485663275</v>
      </c>
      <c r="C1090" s="3" t="inlineStr">
        <is>
          <t>已簽收</t>
        </is>
      </c>
      <c r="D1090" s="3" t="inlineStr">
        <is>
          <t>2026-07-06 16:07:10</t>
        </is>
      </c>
      <c r="E1090" s="3" t="inlineStr">
        <is>
          <t>2026-07-07 11:52</t>
        </is>
      </c>
      <c r="F1090" s="3" t="n">
        <v>4.45</v>
      </c>
      <c r="G1090" s="3" t="n">
        <v>1</v>
      </c>
      <c r="H1090" s="3" t="n"/>
      <c r="I1090" s="3" t="inlineStr"/>
      <c r="J1090" s="3" t="inlineStr">
        <is>
          <t>Keeta</t>
        </is>
      </c>
      <c r="K1090" s="3" t="inlineStr">
        <is>
          <t>****9568</t>
        </is>
      </c>
      <c r="L1090" s="3" t="n"/>
      <c r="M1090" s="3" t="inlineStr">
        <is>
          <t>***** 物流中心5樓</t>
        </is>
      </c>
      <c r="N1090" s="3" t="inlineStr">
        <is>
          <t>北区</t>
        </is>
      </c>
      <c r="O1090" s="3" t="inlineStr">
        <is>
          <t>香港</t>
        </is>
      </c>
      <c r="P1090" s="3" t="inlineStr">
        <is>
          <t>香港特别行政区</t>
        </is>
      </c>
      <c r="Q1090" s="3" t="n">
        <v>471861</v>
      </c>
      <c r="R1090" s="3" t="inlineStr">
        <is>
          <t>潤暉車仔麵</t>
        </is>
      </c>
      <c r="S1090" s="3" t="inlineStr">
        <is>
          <t>****65848688</t>
        </is>
      </c>
      <c r="T1090" s="3" t="inlineStr">
        <is>
          <t>****65848688</t>
        </is>
      </c>
      <c r="U1090" s="3" t="inlineStr">
        <is>
          <t>***** 樓地下9號舖</t>
        </is>
      </c>
      <c r="V1090" s="3" t="inlineStr">
        <is>
          <t>香港</t>
        </is>
      </c>
      <c r="W1090" s="3" t="inlineStr">
        <is>
          <t>机纸/小票纸 / 包出</t>
        </is>
      </c>
      <c r="X1090" s="3" t="inlineStr">
        <is>
          <t>ESS-SFTS-OTMS</t>
        </is>
      </c>
      <c r="Y1090" s="3" t="n"/>
      <c r="Z1090" s="3" t="inlineStr"/>
      <c r="AA1090" s="3" t="inlineStr">
        <is>
          <t>寄付月結</t>
        </is>
      </c>
      <c r="AB1090">
        <f>IFERROR(VLOOKUP(Q1090&amp;"",對照表!$A:$B,1,FALSE),"")</f>
        <v/>
      </c>
      <c r="AC1090">
        <f>IFERROR(VLOOKUP(Q1090&amp;"",對照表!$A:$B,2,FALSE),"")</f>
        <v/>
      </c>
    </row>
    <row r="1091">
      <c r="A1091" s="3" t="inlineStr">
        <is>
          <t>SF5113427648986</t>
        </is>
      </c>
      <c r="B1091" s="3" t="n">
        <v>58435485630708</v>
      </c>
      <c r="C1091" s="3" t="inlineStr">
        <is>
          <t>已簽收</t>
        </is>
      </c>
      <c r="D1091" s="3" t="inlineStr">
        <is>
          <t>2026-07-06 15:19:07</t>
        </is>
      </c>
      <c r="E1091" s="3" t="inlineStr">
        <is>
          <t>2026-07-07 12:39</t>
        </is>
      </c>
      <c r="F1091" s="3" t="n">
        <v>14.5</v>
      </c>
      <c r="G1091" s="3" t="n">
        <v>1</v>
      </c>
      <c r="H1091" s="3" t="n"/>
      <c r="I1091" s="3" t="inlineStr"/>
      <c r="J1091" s="3" t="inlineStr">
        <is>
          <t>Keeta</t>
        </is>
      </c>
      <c r="K1091" s="3" t="inlineStr">
        <is>
          <t>****9568</t>
        </is>
      </c>
      <c r="L1091" s="3" t="n"/>
      <c r="M1091" s="3" t="inlineStr">
        <is>
          <t>***** 物流中心5樓</t>
        </is>
      </c>
      <c r="N1091" s="3" t="inlineStr">
        <is>
          <t>北区</t>
        </is>
      </c>
      <c r="O1091" s="3" t="inlineStr">
        <is>
          <t>香港</t>
        </is>
      </c>
      <c r="P1091" s="3" t="inlineStr">
        <is>
          <t>香港特别行政区</t>
        </is>
      </c>
      <c r="Q1091" s="3" t="n">
        <v>721529413</v>
      </c>
      <c r="R1091" s="3" t="inlineStr">
        <is>
          <t>牛爺燒（上海街店）</t>
        </is>
      </c>
      <c r="S1091" s="3" t="inlineStr">
        <is>
          <t>****5190072</t>
        </is>
      </c>
      <c r="T1091" s="3" t="inlineStr">
        <is>
          <t>****5190072</t>
        </is>
      </c>
      <c r="U1091" s="3" t="inlineStr">
        <is>
          <t>***** 大廈地下E舖</t>
        </is>
      </c>
      <c r="V1091" s="3" t="inlineStr">
        <is>
          <t>香港</t>
        </is>
      </c>
      <c r="W1091" s="3" t="inlineStr">
        <is>
          <t>纸袋【通版】/ 箱出</t>
        </is>
      </c>
      <c r="X1091" s="3" t="inlineStr">
        <is>
          <t>ESS-SFTS-OTMS</t>
        </is>
      </c>
      <c r="Y1091" s="3" t="n"/>
      <c r="Z1091" s="3" t="inlineStr"/>
      <c r="AA1091" s="3" t="inlineStr">
        <is>
          <t>寄付月結</t>
        </is>
      </c>
      <c r="AB1091">
        <f>IFERROR(VLOOKUP(Q1091&amp;"",對照表!$A:$B,1,FALSE),"")</f>
        <v/>
      </c>
      <c r="AC1091">
        <f>IFERROR(VLOOKUP(Q1091&amp;"",對照表!$A:$B,2,FALSE),"")</f>
        <v/>
      </c>
    </row>
    <row r="1092">
      <c r="A1092" s="3" t="inlineStr">
        <is>
          <t>SF5113427653119</t>
        </is>
      </c>
      <c r="B1092" s="3" t="n">
        <v>58435485663234</v>
      </c>
      <c r="C1092" s="3" t="inlineStr">
        <is>
          <t>已簽收</t>
        </is>
      </c>
      <c r="D1092" s="3" t="inlineStr">
        <is>
          <t>2026-07-06 17:20:33</t>
        </is>
      </c>
      <c r="E1092" s="3" t="inlineStr">
        <is>
          <t>2026-07-07 14:08</t>
        </is>
      </c>
      <c r="F1092" s="3" t="n">
        <v>1</v>
      </c>
      <c r="G1092" s="3" t="n">
        <v>1</v>
      </c>
      <c r="H1092" s="3" t="n"/>
      <c r="I1092" s="3" t="inlineStr"/>
      <c r="J1092" s="3" t="inlineStr">
        <is>
          <t>Keeta</t>
        </is>
      </c>
      <c r="K1092" s="3" t="inlineStr">
        <is>
          <t>****9568</t>
        </is>
      </c>
      <c r="L1092" s="3" t="n"/>
      <c r="M1092" s="3" t="inlineStr">
        <is>
          <t>***** 物流中心5樓</t>
        </is>
      </c>
      <c r="N1092" s="3" t="inlineStr">
        <is>
          <t>北区</t>
        </is>
      </c>
      <c r="O1092" s="3" t="inlineStr">
        <is>
          <t>香港</t>
        </is>
      </c>
      <c r="P1092" s="3" t="inlineStr">
        <is>
          <t>香港特别行政区</t>
        </is>
      </c>
      <c r="Q1092" s="3" t="n">
        <v>457633</v>
      </c>
      <c r="R1092" s="3" t="inlineStr">
        <is>
          <t>WeTimeCafe（石蔭店）</t>
        </is>
      </c>
      <c r="S1092" s="3" t="inlineStr">
        <is>
          <t>****34640991</t>
        </is>
      </c>
      <c r="T1092" s="3" t="inlineStr">
        <is>
          <t>****34640991</t>
        </is>
      </c>
      <c r="U1092" s="3" t="inlineStr">
        <is>
          <t>***** 樓地下2號舖</t>
        </is>
      </c>
      <c r="V1092" s="3" t="inlineStr">
        <is>
          <t>香港</t>
        </is>
      </c>
      <c r="W1092" s="3" t="inlineStr">
        <is>
          <t>翻新POS机【真唯】/ 件出</t>
        </is>
      </c>
      <c r="X1092" s="3" t="inlineStr">
        <is>
          <t>ESS-SFTS-OTMS</t>
        </is>
      </c>
      <c r="Y1092" s="3" t="n"/>
      <c r="Z1092" s="3" t="inlineStr"/>
      <c r="AA1092" s="3" t="inlineStr">
        <is>
          <t>寄付月結</t>
        </is>
      </c>
      <c r="AB1092">
        <f>IFERROR(VLOOKUP(Q1092&amp;"",對照表!$A:$B,1,FALSE),"")</f>
        <v/>
      </c>
      <c r="AC1092">
        <f>IFERROR(VLOOKUP(Q1092&amp;"",對照表!$A:$B,2,FALSE),"")</f>
        <v/>
      </c>
    </row>
    <row r="1093">
      <c r="A1093" s="3" t="inlineStr">
        <is>
          <t>SF5113427653164</t>
        </is>
      </c>
      <c r="B1093" s="3" t="n">
        <v>58435485663245</v>
      </c>
      <c r="C1093" s="3" t="inlineStr">
        <is>
          <t>已簽收</t>
        </is>
      </c>
      <c r="D1093" s="3" t="inlineStr">
        <is>
          <t>2026-07-06 17:45:25</t>
        </is>
      </c>
      <c r="E1093" s="3" t="inlineStr">
        <is>
          <t>2026-07-07 10:14</t>
        </is>
      </c>
      <c r="F1093" s="3" t="n">
        <v>1.24</v>
      </c>
      <c r="G1093" s="3" t="n">
        <v>1</v>
      </c>
      <c r="H1093" s="3" t="n"/>
      <c r="I1093" s="3" t="inlineStr"/>
      <c r="J1093" s="3" t="inlineStr">
        <is>
          <t>Keeta</t>
        </is>
      </c>
      <c r="K1093" s="3" t="inlineStr">
        <is>
          <t>****9568</t>
        </is>
      </c>
      <c r="L1093" s="3" t="n"/>
      <c r="M1093" s="3" t="inlineStr">
        <is>
          <t>***** 物流中心5樓</t>
        </is>
      </c>
      <c r="N1093" s="3" t="inlineStr">
        <is>
          <t>北区</t>
        </is>
      </c>
      <c r="O1093" s="3" t="inlineStr">
        <is>
          <t>香港</t>
        </is>
      </c>
      <c r="P1093" s="3" t="inlineStr">
        <is>
          <t>香港特别行政区</t>
        </is>
      </c>
      <c r="Q1093" s="3" t="n">
        <v>721542311</v>
      </c>
      <c r="R1093" s="3" t="inlineStr">
        <is>
          <t>AnNamBanhMi越南傳統法包（越式咖啡香茅豬肉撈檬惹味串燒斑斕糕）</t>
        </is>
      </c>
      <c r="S1093" s="3" t="inlineStr">
        <is>
          <t>****97313278</t>
        </is>
      </c>
      <c r="T1093" s="3" t="inlineStr">
        <is>
          <t>****97313278</t>
        </is>
      </c>
      <c r="U1093" s="3" t="inlineStr">
        <is>
          <t>***** za 155</t>
        </is>
      </c>
      <c r="V1093" s="3" t="inlineStr">
        <is>
          <t>香港</t>
        </is>
      </c>
      <c r="W1093" s="3" t="inlineStr">
        <is>
          <t>塑料袋【小】/ 扎出</t>
        </is>
      </c>
      <c r="X1093" s="3" t="inlineStr">
        <is>
          <t>ESS-SFTS-OTMS</t>
        </is>
      </c>
      <c r="Y1093" s="3" t="n"/>
      <c r="Z1093" s="3" t="inlineStr"/>
      <c r="AA1093" s="3" t="inlineStr">
        <is>
          <t>寄付月結</t>
        </is>
      </c>
      <c r="AB1093">
        <f>IFERROR(VLOOKUP(Q1093&amp;"",對照表!$A:$B,1,FALSE),"")</f>
        <v/>
      </c>
      <c r="AC1093">
        <f>IFERROR(VLOOKUP(Q1093&amp;"",對照表!$A:$B,2,FALSE),"")</f>
        <v/>
      </c>
    </row>
    <row r="1094">
      <c r="A1094" s="3" t="inlineStr">
        <is>
          <t>SF5113427649114</t>
        </is>
      </c>
      <c r="B1094" s="3" t="n">
        <v>58435485630764</v>
      </c>
      <c r="C1094" s="3" t="inlineStr">
        <is>
          <t>已簽收</t>
        </is>
      </c>
      <c r="D1094" s="3" t="inlineStr">
        <is>
          <t>2026-07-06 17:08:25</t>
        </is>
      </c>
      <c r="E1094" s="3" t="inlineStr">
        <is>
          <t>2026-07-07 13:33</t>
        </is>
      </c>
      <c r="F1094" s="3" t="n">
        <v>1.5</v>
      </c>
      <c r="G1094" s="3" t="n">
        <v>1</v>
      </c>
      <c r="H1094" s="3" t="n"/>
      <c r="I1094" s="3" t="inlineStr"/>
      <c r="J1094" s="3" t="inlineStr">
        <is>
          <t>Keeta</t>
        </is>
      </c>
      <c r="K1094" s="3" t="inlineStr">
        <is>
          <t>****9568</t>
        </is>
      </c>
      <c r="L1094" s="3" t="n"/>
      <c r="M1094" s="3" t="inlineStr">
        <is>
          <t>***** 物流中心5樓</t>
        </is>
      </c>
      <c r="N1094" s="3" t="inlineStr">
        <is>
          <t>北区</t>
        </is>
      </c>
      <c r="O1094" s="3" t="inlineStr">
        <is>
          <t>香港</t>
        </is>
      </c>
      <c r="P1094" s="3" t="inlineStr">
        <is>
          <t>香港特别行政区</t>
        </is>
      </c>
      <c r="Q1094" s="3" t="n">
        <v>481891</v>
      </c>
      <c r="R1094" s="3" t="inlineStr">
        <is>
          <t>屯利佳餐廳</t>
        </is>
      </c>
      <c r="S1094" s="3" t="inlineStr">
        <is>
          <t>****26180034</t>
        </is>
      </c>
      <c r="T1094" s="3" t="inlineStr">
        <is>
          <t>****26180034</t>
        </is>
      </c>
      <c r="U1094" s="3" t="inlineStr">
        <is>
          <t>***** 地下10號舖</t>
        </is>
      </c>
      <c r="V1094" s="3" t="inlineStr">
        <is>
          <t>香港</t>
        </is>
      </c>
      <c r="W1094" s="3" t="inlineStr">
        <is>
          <t>机纸/小票纸 / 包出</t>
        </is>
      </c>
      <c r="X1094" s="3" t="inlineStr">
        <is>
          <t>ESS-SFTS-OTMS</t>
        </is>
      </c>
      <c r="Y1094" s="3" t="n"/>
      <c r="Z1094" s="3" t="inlineStr"/>
      <c r="AA1094" s="3" t="inlineStr">
        <is>
          <t>寄付月結</t>
        </is>
      </c>
      <c r="AB1094">
        <f>IFERROR(VLOOKUP(Q1094&amp;"",對照表!$A:$B,1,FALSE),"")</f>
        <v/>
      </c>
      <c r="AC1094">
        <f>IFERROR(VLOOKUP(Q1094&amp;"",對照表!$A:$B,2,FALSE),"")</f>
        <v/>
      </c>
    </row>
    <row r="1095">
      <c r="A1095" s="3" t="inlineStr">
        <is>
          <t>SF5113427653173</t>
        </is>
      </c>
      <c r="B1095" s="3" t="n">
        <v>58435485663249</v>
      </c>
      <c r="C1095" s="3" t="inlineStr">
        <is>
          <t>已簽收</t>
        </is>
      </c>
      <c r="D1095" s="3" t="inlineStr">
        <is>
          <t>2026-07-06 15:19:10</t>
        </is>
      </c>
      <c r="E1095" s="3" t="inlineStr">
        <is>
          <t>2026-07-07 12:07</t>
        </is>
      </c>
      <c r="F1095" s="3" t="n">
        <v>14.5</v>
      </c>
      <c r="G1095" s="3" t="n">
        <v>1</v>
      </c>
      <c r="H1095" s="3" t="n"/>
      <c r="I1095" s="3" t="inlineStr"/>
      <c r="J1095" s="3" t="inlineStr">
        <is>
          <t>Keeta</t>
        </is>
      </c>
      <c r="K1095" s="3" t="inlineStr">
        <is>
          <t>****9568</t>
        </is>
      </c>
      <c r="L1095" s="3" t="n"/>
      <c r="M1095" s="3" t="inlineStr">
        <is>
          <t>***** 物流中心5樓</t>
        </is>
      </c>
      <c r="N1095" s="3" t="inlineStr">
        <is>
          <t>北区</t>
        </is>
      </c>
      <c r="O1095" s="3" t="inlineStr">
        <is>
          <t>香港</t>
        </is>
      </c>
      <c r="P1095" s="3" t="inlineStr">
        <is>
          <t>香港特别行政区</t>
        </is>
      </c>
      <c r="Q1095" s="3" t="n">
        <v>479668</v>
      </c>
      <c r="R1095" s="3" t="inlineStr">
        <is>
          <t>7Eleven（東堤灣畔）0565</t>
        </is>
      </c>
      <c r="S1095" s="3" t="inlineStr">
        <is>
          <t>****24036842</t>
        </is>
      </c>
      <c r="T1095" s="3" t="inlineStr">
        <is>
          <t>****24036842</t>
        </is>
      </c>
      <c r="U1095" s="3" t="inlineStr">
        <is>
          <t>***** 13號舖位。</t>
        </is>
      </c>
      <c r="V1095" s="3" t="inlineStr">
        <is>
          <t>香港</t>
        </is>
      </c>
      <c r="W1095" s="3" t="inlineStr">
        <is>
          <t>纸袋【通版】/ 箱出</t>
        </is>
      </c>
      <c r="X1095" s="3" t="inlineStr">
        <is>
          <t>ESS-SFTS-OTMS</t>
        </is>
      </c>
      <c r="Y1095" s="3" t="n"/>
      <c r="Z1095" s="3" t="inlineStr"/>
      <c r="AA1095" s="3" t="inlineStr">
        <is>
          <t>寄付月結</t>
        </is>
      </c>
      <c r="AB1095">
        <f>IFERROR(VLOOKUP(Q1095&amp;"",對照表!$A:$B,1,FALSE),"")</f>
        <v/>
      </c>
      <c r="AC1095">
        <f>IFERROR(VLOOKUP(Q1095&amp;"",對照表!$A:$B,2,FALSE),"")</f>
        <v/>
      </c>
    </row>
    <row r="1096">
      <c r="A1096" s="3" t="inlineStr">
        <is>
          <t>SF5113427649178</t>
        </is>
      </c>
      <c r="B1096" s="3" t="n">
        <v>58435485630781</v>
      </c>
      <c r="C1096" s="3" t="inlineStr">
        <is>
          <t>已簽收</t>
        </is>
      </c>
      <c r="D1096" s="3" t="inlineStr">
        <is>
          <t>2026-07-06 17:11:04</t>
        </is>
      </c>
      <c r="E1096" s="3" t="inlineStr">
        <is>
          <t>2026-07-07 12:50</t>
        </is>
      </c>
      <c r="F1096" s="3" t="n">
        <v>2.36</v>
      </c>
      <c r="G1096" s="3" t="n">
        <v>1</v>
      </c>
      <c r="H1096" s="3" t="n"/>
      <c r="I1096" s="3" t="inlineStr"/>
      <c r="J1096" s="3" t="inlineStr">
        <is>
          <t>Keeta</t>
        </is>
      </c>
      <c r="K1096" s="3" t="inlineStr">
        <is>
          <t>****9568</t>
        </is>
      </c>
      <c r="L1096" s="3" t="n"/>
      <c r="M1096" s="3" t="inlineStr">
        <is>
          <t>***** 物流中心5樓</t>
        </is>
      </c>
      <c r="N1096" s="3" t="inlineStr">
        <is>
          <t>北区</t>
        </is>
      </c>
      <c r="O1096" s="3" t="inlineStr">
        <is>
          <t>香港</t>
        </is>
      </c>
      <c r="P1096" s="3" t="inlineStr">
        <is>
          <t>香港特别行政区</t>
        </is>
      </c>
      <c r="Q1096" s="3" t="n">
        <v>721536293</v>
      </c>
      <c r="R1096" s="3" t="inlineStr">
        <is>
          <t>笨大碗(紅磡必試私房紅燒牛肉麵)</t>
        </is>
      </c>
      <c r="S1096" s="3" t="inlineStr">
        <is>
          <t>****23446638</t>
        </is>
      </c>
      <c r="T1096" s="3" t="inlineStr">
        <is>
          <t>****23446638</t>
        </is>
      </c>
      <c r="U1096" s="3" t="inlineStr">
        <is>
          <t>***** 座C110舖</t>
        </is>
      </c>
      <c r="V1096" s="3" t="inlineStr">
        <is>
          <t>香港</t>
        </is>
      </c>
      <c r="W1096" s="3" t="inlineStr">
        <is>
          <t>机纸/小票纸 / 包出</t>
        </is>
      </c>
      <c r="X1096" s="3" t="inlineStr">
        <is>
          <t>ESS-SFTS-OTMS</t>
        </is>
      </c>
      <c r="Y1096" s="3" t="n"/>
      <c r="Z1096" s="3" t="inlineStr"/>
      <c r="AA1096" s="3" t="inlineStr">
        <is>
          <t>寄付月結</t>
        </is>
      </c>
      <c r="AB1096">
        <f>IFERROR(VLOOKUP(Q1096&amp;"",對照表!$A:$B,1,FALSE),"")</f>
        <v/>
      </c>
      <c r="AC1096">
        <f>IFERROR(VLOOKUP(Q1096&amp;"",對照表!$A:$B,2,FALSE),"")</f>
        <v/>
      </c>
    </row>
    <row r="1097">
      <c r="A1097" s="3" t="inlineStr">
        <is>
          <t>SF5113427649196</t>
        </is>
      </c>
      <c r="B1097" s="3" t="n">
        <v>58435485630787</v>
      </c>
      <c r="C1097" s="3" t="inlineStr">
        <is>
          <t>已簽收</t>
        </is>
      </c>
      <c r="D1097" s="3" t="inlineStr">
        <is>
          <t>2026-07-06 17:45:31</t>
        </is>
      </c>
      <c r="E1097" s="3" t="inlineStr">
        <is>
          <t>2026-07-07 12:28</t>
        </is>
      </c>
      <c r="F1097" s="3" t="n">
        <v>4.5</v>
      </c>
      <c r="G1097" s="3" t="n">
        <v>1</v>
      </c>
      <c r="H1097" s="3" t="n"/>
      <c r="I1097" s="3" t="inlineStr"/>
      <c r="J1097" s="3" t="inlineStr">
        <is>
          <t>Keeta</t>
        </is>
      </c>
      <c r="K1097" s="3" t="inlineStr">
        <is>
          <t>****9568</t>
        </is>
      </c>
      <c r="L1097" s="3" t="n"/>
      <c r="M1097" s="3" t="inlineStr">
        <is>
          <t>***** 物流中心5樓</t>
        </is>
      </c>
      <c r="N1097" s="3" t="inlineStr">
        <is>
          <t>北区</t>
        </is>
      </c>
      <c r="O1097" s="3" t="inlineStr">
        <is>
          <t>香港</t>
        </is>
      </c>
      <c r="P1097" s="3" t="inlineStr">
        <is>
          <t>香港特别行政区</t>
        </is>
      </c>
      <c r="Q1097" s="3" t="n">
        <v>465094</v>
      </c>
      <c r="R1097" s="3" t="inlineStr">
        <is>
          <t>遇見您Encounter(前酒店大廚主理性價比之選)</t>
        </is>
      </c>
      <c r="S1097" s="3" t="inlineStr">
        <is>
          <t>****28892238</t>
        </is>
      </c>
      <c r="T1097" s="3" t="inlineStr">
        <is>
          <t>****28892238</t>
        </is>
      </c>
      <c r="U1097" s="3" t="inlineStr">
        <is>
          <t>***** 廈地下1號舖</t>
        </is>
      </c>
      <c r="V1097" s="3" t="inlineStr">
        <is>
          <t>香港</t>
        </is>
      </c>
      <c r="W1097" s="3" t="inlineStr">
        <is>
          <t>塑料袋【小】/ 扎出</t>
        </is>
      </c>
      <c r="X1097" s="3" t="inlineStr">
        <is>
          <t>ESS-SFTS-OTMS</t>
        </is>
      </c>
      <c r="Y1097" s="3" t="n"/>
      <c r="Z1097" s="3" t="inlineStr"/>
      <c r="AA1097" s="3" t="inlineStr">
        <is>
          <t>寄付月結</t>
        </is>
      </c>
      <c r="AB1097">
        <f>IFERROR(VLOOKUP(Q1097&amp;"",對照表!$A:$B,1,FALSE),"")</f>
        <v/>
      </c>
      <c r="AC1097">
        <f>IFERROR(VLOOKUP(Q1097&amp;"",對照表!$A:$B,2,FALSE),"")</f>
        <v/>
      </c>
    </row>
    <row r="1098">
      <c r="A1098" s="3" t="inlineStr">
        <is>
          <t>SF5113427649105</t>
        </is>
      </c>
      <c r="B1098" s="3" t="n">
        <v>58435485630761</v>
      </c>
      <c r="C1098" s="3" t="inlineStr">
        <is>
          <t>已簽收</t>
        </is>
      </c>
      <c r="D1098" s="3" t="inlineStr">
        <is>
          <t>2026-07-06 17:48:53</t>
        </is>
      </c>
      <c r="E1098" s="3" t="inlineStr">
        <is>
          <t>2026-07-07 11:26</t>
        </is>
      </c>
      <c r="F1098" s="3" t="n">
        <v>14</v>
      </c>
      <c r="G1098" s="3" t="n">
        <v>2</v>
      </c>
      <c r="H1098" s="3" t="n"/>
      <c r="I1098" s="3" t="inlineStr"/>
      <c r="J1098" s="3" t="inlineStr">
        <is>
          <t>Keeta</t>
        </is>
      </c>
      <c r="K1098" s="3" t="inlineStr">
        <is>
          <t>****9568</t>
        </is>
      </c>
      <c r="L1098" s="3" t="n"/>
      <c r="M1098" s="3" t="inlineStr">
        <is>
          <t>***** 物流中心5樓</t>
        </is>
      </c>
      <c r="N1098" s="3" t="inlineStr">
        <is>
          <t>北区</t>
        </is>
      </c>
      <c r="O1098" s="3" t="inlineStr">
        <is>
          <t>香港</t>
        </is>
      </c>
      <c r="P1098" s="3" t="inlineStr">
        <is>
          <t>香港特别行政区</t>
        </is>
      </c>
      <c r="Q1098" s="3" t="n">
        <v>691574</v>
      </c>
      <c r="R1098" s="3" t="inlineStr">
        <is>
          <t>BLOOMS太古城中心</t>
        </is>
      </c>
      <c r="S1098" s="3" t="inlineStr">
        <is>
          <t>****23836326</t>
        </is>
      </c>
      <c r="T1098" s="3" t="inlineStr">
        <is>
          <t>****23836326</t>
        </is>
      </c>
      <c r="U1098" s="3" t="inlineStr">
        <is>
          <t>***** 樓310店鋪</t>
        </is>
      </c>
      <c r="V1098" s="3" t="inlineStr">
        <is>
          <t>香港</t>
        </is>
      </c>
      <c r="W1098" s="3" t="inlineStr">
        <is>
          <t>无纺布【规格二双杯】/ 箱出, 无纺布【规格一单杯】/ 箱出</t>
        </is>
      </c>
      <c r="X1098" s="3" t="inlineStr">
        <is>
          <t>ESS-SFTS-OTMS</t>
        </is>
      </c>
      <c r="Y1098" s="3" t="n"/>
      <c r="Z1098" s="3" t="inlineStr"/>
      <c r="AA1098" s="3" t="inlineStr">
        <is>
          <t>寄付月結</t>
        </is>
      </c>
      <c r="AB1098">
        <f>IFERROR(VLOOKUP(Q1098&amp;"",對照表!$A:$B,1,FALSE),"")</f>
        <v/>
      </c>
      <c r="AC1098">
        <f>IFERROR(VLOOKUP(Q1098&amp;"",對照表!$A:$B,2,FALSE),"")</f>
        <v/>
      </c>
    </row>
    <row r="1099">
      <c r="A1099" s="3" t="inlineStr">
        <is>
          <t>SF5113427649062</t>
        </is>
      </c>
      <c r="B1099" s="3" t="n">
        <v>58435485630753</v>
      </c>
      <c r="C1099" s="3" t="inlineStr">
        <is>
          <t>已簽收</t>
        </is>
      </c>
      <c r="D1099" s="3" t="inlineStr">
        <is>
          <t>2026-07-06 17:09:15</t>
        </is>
      </c>
      <c r="E1099" s="3" t="inlineStr">
        <is>
          <t>2026-07-07 11:34</t>
        </is>
      </c>
      <c r="F1099" s="3" t="n">
        <v>2.36</v>
      </c>
      <c r="G1099" s="3" t="n">
        <v>1</v>
      </c>
      <c r="H1099" s="3" t="n"/>
      <c r="I1099" s="3" t="inlineStr"/>
      <c r="J1099" s="3" t="inlineStr">
        <is>
          <t>Keeta</t>
        </is>
      </c>
      <c r="K1099" s="3" t="inlineStr">
        <is>
          <t>****9568</t>
        </is>
      </c>
      <c r="L1099" s="3" t="n"/>
      <c r="M1099" s="3" t="inlineStr">
        <is>
          <t>***** 物流中心5樓</t>
        </is>
      </c>
      <c r="N1099" s="3" t="inlineStr">
        <is>
          <t>北区</t>
        </is>
      </c>
      <c r="O1099" s="3" t="inlineStr">
        <is>
          <t>香港</t>
        </is>
      </c>
      <c r="P1099" s="3" t="inlineStr">
        <is>
          <t>香港特别行政区</t>
        </is>
      </c>
      <c r="Q1099" s="3" t="n">
        <v>721452392</v>
      </c>
      <c r="R1099" s="3" t="inlineStr">
        <is>
          <t>讚岐料理居酒屋高質刺身烏冬</t>
        </is>
      </c>
      <c r="S1099" s="3" t="inlineStr">
        <is>
          <t>****60165654</t>
        </is>
      </c>
      <c r="T1099" s="3" t="inlineStr">
        <is>
          <t>****60165654</t>
        </is>
      </c>
      <c r="U1099" s="3" t="inlineStr">
        <is>
          <t>***** -306號舖</t>
        </is>
      </c>
      <c r="V1099" s="3" t="inlineStr">
        <is>
          <t>香港</t>
        </is>
      </c>
      <c r="W1099" s="3" t="inlineStr">
        <is>
          <t>机纸/小票纸 / 包出</t>
        </is>
      </c>
      <c r="X1099" s="3" t="inlineStr">
        <is>
          <t>ESS-SFTS-OTMS</t>
        </is>
      </c>
      <c r="Y1099" s="3" t="n"/>
      <c r="Z1099" s="3" t="inlineStr"/>
      <c r="AA1099" s="3" t="inlineStr">
        <is>
          <t>寄付月結</t>
        </is>
      </c>
      <c r="AB1099">
        <f>IFERROR(VLOOKUP(Q1099&amp;"",對照表!$A:$B,1,FALSE),"")</f>
        <v/>
      </c>
      <c r="AC1099">
        <f>IFERROR(VLOOKUP(Q1099&amp;"",對照表!$A:$B,2,FALSE),"")</f>
        <v/>
      </c>
    </row>
    <row r="1100">
      <c r="A1100" s="3" t="inlineStr">
        <is>
          <t>SF5113427649123</t>
        </is>
      </c>
      <c r="B1100" s="3" t="n">
        <v>58435485630768</v>
      </c>
      <c r="C1100" s="3" t="inlineStr">
        <is>
          <t>已簽收</t>
        </is>
      </c>
      <c r="D1100" s="3" t="inlineStr">
        <is>
          <t>2026-07-06 16:10:14</t>
        </is>
      </c>
      <c r="E1100" s="3" t="inlineStr">
        <is>
          <t>2026-07-07 19:29</t>
        </is>
      </c>
      <c r="F1100" s="3" t="n">
        <v>58</v>
      </c>
      <c r="G1100" s="3" t="n">
        <v>4</v>
      </c>
      <c r="H1100" s="3" t="n"/>
      <c r="I1100" s="3" t="inlineStr"/>
      <c r="J1100" s="3" t="inlineStr">
        <is>
          <t>Keeta</t>
        </is>
      </c>
      <c r="K1100" s="3" t="inlineStr">
        <is>
          <t>****9568</t>
        </is>
      </c>
      <c r="L1100" s="3" t="n"/>
      <c r="M1100" s="3" t="inlineStr">
        <is>
          <t>***** 物流中心5樓</t>
        </is>
      </c>
      <c r="N1100" s="3" t="inlineStr">
        <is>
          <t>北区</t>
        </is>
      </c>
      <c r="O1100" s="3" t="inlineStr">
        <is>
          <t>香港</t>
        </is>
      </c>
      <c r="P1100" s="3" t="inlineStr">
        <is>
          <t>香港特别行政区</t>
        </is>
      </c>
      <c r="Q1100" s="3" t="n">
        <v>472047</v>
      </c>
      <c r="R1100" s="3" t="inlineStr">
        <is>
          <t>麥當勞(山景)McDonalds</t>
        </is>
      </c>
      <c r="S1100" s="3" t="inlineStr">
        <is>
          <t>****24641660</t>
        </is>
      </c>
      <c r="T1100" s="3" t="inlineStr">
        <is>
          <t>****24641660</t>
        </is>
      </c>
      <c r="U1100" s="3" t="inlineStr">
        <is>
          <t>***** 場124號舖</t>
        </is>
      </c>
      <c r="V1100" s="3" t="inlineStr">
        <is>
          <t>香港</t>
        </is>
      </c>
      <c r="W1100" s="3" t="inlineStr">
        <is>
          <t>纸袋【通版】/ 箱出</t>
        </is>
      </c>
      <c r="X1100" s="3" t="inlineStr">
        <is>
          <t>ESS-SFTS-OTMS</t>
        </is>
      </c>
      <c r="Y1100" s="3" t="n"/>
      <c r="Z1100" s="3" t="inlineStr"/>
      <c r="AA1100" s="3" t="inlineStr">
        <is>
          <t>寄付月結</t>
        </is>
      </c>
      <c r="AB1100">
        <f>IFERROR(VLOOKUP(Q1100&amp;"",對照表!$A:$B,1,FALSE),"")</f>
        <v/>
      </c>
      <c r="AC1100">
        <f>IFERROR(VLOOKUP(Q1100&amp;"",對照表!$A:$B,2,FALSE),"")</f>
        <v/>
      </c>
    </row>
    <row r="1101">
      <c r="A1101" s="3" t="inlineStr">
        <is>
          <t>SF5113427653049</t>
        </is>
      </c>
      <c r="B1101" s="3" t="n">
        <v>58435485630824</v>
      </c>
      <c r="C1101" s="3" t="inlineStr">
        <is>
          <t>已簽收</t>
        </is>
      </c>
      <c r="D1101" s="3" t="inlineStr">
        <is>
          <t>2026-07-06 17:52:40</t>
        </is>
      </c>
      <c r="E1101" s="3" t="inlineStr">
        <is>
          <t>2026-07-07 13:49</t>
        </is>
      </c>
      <c r="F1101" s="3" t="n">
        <v>11.59</v>
      </c>
      <c r="G1101" s="3" t="n">
        <v>1</v>
      </c>
      <c r="H1101" s="3" t="n"/>
      <c r="I1101" s="3" t="inlineStr"/>
      <c r="J1101" s="3" t="inlineStr">
        <is>
          <t>Keeta</t>
        </is>
      </c>
      <c r="K1101" s="3" t="inlineStr">
        <is>
          <t>****9568</t>
        </is>
      </c>
      <c r="L1101" s="3" t="n"/>
      <c r="M1101" s="3" t="inlineStr">
        <is>
          <t>***** 物流中心5樓</t>
        </is>
      </c>
      <c r="N1101" s="3" t="inlineStr">
        <is>
          <t>北区</t>
        </is>
      </c>
      <c r="O1101" s="3" t="inlineStr">
        <is>
          <t>香港</t>
        </is>
      </c>
      <c r="P1101" s="3" t="inlineStr">
        <is>
          <t>香港特别行政区</t>
        </is>
      </c>
      <c r="Q1101" s="3" t="n">
        <v>451842</v>
      </c>
      <c r="R1101" s="3" t="inlineStr">
        <is>
          <t>本延鍋物（灣仔）PanyinShabu</t>
        </is>
      </c>
      <c r="S1101" s="3" t="inlineStr">
        <is>
          <t>****98823061</t>
        </is>
      </c>
      <c r="T1101" s="3" t="inlineStr">
        <is>
          <t>****98823061</t>
        </is>
      </c>
      <c r="U1101" s="3" t="inlineStr">
        <is>
          <t>***** 下6-7號舖</t>
        </is>
      </c>
      <c r="V1101" s="3" t="inlineStr">
        <is>
          <t>香港</t>
        </is>
      </c>
      <c r="W1101" s="3" t="inlineStr">
        <is>
          <t>无纺布【规格四大号】/ 箱出</t>
        </is>
      </c>
      <c r="X1101" s="3" t="inlineStr">
        <is>
          <t>ESS-SFTS-OTMS</t>
        </is>
      </c>
      <c r="Y1101" s="3" t="n"/>
      <c r="Z1101" s="3" t="inlineStr"/>
      <c r="AA1101" s="3" t="inlineStr">
        <is>
          <t>寄付月結</t>
        </is>
      </c>
      <c r="AB1101">
        <f>IFERROR(VLOOKUP(Q1101&amp;"",對照表!$A:$B,1,FALSE),"")</f>
        <v/>
      </c>
      <c r="AC1101">
        <f>IFERROR(VLOOKUP(Q1101&amp;"",對照表!$A:$B,2,FALSE),"")</f>
        <v/>
      </c>
    </row>
    <row r="1102">
      <c r="A1102" s="3" t="inlineStr">
        <is>
          <t>SF5113427653100</t>
        </is>
      </c>
      <c r="B1102" s="3" t="n">
        <v>58435485630839</v>
      </c>
      <c r="C1102" s="3" t="inlineStr">
        <is>
          <t>已簽收</t>
        </is>
      </c>
      <c r="D1102" s="3" t="inlineStr">
        <is>
          <t>2026-07-06 17:18:31</t>
        </is>
      </c>
      <c r="E1102" s="3" t="inlineStr">
        <is>
          <t>2026-07-07 13:02</t>
        </is>
      </c>
      <c r="F1102" s="3" t="n">
        <v>1</v>
      </c>
      <c r="G1102" s="3" t="n">
        <v>1</v>
      </c>
      <c r="H1102" s="3" t="n"/>
      <c r="I1102" s="3" t="inlineStr"/>
      <c r="J1102" s="3" t="inlineStr">
        <is>
          <t>Keeta</t>
        </is>
      </c>
      <c r="K1102" s="3" t="inlineStr">
        <is>
          <t>****9568</t>
        </is>
      </c>
      <c r="L1102" s="3" t="n"/>
      <c r="M1102" s="3" t="inlineStr">
        <is>
          <t>***** 物流中心5樓</t>
        </is>
      </c>
      <c r="N1102" s="3" t="inlineStr">
        <is>
          <t>北区</t>
        </is>
      </c>
      <c r="O1102" s="3" t="inlineStr">
        <is>
          <t>香港</t>
        </is>
      </c>
      <c r="P1102" s="3" t="inlineStr">
        <is>
          <t>香港特别行政区</t>
        </is>
      </c>
      <c r="Q1102" s="3" t="n">
        <v>721480294</v>
      </c>
      <c r="R1102" s="3" t="inlineStr">
        <is>
          <t>ThaiSpices（原泰意廚）</t>
        </is>
      </c>
      <c r="S1102" s="3" t="inlineStr">
        <is>
          <t>****84024709</t>
        </is>
      </c>
      <c r="T1102" s="3" t="inlineStr">
        <is>
          <t>****84024709</t>
        </is>
      </c>
      <c r="U1102" s="3" t="inlineStr">
        <is>
          <t>***** 地舖29號H</t>
        </is>
      </c>
      <c r="V1102" s="3" t="inlineStr">
        <is>
          <t>香港</t>
        </is>
      </c>
      <c r="W1102" s="3" t="inlineStr">
        <is>
          <t>翻新POS机【真唯】/ 件出</t>
        </is>
      </c>
      <c r="X1102" s="3" t="inlineStr">
        <is>
          <t>ESS-SFTS-OTMS</t>
        </is>
      </c>
      <c r="Y1102" s="3" t="n"/>
      <c r="Z1102" s="3" t="inlineStr"/>
      <c r="AA1102" s="3" t="inlineStr">
        <is>
          <t>寄付月結</t>
        </is>
      </c>
      <c r="AB1102">
        <f>IFERROR(VLOOKUP(Q1102&amp;"",對照表!$A:$B,1,FALSE),"")</f>
        <v/>
      </c>
      <c r="AC1102">
        <f>IFERROR(VLOOKUP(Q1102&amp;"",對照表!$A:$B,2,FALSE),"")</f>
        <v/>
      </c>
    </row>
    <row r="1103">
      <c r="A1103" s="3" t="inlineStr">
        <is>
          <t>SF5113427649099</t>
        </is>
      </c>
      <c r="B1103" s="3" t="n">
        <v>58435485630758</v>
      </c>
      <c r="C1103" s="3" t="inlineStr">
        <is>
          <t>已簽收</t>
        </is>
      </c>
      <c r="D1103" s="3" t="inlineStr">
        <is>
          <t>2026-07-06 16:07:04</t>
        </is>
      </c>
      <c r="E1103" s="3" t="inlineStr">
        <is>
          <t>2026-07-07 10:49</t>
        </is>
      </c>
      <c r="F1103" s="3" t="n">
        <v>4.45</v>
      </c>
      <c r="G1103" s="3" t="n">
        <v>1</v>
      </c>
      <c r="H1103" s="3" t="n"/>
      <c r="I1103" s="3" t="inlineStr"/>
      <c r="J1103" s="3" t="inlineStr">
        <is>
          <t>Keeta</t>
        </is>
      </c>
      <c r="K1103" s="3" t="inlineStr">
        <is>
          <t>****9568</t>
        </is>
      </c>
      <c r="L1103" s="3" t="n"/>
      <c r="M1103" s="3" t="inlineStr">
        <is>
          <t>***** 物流中心5樓</t>
        </is>
      </c>
      <c r="N1103" s="3" t="inlineStr">
        <is>
          <t>北区</t>
        </is>
      </c>
      <c r="O1103" s="3" t="inlineStr">
        <is>
          <t>香港</t>
        </is>
      </c>
      <c r="P1103" s="3" t="inlineStr">
        <is>
          <t>香港特别行政区</t>
        </is>
      </c>
      <c r="Q1103" s="3" t="n">
        <v>471863</v>
      </c>
      <c r="R1103" s="3" t="inlineStr">
        <is>
          <t>八月茶室(長沙灣)Moon8ight</t>
        </is>
      </c>
      <c r="S1103" s="3" t="inlineStr">
        <is>
          <t>****23101129</t>
        </is>
      </c>
      <c r="T1103" s="3" t="inlineStr">
        <is>
          <t>****23101129</t>
        </is>
      </c>
      <c r="U1103" s="3" t="inlineStr">
        <is>
          <t>***** 下1-3號舖</t>
        </is>
      </c>
      <c r="V1103" s="3" t="inlineStr">
        <is>
          <t>香港</t>
        </is>
      </c>
      <c r="W1103" s="3" t="inlineStr">
        <is>
          <t>机纸/小票纸 / 包出</t>
        </is>
      </c>
      <c r="X1103" s="3" t="inlineStr">
        <is>
          <t>ESS-SFTS-OTMS</t>
        </is>
      </c>
      <c r="Y1103" s="3" t="n"/>
      <c r="Z1103" s="3" t="inlineStr"/>
      <c r="AA1103" s="3" t="inlineStr">
        <is>
          <t>寄付月結</t>
        </is>
      </c>
      <c r="AB1103">
        <f>IFERROR(VLOOKUP(Q1103&amp;"",對照表!$A:$B,1,FALSE),"")</f>
        <v/>
      </c>
      <c r="AC1103">
        <f>IFERROR(VLOOKUP(Q1103&amp;"",對照表!$A:$B,2,FALSE),"")</f>
        <v/>
      </c>
    </row>
    <row r="1104">
      <c r="A1104" s="3" t="inlineStr">
        <is>
          <t>SF5113427653128</t>
        </is>
      </c>
      <c r="B1104" s="3" t="n">
        <v>58435485663238</v>
      </c>
      <c r="C1104" s="3" t="inlineStr">
        <is>
          <t>已簽收</t>
        </is>
      </c>
      <c r="D1104" s="3" t="inlineStr">
        <is>
          <t>2026-07-06 16:51:44</t>
        </is>
      </c>
      <c r="E1104" s="3" t="inlineStr">
        <is>
          <t>2026-07-07 12:09</t>
        </is>
      </c>
      <c r="F1104" s="3" t="n">
        <v>1.9</v>
      </c>
      <c r="G1104" s="3" t="n">
        <v>1</v>
      </c>
      <c r="H1104" s="3" t="n"/>
      <c r="I1104" s="3" t="inlineStr"/>
      <c r="J1104" s="3" t="inlineStr">
        <is>
          <t>Keeta</t>
        </is>
      </c>
      <c r="K1104" s="3" t="inlineStr">
        <is>
          <t>****9568</t>
        </is>
      </c>
      <c r="L1104" s="3" t="n"/>
      <c r="M1104" s="3" t="inlineStr">
        <is>
          <t>***** 物流中心5樓</t>
        </is>
      </c>
      <c r="N1104" s="3" t="inlineStr">
        <is>
          <t>北区</t>
        </is>
      </c>
      <c r="O1104" s="3" t="inlineStr">
        <is>
          <t>香港</t>
        </is>
      </c>
      <c r="P1104" s="3" t="inlineStr">
        <is>
          <t>香港特别行政区</t>
        </is>
      </c>
      <c r="Q1104" s="3" t="n">
        <v>448764</v>
      </c>
      <c r="R1104" s="3" t="inlineStr">
        <is>
          <t>響茶(文咸東街)</t>
        </is>
      </c>
      <c r="S1104" s="3" t="inlineStr">
        <is>
          <t>****46782550</t>
        </is>
      </c>
      <c r="T1104" s="3" t="inlineStr">
        <is>
          <t>****46782550</t>
        </is>
      </c>
      <c r="U1104" s="3" t="inlineStr">
        <is>
          <t>***** 號地下A號舖</t>
        </is>
      </c>
      <c r="V1104" s="3" t="inlineStr">
        <is>
          <t>香港</t>
        </is>
      </c>
      <c r="W1104" s="3" t="inlineStr">
        <is>
          <t>机纸/小票纸 / 包出</t>
        </is>
      </c>
      <c r="X1104" s="3" t="inlineStr">
        <is>
          <t>ESS-SFTS-OTMS</t>
        </is>
      </c>
      <c r="Y1104" s="3" t="n"/>
      <c r="Z1104" s="3" t="inlineStr"/>
      <c r="AA1104" s="3" t="inlineStr">
        <is>
          <t>寄付月結</t>
        </is>
      </c>
      <c r="AB1104">
        <f>IFERROR(VLOOKUP(Q1104&amp;"",對照表!$A:$B,1,FALSE),"")</f>
        <v/>
      </c>
      <c r="AC1104">
        <f>IFERROR(VLOOKUP(Q1104&amp;"",對照表!$A:$B,2,FALSE),"")</f>
        <v/>
      </c>
    </row>
    <row r="1105">
      <c r="A1105" s="3" t="inlineStr">
        <is>
          <t>SF5113427649202</t>
        </is>
      </c>
      <c r="B1105" s="3" t="n">
        <v>58435485630788</v>
      </c>
      <c r="C1105" s="3" t="inlineStr">
        <is>
          <t>已簽收</t>
        </is>
      </c>
      <c r="D1105" s="3" t="inlineStr">
        <is>
          <t>2026-07-06 17:18:02</t>
        </is>
      </c>
      <c r="E1105" s="3" t="inlineStr">
        <is>
          <t>2026-07-07 11:47</t>
        </is>
      </c>
      <c r="F1105" s="3" t="n">
        <v>1</v>
      </c>
      <c r="G1105" s="3" t="n">
        <v>1</v>
      </c>
      <c r="H1105" s="3" t="n"/>
      <c r="I1105" s="3" t="inlineStr"/>
      <c r="J1105" s="3" t="inlineStr">
        <is>
          <t>Keeta</t>
        </is>
      </c>
      <c r="K1105" s="3" t="inlineStr">
        <is>
          <t>****9568</t>
        </is>
      </c>
      <c r="L1105" s="3" t="n"/>
      <c r="M1105" s="3" t="inlineStr">
        <is>
          <t>***** 物流中心5樓</t>
        </is>
      </c>
      <c r="N1105" s="3" t="inlineStr">
        <is>
          <t>北区</t>
        </is>
      </c>
      <c r="O1105" s="3" t="inlineStr">
        <is>
          <t>香港</t>
        </is>
      </c>
      <c r="P1105" s="3" t="inlineStr">
        <is>
          <t>香港特别行政区</t>
        </is>
      </c>
      <c r="Q1105" s="3" t="n">
        <v>600942</v>
      </c>
      <c r="R1105" s="3" t="inlineStr">
        <is>
          <t>玲玲雲吞雞（小食新品登場魚皮抄手豬手樣樣有）</t>
        </is>
      </c>
      <c r="S1105" s="3" t="inlineStr">
        <is>
          <t>****93050850</t>
        </is>
      </c>
      <c r="T1105" s="3" t="inlineStr">
        <is>
          <t>****93050850</t>
        </is>
      </c>
      <c r="U1105" s="3" t="inlineStr">
        <is>
          <t>***** 園地下7號舖</t>
        </is>
      </c>
      <c r="V1105" s="3" t="inlineStr">
        <is>
          <t>香港</t>
        </is>
      </c>
      <c r="W1105" s="3" t="inlineStr">
        <is>
          <t>翻新POS机【真唯】/ 件出</t>
        </is>
      </c>
      <c r="X1105" s="3" t="inlineStr">
        <is>
          <t>ESS-SFTS-OTMS</t>
        </is>
      </c>
      <c r="Y1105" s="3" t="n"/>
      <c r="Z1105" s="3" t="inlineStr"/>
      <c r="AA1105" s="3" t="inlineStr">
        <is>
          <t>寄付月結</t>
        </is>
      </c>
      <c r="AB1105">
        <f>IFERROR(VLOOKUP(Q1105&amp;"",對照表!$A:$B,1,FALSE),"")</f>
        <v/>
      </c>
      <c r="AC1105">
        <f>IFERROR(VLOOKUP(Q1105&amp;"",對照表!$A:$B,2,FALSE),"")</f>
        <v/>
      </c>
    </row>
    <row r="1106">
      <c r="A1106" s="3" t="inlineStr">
        <is>
          <t>SF5113427653076</t>
        </is>
      </c>
      <c r="B1106" s="3" t="n">
        <v>58435485630831</v>
      </c>
      <c r="C1106" s="3" t="inlineStr">
        <is>
          <t>已簽收</t>
        </is>
      </c>
      <c r="D1106" s="3" t="inlineStr">
        <is>
          <t>2026-07-06 17:10:11</t>
        </is>
      </c>
      <c r="E1106" s="3" t="inlineStr">
        <is>
          <t>2026-07-07 11:47</t>
        </is>
      </c>
      <c r="F1106" s="3" t="n">
        <v>2.8</v>
      </c>
      <c r="G1106" s="3" t="n">
        <v>1</v>
      </c>
      <c r="H1106" s="3" t="n"/>
      <c r="I1106" s="3" t="inlineStr"/>
      <c r="J1106" s="3" t="inlineStr">
        <is>
          <t>Keeta</t>
        </is>
      </c>
      <c r="K1106" s="3" t="inlineStr">
        <is>
          <t>****9568</t>
        </is>
      </c>
      <c r="L1106" s="3" t="n"/>
      <c r="M1106" s="3" t="inlineStr">
        <is>
          <t>***** 物流中心5樓</t>
        </is>
      </c>
      <c r="N1106" s="3" t="inlineStr">
        <is>
          <t>北区</t>
        </is>
      </c>
      <c r="O1106" s="3" t="inlineStr">
        <is>
          <t>香港</t>
        </is>
      </c>
      <c r="P1106" s="3" t="inlineStr">
        <is>
          <t>香港特别行政区</t>
        </is>
      </c>
      <c r="Q1106" s="3" t="n">
        <v>607379</v>
      </c>
      <c r="R1106" s="3" t="inlineStr">
        <is>
          <t>金牌(經典早餐鐵板)九龍灣</t>
        </is>
      </c>
      <c r="S1106" s="3" t="inlineStr">
        <is>
          <t>****23280198</t>
        </is>
      </c>
      <c r="T1106" s="3" t="inlineStr">
        <is>
          <t>****23280198</t>
        </is>
      </c>
      <c r="U1106" s="3" t="inlineStr">
        <is>
          <t>***** -270號舖</t>
        </is>
      </c>
      <c r="V1106" s="3" t="inlineStr">
        <is>
          <t>香港</t>
        </is>
      </c>
      <c r="W1106" s="3" t="inlineStr">
        <is>
          <t>机纸/小票纸 / 包出</t>
        </is>
      </c>
      <c r="X1106" s="3" t="inlineStr">
        <is>
          <t>ESS-SFTS-OTMS</t>
        </is>
      </c>
      <c r="Y1106" s="3" t="n"/>
      <c r="Z1106" s="3" t="inlineStr"/>
      <c r="AA1106" s="3" t="inlineStr">
        <is>
          <t>寄付月結</t>
        </is>
      </c>
      <c r="AB1106">
        <f>IFERROR(VLOOKUP(Q1106&amp;"",對照表!$A:$B,1,FALSE),"")</f>
        <v/>
      </c>
      <c r="AC1106">
        <f>IFERROR(VLOOKUP(Q1106&amp;"",對照表!$A:$B,2,FALSE),"")</f>
        <v/>
      </c>
    </row>
    <row r="1107">
      <c r="A1107" s="3" t="inlineStr">
        <is>
          <t>SF5113427652981</t>
        </is>
      </c>
      <c r="B1107" s="3" t="n">
        <v>58435485630811</v>
      </c>
      <c r="C1107" s="3" t="inlineStr">
        <is>
          <t>已簽收</t>
        </is>
      </c>
      <c r="D1107" s="3" t="inlineStr">
        <is>
          <t>2026-07-06 17:09:13</t>
        </is>
      </c>
      <c r="E1107" s="3" t="inlineStr">
        <is>
          <t>2026-07-07 14:17</t>
        </is>
      </c>
      <c r="F1107" s="3" t="n">
        <v>1.5</v>
      </c>
      <c r="G1107" s="3" t="n">
        <v>1</v>
      </c>
      <c r="H1107" s="3" t="n"/>
      <c r="I1107" s="3" t="inlineStr"/>
      <c r="J1107" s="3" t="inlineStr">
        <is>
          <t>Keeta</t>
        </is>
      </c>
      <c r="K1107" s="3" t="inlineStr">
        <is>
          <t>****9568</t>
        </is>
      </c>
      <c r="L1107" s="3" t="n"/>
      <c r="M1107" s="3" t="inlineStr">
        <is>
          <t>***** 物流中心5樓</t>
        </is>
      </c>
      <c r="N1107" s="3" t="inlineStr">
        <is>
          <t>北区</t>
        </is>
      </c>
      <c r="O1107" s="3" t="inlineStr">
        <is>
          <t>香港</t>
        </is>
      </c>
      <c r="P1107" s="3" t="inlineStr">
        <is>
          <t>香港特别行政区</t>
        </is>
      </c>
      <c r="Q1107" s="3" t="n">
        <v>721430318</v>
      </c>
      <c r="R1107" s="3" t="inlineStr">
        <is>
          <t>和牛波士丼飯專門店(包你滿足和牛丼）</t>
        </is>
      </c>
      <c r="S1107" s="3" t="inlineStr">
        <is>
          <t>****90698632</t>
        </is>
      </c>
      <c r="T1107" s="3" t="inlineStr">
        <is>
          <t>****90698632</t>
        </is>
      </c>
      <c r="U1107" s="3" t="inlineStr">
        <is>
          <t>***** 樓一田百貨內</t>
        </is>
      </c>
      <c r="V1107" s="3" t="inlineStr">
        <is>
          <t>香港</t>
        </is>
      </c>
      <c r="W1107" s="3" t="inlineStr">
        <is>
          <t>机纸/小票纸 / 包出</t>
        </is>
      </c>
      <c r="X1107" s="3" t="inlineStr">
        <is>
          <t>ESS-SFTS-OTMS</t>
        </is>
      </c>
      <c r="Y1107" s="3" t="n"/>
      <c r="Z1107" s="3" t="inlineStr"/>
      <c r="AA1107" s="3" t="inlineStr">
        <is>
          <t>寄付月結</t>
        </is>
      </c>
      <c r="AB1107">
        <f>IFERROR(VLOOKUP(Q1107&amp;"",對照表!$A:$B,1,FALSE),"")</f>
        <v/>
      </c>
      <c r="AC1107">
        <f>IFERROR(VLOOKUP(Q1107&amp;"",對照表!$A:$B,2,FALSE),"")</f>
        <v/>
      </c>
    </row>
    <row r="1108">
      <c r="A1108" s="3" t="inlineStr">
        <is>
          <t>SF5113427652972</t>
        </is>
      </c>
      <c r="B1108" s="3" t="n">
        <v>58435485630809</v>
      </c>
      <c r="C1108" s="3" t="inlineStr">
        <is>
          <t>派送中</t>
        </is>
      </c>
      <c r="D1108" s="3" t="inlineStr">
        <is>
          <t>2026-07-06 15:19:08</t>
        </is>
      </c>
      <c r="E1108" s="3" t="n"/>
      <c r="F1108" s="3" t="n">
        <v>14.5</v>
      </c>
      <c r="G1108" s="3" t="n">
        <v>1</v>
      </c>
      <c r="H1108" s="3" t="n"/>
      <c r="I1108" s="3" t="inlineStr"/>
      <c r="J1108" s="3" t="inlineStr">
        <is>
          <t>Keeta</t>
        </is>
      </c>
      <c r="K1108" s="3" t="inlineStr">
        <is>
          <t>****9568</t>
        </is>
      </c>
      <c r="L1108" s="3" t="n"/>
      <c r="M1108" s="3" t="inlineStr">
        <is>
          <t>***** 物流中心5樓</t>
        </is>
      </c>
      <c r="N1108" s="3" t="inlineStr">
        <is>
          <t>北区</t>
        </is>
      </c>
      <c r="O1108" s="3" t="inlineStr">
        <is>
          <t>香港</t>
        </is>
      </c>
      <c r="P1108" s="3" t="inlineStr">
        <is>
          <t>香港特别行政区</t>
        </is>
      </c>
      <c r="Q1108" s="3" t="n">
        <v>721516393</v>
      </c>
      <c r="R1108" s="3" t="inlineStr">
        <is>
          <t>東星餐廳 Eastar Restaurant</t>
        </is>
      </c>
      <c r="S1108" s="3" t="inlineStr">
        <is>
          <t>****7722155</t>
        </is>
      </c>
      <c r="T1108" s="3" t="inlineStr">
        <is>
          <t>****7722155</t>
        </is>
      </c>
      <c r="U1108" s="3" t="inlineStr">
        <is>
          <t>***** 「已送到」）</t>
        </is>
      </c>
      <c r="V1108" s="3" t="inlineStr">
        <is>
          <t>香港</t>
        </is>
      </c>
      <c r="W1108" s="3" t="inlineStr">
        <is>
          <t>纸袋【通版】/ 箱出</t>
        </is>
      </c>
      <c r="X1108" s="3" t="inlineStr">
        <is>
          <t>ESS-SFTS-OTMS</t>
        </is>
      </c>
      <c r="Y1108" s="3" t="n"/>
      <c r="Z1108" s="3" t="inlineStr"/>
      <c r="AA1108" s="3" t="inlineStr">
        <is>
          <t>寄付月結</t>
        </is>
      </c>
      <c r="AB1108">
        <f>IFERROR(VLOOKUP(Q1108&amp;"",對照表!$A:$B,1,FALSE),"")</f>
        <v/>
      </c>
      <c r="AC1108">
        <f>IFERROR(VLOOKUP(Q1108&amp;"",對照表!$A:$B,2,FALSE),"")</f>
        <v/>
      </c>
    </row>
    <row r="1109">
      <c r="A1109" s="3" t="inlineStr">
        <is>
          <t>SF5113427653216</t>
        </is>
      </c>
      <c r="B1109" s="3" t="n">
        <v>58435485663256</v>
      </c>
      <c r="C1109" s="3" t="inlineStr">
        <is>
          <t>派送中</t>
        </is>
      </c>
      <c r="D1109" s="3" t="inlineStr">
        <is>
          <t>2026-07-06 15:35:39</t>
        </is>
      </c>
      <c r="E1109" s="3" t="n"/>
      <c r="F1109" s="3" t="n">
        <v>87</v>
      </c>
      <c r="G1109" s="3" t="n">
        <v>6</v>
      </c>
      <c r="H1109" s="3" t="n"/>
      <c r="I1109" s="3" t="inlineStr"/>
      <c r="J1109" s="3" t="inlineStr">
        <is>
          <t>Keeta</t>
        </is>
      </c>
      <c r="K1109" s="3" t="inlineStr">
        <is>
          <t>****9568</t>
        </is>
      </c>
      <c r="L1109" s="3" t="n"/>
      <c r="M1109" s="3" t="inlineStr">
        <is>
          <t>***** 物流中心5樓</t>
        </is>
      </c>
      <c r="N1109" s="3" t="inlineStr">
        <is>
          <t>北区</t>
        </is>
      </c>
      <c r="O1109" s="3" t="inlineStr">
        <is>
          <t>香港</t>
        </is>
      </c>
      <c r="P1109" s="3" t="inlineStr">
        <is>
          <t>香港特别行政区</t>
        </is>
      </c>
      <c r="Q1109" s="3" t="n">
        <v>609417</v>
      </c>
      <c r="R1109" s="3" t="inlineStr">
        <is>
          <t>麥當勞(西貢)McDonalds</t>
        </is>
      </c>
      <c r="S1109" s="3" t="inlineStr">
        <is>
          <t>****27925585</t>
        </is>
      </c>
      <c r="T1109" s="3" t="inlineStr">
        <is>
          <t>****27925585</t>
        </is>
      </c>
      <c r="U1109" s="3" t="inlineStr">
        <is>
          <t>***** 下1-3號舖</t>
        </is>
      </c>
      <c r="V1109" s="3" t="inlineStr">
        <is>
          <t>香港</t>
        </is>
      </c>
      <c r="W1109" s="3" t="inlineStr">
        <is>
          <t>纸袋【通版】/ 箱出</t>
        </is>
      </c>
      <c r="X1109" s="3" t="inlineStr">
        <is>
          <t>ESS-SFTS-OTMS</t>
        </is>
      </c>
      <c r="Y1109" s="3" t="n"/>
      <c r="Z1109" s="3" t="inlineStr"/>
      <c r="AA1109" s="3" t="inlineStr">
        <is>
          <t>寄付月結</t>
        </is>
      </c>
      <c r="AB1109">
        <f>IFERROR(VLOOKUP(Q1109&amp;"",對照表!$A:$B,1,FALSE),"")</f>
        <v/>
      </c>
      <c r="AC1109">
        <f>IFERROR(VLOOKUP(Q1109&amp;"",對照表!$A:$B,2,FALSE),"")</f>
        <v/>
      </c>
    </row>
    <row r="1110">
      <c r="A1110" s="3" t="inlineStr">
        <is>
          <t>SF5113427652927</t>
        </is>
      </c>
      <c r="B1110" s="3" t="n">
        <v>58435485630797</v>
      </c>
      <c r="C1110" s="3" t="inlineStr">
        <is>
          <t>已簽收</t>
        </is>
      </c>
      <c r="D1110" s="3" t="inlineStr">
        <is>
          <t>2026-07-06 15:19:07</t>
        </is>
      </c>
      <c r="E1110" s="3" t="inlineStr">
        <is>
          <t>2026-07-07 15:33</t>
        </is>
      </c>
      <c r="F1110" s="3" t="n">
        <v>14.5</v>
      </c>
      <c r="G1110" s="3" t="n">
        <v>1</v>
      </c>
      <c r="H1110" s="3" t="n"/>
      <c r="I1110" s="3" t="inlineStr"/>
      <c r="J1110" s="3" t="inlineStr">
        <is>
          <t>Keeta</t>
        </is>
      </c>
      <c r="K1110" s="3" t="inlineStr">
        <is>
          <t>****9568</t>
        </is>
      </c>
      <c r="L1110" s="3" t="n"/>
      <c r="M1110" s="3" t="inlineStr">
        <is>
          <t>***** 物流中心5樓</t>
        </is>
      </c>
      <c r="N1110" s="3" t="inlineStr">
        <is>
          <t>北区</t>
        </is>
      </c>
      <c r="O1110" s="3" t="inlineStr">
        <is>
          <t>香港</t>
        </is>
      </c>
      <c r="P1110" s="3" t="inlineStr">
        <is>
          <t>香港特别行政区</t>
        </is>
      </c>
      <c r="Q1110" s="3" t="n">
        <v>721521397</v>
      </c>
      <c r="R1110" s="3" t="inlineStr">
        <is>
          <t>聚香漁鮮</t>
        </is>
      </c>
      <c r="S1110" s="3" t="inlineStr">
        <is>
          <t>****3440417</t>
        </is>
      </c>
      <c r="T1110" s="3" t="inlineStr">
        <is>
          <t>****3440417</t>
        </is>
      </c>
      <c r="U1110" s="3" t="inlineStr">
        <is>
          <t>***** 座10樓A室</t>
        </is>
      </c>
      <c r="V1110" s="3" t="inlineStr">
        <is>
          <t>香港</t>
        </is>
      </c>
      <c r="W1110" s="3" t="inlineStr">
        <is>
          <t>纸袋【通版】/ 箱出</t>
        </is>
      </c>
      <c r="X1110" s="3" t="inlineStr">
        <is>
          <t>ESS-SFTS-OTMS</t>
        </is>
      </c>
      <c r="Y1110" s="3" t="n"/>
      <c r="Z1110" s="3" t="inlineStr"/>
      <c r="AA1110" s="3" t="inlineStr">
        <is>
          <t>寄付月結</t>
        </is>
      </c>
      <c r="AB1110">
        <f>IFERROR(VLOOKUP(Q1110&amp;"",對照表!$A:$B,1,FALSE),"")</f>
        <v/>
      </c>
      <c r="AC1110">
        <f>IFERROR(VLOOKUP(Q1110&amp;"",對照表!$A:$B,2,FALSE),"")</f>
        <v/>
      </c>
    </row>
    <row r="1111">
      <c r="A1111" s="3" t="inlineStr">
        <is>
          <t>SF5113427653094</t>
        </is>
      </c>
      <c r="B1111" s="3" t="n">
        <v>58435485630834</v>
      </c>
      <c r="C1111" s="3" t="inlineStr">
        <is>
          <t>已簽收</t>
        </is>
      </c>
      <c r="D1111" s="3" t="inlineStr">
        <is>
          <t>2026-07-06 17:08:59</t>
        </is>
      </c>
      <c r="E1111" s="3" t="inlineStr">
        <is>
          <t>2026-07-07 13:08</t>
        </is>
      </c>
      <c r="F1111" s="3" t="n">
        <v>1.5</v>
      </c>
      <c r="G1111" s="3" t="n">
        <v>1</v>
      </c>
      <c r="H1111" s="3" t="n"/>
      <c r="I1111" s="3" t="inlineStr"/>
      <c r="J1111" s="3" t="inlineStr">
        <is>
          <t>Keeta</t>
        </is>
      </c>
      <c r="K1111" s="3" t="inlineStr">
        <is>
          <t>****9568</t>
        </is>
      </c>
      <c r="L1111" s="3" t="n"/>
      <c r="M1111" s="3" t="inlineStr">
        <is>
          <t>***** 物流中心5樓</t>
        </is>
      </c>
      <c r="N1111" s="3" t="inlineStr">
        <is>
          <t>北区</t>
        </is>
      </c>
      <c r="O1111" s="3" t="inlineStr">
        <is>
          <t>香港</t>
        </is>
      </c>
      <c r="P1111" s="3" t="inlineStr">
        <is>
          <t>香港特别行政区</t>
        </is>
      </c>
      <c r="Q1111" s="3" t="n">
        <v>721438379</v>
      </c>
      <c r="R1111" s="3" t="inlineStr">
        <is>
          <t>和發點心小廚自製傳統點心HOYTV推薦名店</t>
        </is>
      </c>
      <c r="S1111" s="3" t="inlineStr">
        <is>
          <t>****26089711</t>
        </is>
      </c>
      <c r="T1111" s="3" t="inlineStr">
        <is>
          <t>****26089711</t>
        </is>
      </c>
      <c r="U1111" s="3" t="inlineStr">
        <is>
          <t>***** 2-13號舖</t>
        </is>
      </c>
      <c r="V1111" s="3" t="inlineStr">
        <is>
          <t>香港</t>
        </is>
      </c>
      <c r="W1111" s="3" t="inlineStr">
        <is>
          <t>机纸/小票纸 / 包出</t>
        </is>
      </c>
      <c r="X1111" s="3" t="inlineStr">
        <is>
          <t>ESS-SFTS-OTMS</t>
        </is>
      </c>
      <c r="Y1111" s="3" t="n"/>
      <c r="Z1111" s="3" t="inlineStr"/>
      <c r="AA1111" s="3" t="inlineStr">
        <is>
          <t>寄付月結</t>
        </is>
      </c>
      <c r="AB1111">
        <f>IFERROR(VLOOKUP(Q1111&amp;"",對照表!$A:$B,1,FALSE),"")</f>
        <v/>
      </c>
      <c r="AC1111">
        <f>IFERROR(VLOOKUP(Q1111&amp;"",對照表!$A:$B,2,FALSE),"")</f>
        <v/>
      </c>
    </row>
    <row r="1112">
      <c r="A1112" s="3" t="inlineStr">
        <is>
          <t>SF5113427652990</t>
        </is>
      </c>
      <c r="B1112" s="3" t="n">
        <v>58435485630815</v>
      </c>
      <c r="C1112" s="3" t="inlineStr">
        <is>
          <t>已簽收</t>
        </is>
      </c>
      <c r="D1112" s="3" t="inlineStr">
        <is>
          <t>2026-07-06 17:17:16</t>
        </is>
      </c>
      <c r="E1112" s="3" t="inlineStr">
        <is>
          <t>2026-07-07 14:02</t>
        </is>
      </c>
      <c r="F1112" s="3" t="n">
        <v>1</v>
      </c>
      <c r="G1112" s="3" t="n">
        <v>1</v>
      </c>
      <c r="H1112" s="3" t="n"/>
      <c r="I1112" s="3" t="inlineStr"/>
      <c r="J1112" s="3" t="inlineStr">
        <is>
          <t>Keeta</t>
        </is>
      </c>
      <c r="K1112" s="3" t="inlineStr">
        <is>
          <t>****9568</t>
        </is>
      </c>
      <c r="L1112" s="3" t="n"/>
      <c r="M1112" s="3" t="inlineStr">
        <is>
          <t>***** 物流中心5樓</t>
        </is>
      </c>
      <c r="N1112" s="3" t="inlineStr">
        <is>
          <t>北区</t>
        </is>
      </c>
      <c r="O1112" s="3" t="inlineStr">
        <is>
          <t>香港</t>
        </is>
      </c>
      <c r="P1112" s="3" t="inlineStr">
        <is>
          <t>香港特别行政区</t>
        </is>
      </c>
      <c r="Q1112" s="3" t="n">
        <v>478003</v>
      </c>
      <c r="R1112" s="3" t="inlineStr">
        <is>
          <t>潮記甜品食甜品揀潮記</t>
        </is>
      </c>
      <c r="S1112" s="3" t="inlineStr">
        <is>
          <t>****97676182</t>
        </is>
      </c>
      <c r="T1112" s="3" t="inlineStr">
        <is>
          <t>****97676182</t>
        </is>
      </c>
      <c r="U1112" s="3" t="inlineStr">
        <is>
          <t>***** 座地下A號舖</t>
        </is>
      </c>
      <c r="V1112" s="3" t="inlineStr">
        <is>
          <t>香港</t>
        </is>
      </c>
      <c r="W1112" s="3" t="inlineStr">
        <is>
          <t>翻新POS机【真唯】/ 件出</t>
        </is>
      </c>
      <c r="X1112" s="3" t="inlineStr">
        <is>
          <t>ESS-SFTS-OTMS</t>
        </is>
      </c>
      <c r="Y1112" s="3" t="n"/>
      <c r="Z1112" s="3" t="inlineStr"/>
      <c r="AA1112" s="3" t="inlineStr">
        <is>
          <t>寄付月結</t>
        </is>
      </c>
      <c r="AB1112">
        <f>IFERROR(VLOOKUP(Q1112&amp;"",對照表!$A:$B,1,FALSE),"")</f>
        <v/>
      </c>
      <c r="AC1112">
        <f>IFERROR(VLOOKUP(Q1112&amp;"",對照表!$A:$B,2,FALSE),"")</f>
        <v/>
      </c>
    </row>
    <row r="1113">
      <c r="A1113" s="3" t="inlineStr">
        <is>
          <t>SF5113427653359</t>
        </is>
      </c>
      <c r="B1113" s="3" t="n">
        <v>58435485663288</v>
      </c>
      <c r="C1113" s="3" t="inlineStr">
        <is>
          <t>已簽收</t>
        </is>
      </c>
      <c r="D1113" s="3" t="inlineStr">
        <is>
          <t>2026-07-06 16:11:13</t>
        </is>
      </c>
      <c r="E1113" s="3" t="inlineStr">
        <is>
          <t>2026-07-07 13:23</t>
        </is>
      </c>
      <c r="F1113" s="3" t="n">
        <v>29</v>
      </c>
      <c r="G1113" s="3" t="n">
        <v>2</v>
      </c>
      <c r="H1113" s="3" t="n"/>
      <c r="I1113" s="3" t="inlineStr"/>
      <c r="J1113" s="3" t="inlineStr">
        <is>
          <t>Keeta</t>
        </is>
      </c>
      <c r="K1113" s="3" t="inlineStr">
        <is>
          <t>****9568</t>
        </is>
      </c>
      <c r="L1113" s="3" t="n"/>
      <c r="M1113" s="3" t="inlineStr">
        <is>
          <t>***** 物流中心5樓</t>
        </is>
      </c>
      <c r="N1113" s="3" t="inlineStr">
        <is>
          <t>北区</t>
        </is>
      </c>
      <c r="O1113" s="3" t="inlineStr">
        <is>
          <t>香港</t>
        </is>
      </c>
      <c r="P1113" s="3" t="inlineStr">
        <is>
          <t>香港特别行政区</t>
        </is>
      </c>
      <c r="Q1113" s="3" t="n">
        <v>478372</v>
      </c>
      <c r="R1113" s="3" t="inlineStr">
        <is>
          <t>麥當勞(華樂)McDonalds</t>
        </is>
      </c>
      <c r="S1113" s="3" t="inlineStr">
        <is>
          <t>****24591736</t>
        </is>
      </c>
      <c r="T1113" s="3" t="inlineStr">
        <is>
          <t>****24591736</t>
        </is>
      </c>
      <c r="U1113" s="3" t="inlineStr">
        <is>
          <t>***** 及21B號舖</t>
        </is>
      </c>
      <c r="V1113" s="3" t="inlineStr">
        <is>
          <t>香港</t>
        </is>
      </c>
      <c r="W1113" s="3" t="inlineStr">
        <is>
          <t>纸袋【通版】/ 箱出</t>
        </is>
      </c>
      <c r="X1113" s="3" t="inlineStr">
        <is>
          <t>ESS-SFTS-OTMS</t>
        </is>
      </c>
      <c r="Y1113" s="3" t="n"/>
      <c r="Z1113" s="3" t="inlineStr"/>
      <c r="AA1113" s="3" t="inlineStr">
        <is>
          <t>寄付月結</t>
        </is>
      </c>
      <c r="AB1113">
        <f>IFERROR(VLOOKUP(Q1113&amp;"",對照表!$A:$B,1,FALSE),"")</f>
        <v/>
      </c>
      <c r="AC1113">
        <f>IFERROR(VLOOKUP(Q1113&amp;"",對照表!$A:$B,2,FALSE),"")</f>
        <v/>
      </c>
    </row>
    <row r="1114">
      <c r="A1114" s="3" t="inlineStr">
        <is>
          <t>SF5113427649026</t>
        </is>
      </c>
      <c r="B1114" s="3" t="n">
        <v>58435485630727</v>
      </c>
      <c r="C1114" s="3" t="inlineStr">
        <is>
          <t>已簽收</t>
        </is>
      </c>
      <c r="D1114" s="3" t="inlineStr">
        <is>
          <t>2026-07-06 16:15:30</t>
        </is>
      </c>
      <c r="E1114" s="3" t="inlineStr">
        <is>
          <t>2026-07-07 10:30</t>
        </is>
      </c>
      <c r="F1114" s="3" t="n">
        <v>4.45</v>
      </c>
      <c r="G1114" s="3" t="n">
        <v>1</v>
      </c>
      <c r="H1114" s="3" t="n"/>
      <c r="I1114" s="3" t="inlineStr"/>
      <c r="J1114" s="3" t="inlineStr">
        <is>
          <t>Keeta</t>
        </is>
      </c>
      <c r="K1114" s="3" t="inlineStr">
        <is>
          <t>****9568</t>
        </is>
      </c>
      <c r="L1114" s="3" t="n"/>
      <c r="M1114" s="3" t="inlineStr">
        <is>
          <t>***** 物流中心5樓</t>
        </is>
      </c>
      <c r="N1114" s="3" t="inlineStr">
        <is>
          <t>北区</t>
        </is>
      </c>
      <c r="O1114" s="3" t="inlineStr">
        <is>
          <t>香港</t>
        </is>
      </c>
      <c r="P1114" s="3" t="inlineStr">
        <is>
          <t>香港特别行政区</t>
        </is>
      </c>
      <c r="Q1114" s="3" t="n">
        <v>721421384</v>
      </c>
      <c r="R1114" s="3" t="inlineStr">
        <is>
          <t>章記香港仔魚蛋王(招牌魚蛋河牛腩麵)</t>
        </is>
      </c>
      <c r="S1114" s="3" t="inlineStr">
        <is>
          <t>****28271668</t>
        </is>
      </c>
      <c r="T1114" s="3" t="inlineStr">
        <is>
          <t>****28271668</t>
        </is>
      </c>
      <c r="U1114" s="3" t="inlineStr">
        <is>
          <t>***** 150號地下</t>
        </is>
      </c>
      <c r="V1114" s="3" t="inlineStr">
        <is>
          <t>香港</t>
        </is>
      </c>
      <c r="W1114" s="3" t="inlineStr">
        <is>
          <t>机纸/小票纸 / 包出</t>
        </is>
      </c>
      <c r="X1114" s="3" t="inlineStr">
        <is>
          <t>ESS-SFTS-OTMS</t>
        </is>
      </c>
      <c r="Y1114" s="3" t="n"/>
      <c r="Z1114" s="3" t="inlineStr"/>
      <c r="AA1114" s="3" t="inlineStr">
        <is>
          <t>寄付月結</t>
        </is>
      </c>
      <c r="AB1114">
        <f>IFERROR(VLOOKUP(Q1114&amp;"",對照表!$A:$B,1,FALSE),"")</f>
        <v/>
      </c>
      <c r="AC1114">
        <f>IFERROR(VLOOKUP(Q1114&amp;"",對照表!$A:$B,2,FALSE),"")</f>
        <v/>
      </c>
    </row>
    <row r="1115">
      <c r="A1115" s="3" t="inlineStr">
        <is>
          <t>SF5113427653428</t>
        </is>
      </c>
      <c r="B1115" s="3" t="n">
        <v>58435485663305</v>
      </c>
      <c r="C1115" s="3" t="inlineStr">
        <is>
          <t>已簽收</t>
        </is>
      </c>
      <c r="D1115" s="3" t="inlineStr">
        <is>
          <t>2026-07-06 16:15:40</t>
        </is>
      </c>
      <c r="E1115" s="3" t="inlineStr">
        <is>
          <t>2026-07-07 11:27</t>
        </is>
      </c>
      <c r="F1115" s="3" t="n">
        <v>4.45</v>
      </c>
      <c r="G1115" s="3" t="n">
        <v>1</v>
      </c>
      <c r="H1115" s="3" t="n"/>
      <c r="I1115" s="3" t="inlineStr"/>
      <c r="J1115" s="3" t="inlineStr">
        <is>
          <t>Keeta</t>
        </is>
      </c>
      <c r="K1115" s="3" t="inlineStr">
        <is>
          <t>****9568</t>
        </is>
      </c>
      <c r="L1115" s="3" t="n"/>
      <c r="M1115" s="3" t="inlineStr">
        <is>
          <t>***** 物流中心5樓</t>
        </is>
      </c>
      <c r="N1115" s="3" t="inlineStr">
        <is>
          <t>北区</t>
        </is>
      </c>
      <c r="O1115" s="3" t="inlineStr">
        <is>
          <t>香港</t>
        </is>
      </c>
      <c r="P1115" s="3" t="inlineStr">
        <is>
          <t>香港特别行政区</t>
        </is>
      </c>
      <c r="Q1115" s="3" t="n">
        <v>593883</v>
      </c>
      <c r="R1115" s="3" t="inlineStr">
        <is>
          <t>何車車仔麵（太子大南街店）</t>
        </is>
      </c>
      <c r="S1115" s="3" t="inlineStr">
        <is>
          <t>****95574102</t>
        </is>
      </c>
      <c r="T1115" s="3" t="inlineStr">
        <is>
          <t>****95574102</t>
        </is>
      </c>
      <c r="U1115" s="3" t="inlineStr">
        <is>
          <t>***** 大南街28號</t>
        </is>
      </c>
      <c r="V1115" s="3" t="inlineStr">
        <is>
          <t>香港</t>
        </is>
      </c>
      <c r="W1115" s="3" t="inlineStr">
        <is>
          <t>机纸/小票纸 / 包出</t>
        </is>
      </c>
      <c r="X1115" s="3" t="inlineStr">
        <is>
          <t>ESS-SFTS-OTMS</t>
        </is>
      </c>
      <c r="Y1115" s="3" t="n"/>
      <c r="Z1115" s="3" t="inlineStr"/>
      <c r="AA1115" s="3" t="inlineStr">
        <is>
          <t>寄付月結</t>
        </is>
      </c>
      <c r="AB1115">
        <f>IFERROR(VLOOKUP(Q1115&amp;"",對照表!$A:$B,1,FALSE),"")</f>
        <v/>
      </c>
      <c r="AC1115">
        <f>IFERROR(VLOOKUP(Q1115&amp;"",對照表!$A:$B,2,FALSE),"")</f>
        <v/>
      </c>
    </row>
    <row r="1116">
      <c r="A1116" s="3" t="inlineStr">
        <is>
          <t>SF5113427653003</t>
        </is>
      </c>
      <c r="B1116" s="3" t="n">
        <v>58435485630817</v>
      </c>
      <c r="C1116" s="3" t="inlineStr">
        <is>
          <t>已簽收</t>
        </is>
      </c>
      <c r="D1116" s="3" t="inlineStr">
        <is>
          <t>2026-07-06 17:52:42</t>
        </is>
      </c>
      <c r="E1116" s="3" t="inlineStr">
        <is>
          <t>2026-07-07 12:03</t>
        </is>
      </c>
      <c r="F1116" s="3" t="n">
        <v>11.59</v>
      </c>
      <c r="G1116" s="3" t="n">
        <v>1</v>
      </c>
      <c r="H1116" s="3" t="n"/>
      <c r="I1116" s="3" t="inlineStr"/>
      <c r="J1116" s="3" t="inlineStr">
        <is>
          <t>Keeta</t>
        </is>
      </c>
      <c r="K1116" s="3" t="inlineStr">
        <is>
          <t>****9568</t>
        </is>
      </c>
      <c r="L1116" s="3" t="n"/>
      <c r="M1116" s="3" t="inlineStr">
        <is>
          <t>***** 物流中心5樓</t>
        </is>
      </c>
      <c r="N1116" s="3" t="inlineStr">
        <is>
          <t>北区</t>
        </is>
      </c>
      <c r="O1116" s="3" t="inlineStr">
        <is>
          <t>香港</t>
        </is>
      </c>
      <c r="P1116" s="3" t="inlineStr">
        <is>
          <t>香港特别行政区</t>
        </is>
      </c>
      <c r="Q1116" s="3" t="n">
        <v>467391</v>
      </c>
      <c r="R1116" s="3" t="inlineStr">
        <is>
          <t>段純貞牛肉麵(THESOUTHSIDE)</t>
        </is>
      </c>
      <c r="S1116" s="3" t="inlineStr">
        <is>
          <t>****21170637</t>
        </is>
      </c>
      <c r="T1116" s="3" t="inlineStr">
        <is>
          <t>****21170637</t>
        </is>
      </c>
      <c r="U1116" s="3" t="inlineStr">
        <is>
          <t>***** 樓205號舖</t>
        </is>
      </c>
      <c r="V1116" s="3" t="inlineStr">
        <is>
          <t>香港</t>
        </is>
      </c>
      <c r="W1116" s="3" t="inlineStr">
        <is>
          <t>无纺布【规格四大号】/ 箱出</t>
        </is>
      </c>
      <c r="X1116" s="3" t="inlineStr">
        <is>
          <t>ESS-SFTS-OTMS</t>
        </is>
      </c>
      <c r="Y1116" s="3" t="n"/>
      <c r="Z1116" s="3" t="inlineStr"/>
      <c r="AA1116" s="3" t="inlineStr">
        <is>
          <t>寄付月結</t>
        </is>
      </c>
      <c r="AB1116">
        <f>IFERROR(VLOOKUP(Q1116&amp;"",對照表!$A:$B,1,FALSE),"")</f>
        <v/>
      </c>
      <c r="AC1116">
        <f>IFERROR(VLOOKUP(Q1116&amp;"",對照表!$A:$B,2,FALSE),"")</f>
        <v/>
      </c>
    </row>
    <row r="1117">
      <c r="A1117" s="3" t="inlineStr">
        <is>
          <t>SF5113427653067</t>
        </is>
      </c>
      <c r="B1117" s="3" t="n">
        <v>58435485630828</v>
      </c>
      <c r="C1117" s="3" t="inlineStr">
        <is>
          <t>派送中</t>
        </is>
      </c>
      <c r="D1117" s="3" t="inlineStr">
        <is>
          <t>2026-07-06 15:44:18</t>
        </is>
      </c>
      <c r="E1117" s="3" t="n"/>
      <c r="F1117" s="3" t="n">
        <v>101.5</v>
      </c>
      <c r="G1117" s="3" t="n">
        <v>7</v>
      </c>
      <c r="H1117" s="3" t="n"/>
      <c r="I1117" s="3" t="inlineStr"/>
      <c r="J1117" s="3" t="inlineStr">
        <is>
          <t>Keeta</t>
        </is>
      </c>
      <c r="K1117" s="3" t="inlineStr">
        <is>
          <t>****9568</t>
        </is>
      </c>
      <c r="L1117" s="3" t="n"/>
      <c r="M1117" s="3" t="inlineStr">
        <is>
          <t>***** 物流中心5樓</t>
        </is>
      </c>
      <c r="N1117" s="3" t="inlineStr">
        <is>
          <t>北区</t>
        </is>
      </c>
      <c r="O1117" s="3" t="inlineStr">
        <is>
          <t>香港</t>
        </is>
      </c>
      <c r="P1117" s="3" t="inlineStr">
        <is>
          <t>香港特别行政区</t>
        </is>
      </c>
      <c r="Q1117" s="3" t="n">
        <v>455280</v>
      </c>
      <c r="R1117" s="3" t="inlineStr">
        <is>
          <t>麥當勞(尚德)McDonalds</t>
        </is>
      </c>
      <c r="S1117" s="3" t="inlineStr">
        <is>
          <t>****21780769</t>
        </is>
      </c>
      <c r="T1117" s="3" t="inlineStr">
        <is>
          <t>****21780769</t>
        </is>
      </c>
      <c r="U1117" s="3" t="inlineStr">
        <is>
          <t>***** 樓216號舖</t>
        </is>
      </c>
      <c r="V1117" s="3" t="inlineStr">
        <is>
          <t>香港</t>
        </is>
      </c>
      <c r="W1117" s="3" t="inlineStr">
        <is>
          <t>纸袋【通版】/ 箱出</t>
        </is>
      </c>
      <c r="X1117" s="3" t="inlineStr">
        <is>
          <t>ESS-SFTS-OTMS</t>
        </is>
      </c>
      <c r="Y1117" s="3" t="n"/>
      <c r="Z1117" s="3" t="inlineStr"/>
      <c r="AA1117" s="3" t="inlineStr">
        <is>
          <t>寄付月結</t>
        </is>
      </c>
      <c r="AB1117">
        <f>IFERROR(VLOOKUP(Q1117&amp;"",對照表!$A:$B,1,FALSE),"")</f>
        <v/>
      </c>
      <c r="AC1117">
        <f>IFERROR(VLOOKUP(Q1117&amp;"",對照表!$A:$B,2,FALSE),"")</f>
        <v/>
      </c>
    </row>
    <row r="1118">
      <c r="A1118" s="3" t="inlineStr">
        <is>
          <t>SF5113427653482</t>
        </is>
      </c>
      <c r="B1118" s="3" t="n">
        <v>58435485663318</v>
      </c>
      <c r="C1118" s="3" t="inlineStr">
        <is>
          <t>已簽收</t>
        </is>
      </c>
      <c r="D1118" s="3" t="inlineStr">
        <is>
          <t>2026-07-06 17:06:52</t>
        </is>
      </c>
      <c r="E1118" s="3" t="inlineStr">
        <is>
          <t>2026-07-07 12:15</t>
        </is>
      </c>
      <c r="F1118" s="3" t="n">
        <v>1</v>
      </c>
      <c r="G1118" s="3" t="n">
        <v>1</v>
      </c>
      <c r="H1118" s="3" t="n"/>
      <c r="I1118" s="3" t="inlineStr"/>
      <c r="J1118" s="3" t="inlineStr">
        <is>
          <t>Keeta</t>
        </is>
      </c>
      <c r="K1118" s="3" t="inlineStr">
        <is>
          <t>****9568</t>
        </is>
      </c>
      <c r="L1118" s="3" t="n"/>
      <c r="M1118" s="3" t="inlineStr">
        <is>
          <t>***** 物流中心5樓</t>
        </is>
      </c>
      <c r="N1118" s="3" t="inlineStr">
        <is>
          <t>北区</t>
        </is>
      </c>
      <c r="O1118" s="3" t="inlineStr">
        <is>
          <t>香港</t>
        </is>
      </c>
      <c r="P1118" s="3" t="inlineStr">
        <is>
          <t>香港特别行政区</t>
        </is>
      </c>
      <c r="Q1118" s="3" t="n">
        <v>451744</v>
      </c>
      <c r="R1118" s="3" t="inlineStr">
        <is>
          <t>金飯館炒飯專門店</t>
        </is>
      </c>
      <c r="S1118" s="3" t="inlineStr">
        <is>
          <t>****63669538</t>
        </is>
      </c>
      <c r="T1118" s="3" t="inlineStr">
        <is>
          <t>****63669538</t>
        </is>
      </c>
      <c r="U1118" s="3" t="inlineStr">
        <is>
          <t>***** 號地下J號舖</t>
        </is>
      </c>
      <c r="V1118" s="3" t="inlineStr">
        <is>
          <t>香港</t>
        </is>
      </c>
      <c r="W1118" s="3" t="inlineStr">
        <is>
          <t>翻新POS机【真唯】/ 件出</t>
        </is>
      </c>
      <c r="X1118" s="3" t="inlineStr">
        <is>
          <t>ESS-SFTS-OTMS</t>
        </is>
      </c>
      <c r="Y1118" s="3" t="n"/>
      <c r="Z1118" s="3" t="inlineStr"/>
      <c r="AA1118" s="3" t="inlineStr">
        <is>
          <t>寄付月結</t>
        </is>
      </c>
      <c r="AB1118">
        <f>IFERROR(VLOOKUP(Q1118&amp;"",對照表!$A:$B,1,FALSE),"")</f>
        <v/>
      </c>
      <c r="AC1118">
        <f>IFERROR(VLOOKUP(Q1118&amp;"",對照表!$A:$B,2,FALSE),"")</f>
        <v/>
      </c>
    </row>
    <row r="1119">
      <c r="A1119" s="3" t="inlineStr">
        <is>
          <t>SF5113427653400</t>
        </is>
      </c>
      <c r="B1119" s="3" t="n">
        <v>58435485663300</v>
      </c>
      <c r="C1119" s="3" t="inlineStr">
        <is>
          <t>已簽收</t>
        </is>
      </c>
      <c r="D1119" s="3" t="inlineStr">
        <is>
          <t>2026-07-06 16:15:38</t>
        </is>
      </c>
      <c r="E1119" s="3" t="inlineStr">
        <is>
          <t>2026-07-07 14:09</t>
        </is>
      </c>
      <c r="F1119" s="3" t="n">
        <v>4.45</v>
      </c>
      <c r="G1119" s="3" t="n">
        <v>1</v>
      </c>
      <c r="H1119" s="3" t="n"/>
      <c r="I1119" s="3" t="inlineStr"/>
      <c r="J1119" s="3" t="inlineStr">
        <is>
          <t>Keeta</t>
        </is>
      </c>
      <c r="K1119" s="3" t="inlineStr">
        <is>
          <t>****9568</t>
        </is>
      </c>
      <c r="L1119" s="3" t="n"/>
      <c r="M1119" s="3" t="inlineStr">
        <is>
          <t>***** 物流中心5樓</t>
        </is>
      </c>
      <c r="N1119" s="3" t="inlineStr">
        <is>
          <t>北区</t>
        </is>
      </c>
      <c r="O1119" s="3" t="inlineStr">
        <is>
          <t>香港</t>
        </is>
      </c>
      <c r="P1119" s="3" t="inlineStr">
        <is>
          <t>香港特别行政区</t>
        </is>
      </c>
      <c r="Q1119" s="3" t="n">
        <v>581378</v>
      </c>
      <c r="R1119" s="3" t="inlineStr">
        <is>
          <t>泰正斗</t>
        </is>
      </c>
      <c r="S1119" s="3" t="inlineStr">
        <is>
          <t>****97492338</t>
        </is>
      </c>
      <c r="T1119" s="3" t="inlineStr">
        <is>
          <t>****97492338</t>
        </is>
      </c>
      <c r="U1119" s="3" t="inlineStr">
        <is>
          <t>***** 158號地舖</t>
        </is>
      </c>
      <c r="V1119" s="3" t="inlineStr">
        <is>
          <t>香港</t>
        </is>
      </c>
      <c r="W1119" s="3" t="inlineStr">
        <is>
          <t>机纸/小票纸 / 包出</t>
        </is>
      </c>
      <c r="X1119" s="3" t="inlineStr">
        <is>
          <t>ESS-SFTS-OTMS</t>
        </is>
      </c>
      <c r="Y1119" s="3" t="n"/>
      <c r="Z1119" s="3" t="inlineStr"/>
      <c r="AA1119" s="3" t="inlineStr">
        <is>
          <t>寄付月結</t>
        </is>
      </c>
      <c r="AB1119">
        <f>IFERROR(VLOOKUP(Q1119&amp;"",對照表!$A:$B,1,FALSE),"")</f>
        <v/>
      </c>
      <c r="AC1119">
        <f>IFERROR(VLOOKUP(Q1119&amp;"",對照表!$A:$B,2,FALSE),"")</f>
        <v/>
      </c>
    </row>
    <row r="1120">
      <c r="A1120" s="3" t="inlineStr">
        <is>
          <t>SF5113427653534</t>
        </is>
      </c>
      <c r="B1120" s="3" t="n">
        <v>58435485663329</v>
      </c>
      <c r="C1120" s="3" t="inlineStr">
        <is>
          <t>已簽收</t>
        </is>
      </c>
      <c r="D1120" s="3" t="inlineStr">
        <is>
          <t>2026-07-06 17:19:29</t>
        </is>
      </c>
      <c r="E1120" s="3" t="inlineStr">
        <is>
          <t>2026-07-07 12:04</t>
        </is>
      </c>
      <c r="F1120" s="3" t="n">
        <v>1</v>
      </c>
      <c r="G1120" s="3" t="n">
        <v>1</v>
      </c>
      <c r="H1120" s="3" t="n"/>
      <c r="I1120" s="3" t="inlineStr"/>
      <c r="J1120" s="3" t="inlineStr">
        <is>
          <t>Keeta</t>
        </is>
      </c>
      <c r="K1120" s="3" t="inlineStr">
        <is>
          <t>****9568</t>
        </is>
      </c>
      <c r="L1120" s="3" t="n"/>
      <c r="M1120" s="3" t="inlineStr">
        <is>
          <t>***** 物流中心5樓</t>
        </is>
      </c>
      <c r="N1120" s="3" t="inlineStr">
        <is>
          <t>北区</t>
        </is>
      </c>
      <c r="O1120" s="3" t="inlineStr">
        <is>
          <t>香港</t>
        </is>
      </c>
      <c r="P1120" s="3" t="inlineStr">
        <is>
          <t>香港特别行政区</t>
        </is>
      </c>
      <c r="Q1120" s="3" t="n">
        <v>721424360</v>
      </c>
      <c r="R1120" s="3" t="inlineStr">
        <is>
          <t>李公館春節正常營業</t>
        </is>
      </c>
      <c r="S1120" s="3" t="inlineStr">
        <is>
          <t>****96828701</t>
        </is>
      </c>
      <c r="T1120" s="3" t="inlineStr">
        <is>
          <t>****96828701</t>
        </is>
      </c>
      <c r="U1120" s="3" t="inlineStr">
        <is>
          <t>***** 詩道303號</t>
        </is>
      </c>
      <c r="V1120" s="3" t="inlineStr">
        <is>
          <t>香港</t>
        </is>
      </c>
      <c r="W1120" s="3" t="inlineStr">
        <is>
          <t>翻新POS机【真唯】/ 件出</t>
        </is>
      </c>
      <c r="X1120" s="3" t="inlineStr">
        <is>
          <t>ESS-SFTS-OTMS</t>
        </is>
      </c>
      <c r="Y1120" s="3" t="n"/>
      <c r="Z1120" s="3" t="inlineStr"/>
      <c r="AA1120" s="3" t="inlineStr">
        <is>
          <t>寄付月結</t>
        </is>
      </c>
      <c r="AB1120">
        <f>IFERROR(VLOOKUP(Q1120&amp;"",對照表!$A:$B,1,FALSE),"")</f>
        <v/>
      </c>
      <c r="AC1120">
        <f>IFERROR(VLOOKUP(Q1120&amp;"",對照表!$A:$B,2,FALSE),"")</f>
        <v/>
      </c>
    </row>
    <row r="1121">
      <c r="A1121" s="3" t="inlineStr">
        <is>
          <t>SF5113427653386</t>
        </is>
      </c>
      <c r="B1121" s="3" t="n">
        <v>58435485663296</v>
      </c>
      <c r="C1121" s="3" t="inlineStr">
        <is>
          <t>已簽收</t>
        </is>
      </c>
      <c r="D1121" s="3" t="inlineStr">
        <is>
          <t>2026-07-06 16:44:28</t>
        </is>
      </c>
      <c r="E1121" s="3" t="inlineStr">
        <is>
          <t>2026-07-07 13:48</t>
        </is>
      </c>
      <c r="F1121" s="3" t="n">
        <v>0.67</v>
      </c>
      <c r="G1121" s="3" t="n">
        <v>1</v>
      </c>
      <c r="H1121" s="3" t="n"/>
      <c r="I1121" s="3" t="inlineStr"/>
      <c r="J1121" s="3" t="inlineStr">
        <is>
          <t>Keeta</t>
        </is>
      </c>
      <c r="K1121" s="3" t="inlineStr">
        <is>
          <t>****9568</t>
        </is>
      </c>
      <c r="L1121" s="3" t="n"/>
      <c r="M1121" s="3" t="inlineStr">
        <is>
          <t>***** 物流中心5樓</t>
        </is>
      </c>
      <c r="N1121" s="3" t="inlineStr">
        <is>
          <t>北区</t>
        </is>
      </c>
      <c r="O1121" s="3" t="inlineStr">
        <is>
          <t>香港</t>
        </is>
      </c>
      <c r="P1121" s="3" t="inlineStr">
        <is>
          <t>香港特别行政区</t>
        </is>
      </c>
      <c r="Q1121" s="3" t="n">
        <v>389141</v>
      </c>
      <c r="R1121" s="3" t="inlineStr">
        <is>
          <t>點心到MIX大排檔</t>
        </is>
      </c>
      <c r="S1121" s="3" t="inlineStr">
        <is>
          <t>****59684809</t>
        </is>
      </c>
      <c r="T1121" s="3" t="inlineStr">
        <is>
          <t>****59684809</t>
        </is>
      </c>
      <c r="U1121" s="3" t="inlineStr">
        <is>
          <t>***** B,1C號舖</t>
        </is>
      </c>
      <c r="V1121" s="3" t="inlineStr">
        <is>
          <t>香港</t>
        </is>
      </c>
      <c r="W1121" s="3" t="inlineStr">
        <is>
          <t>机纸/小票纸 / 包出</t>
        </is>
      </c>
      <c r="X1121" s="3" t="inlineStr">
        <is>
          <t>ESS-SFTS-OTMS</t>
        </is>
      </c>
      <c r="Y1121" s="3" t="n"/>
      <c r="Z1121" s="3" t="inlineStr"/>
      <c r="AA1121" s="3" t="inlineStr">
        <is>
          <t>寄付月結</t>
        </is>
      </c>
      <c r="AB1121">
        <f>IFERROR(VLOOKUP(Q1121&amp;"",對照表!$A:$B,1,FALSE),"")</f>
        <v/>
      </c>
      <c r="AC1121">
        <f>IFERROR(VLOOKUP(Q1121&amp;"",對照表!$A:$B,2,FALSE),"")</f>
        <v/>
      </c>
    </row>
    <row r="1122">
      <c r="A1122" s="3" t="inlineStr">
        <is>
          <t>SF5113427653340</t>
        </is>
      </c>
      <c r="B1122" s="3" t="n">
        <v>58435485663287</v>
      </c>
      <c r="C1122" s="3" t="inlineStr">
        <is>
          <t>已簽收</t>
        </is>
      </c>
      <c r="D1122" s="3" t="inlineStr">
        <is>
          <t>2026-07-06 16:11:15</t>
        </is>
      </c>
      <c r="E1122" s="3" t="inlineStr">
        <is>
          <t>2026-07-06 18:11</t>
        </is>
      </c>
      <c r="F1122" s="3" t="n">
        <v>29</v>
      </c>
      <c r="G1122" s="3" t="n">
        <v>2</v>
      </c>
      <c r="H1122" s="3" t="n"/>
      <c r="I1122" s="3" t="inlineStr"/>
      <c r="J1122" s="3" t="inlineStr">
        <is>
          <t>Keeta</t>
        </is>
      </c>
      <c r="K1122" s="3" t="inlineStr">
        <is>
          <t>****9568</t>
        </is>
      </c>
      <c r="L1122" s="3" t="n"/>
      <c r="M1122" s="3" t="inlineStr">
        <is>
          <t>***** 物流中心5樓</t>
        </is>
      </c>
      <c r="N1122" s="3" t="inlineStr">
        <is>
          <t>北区</t>
        </is>
      </c>
      <c r="O1122" s="3" t="inlineStr">
        <is>
          <t>香港</t>
        </is>
      </c>
      <c r="P1122" s="3" t="inlineStr">
        <is>
          <t>香港特别行政区</t>
        </is>
      </c>
      <c r="Q1122" s="3" t="n">
        <v>596292</v>
      </c>
      <c r="R1122" s="3" t="inlineStr">
        <is>
          <t>麥當勞(皇后大道中)McDonalds</t>
        </is>
      </c>
      <c r="S1122" s="3" t="inlineStr">
        <is>
          <t>****25418667</t>
        </is>
      </c>
      <c r="T1122" s="3" t="inlineStr">
        <is>
          <t>****25418667</t>
        </is>
      </c>
      <c r="U1122" s="3" t="inlineStr">
        <is>
          <t>***** 2A&amp;2B舖</t>
        </is>
      </c>
      <c r="V1122" s="3" t="inlineStr">
        <is>
          <t>香港</t>
        </is>
      </c>
      <c r="W1122" s="3" t="inlineStr">
        <is>
          <t>纸袋【通版】/ 箱出</t>
        </is>
      </c>
      <c r="X1122" s="3" t="inlineStr">
        <is>
          <t>ESS-SFTS-OTMS</t>
        </is>
      </c>
      <c r="Y1122" s="3" t="n"/>
      <c r="Z1122" s="3" t="inlineStr"/>
      <c r="AA1122" s="3" t="inlineStr">
        <is>
          <t>寄付月結</t>
        </is>
      </c>
      <c r="AB1122">
        <f>IFERROR(VLOOKUP(Q1122&amp;"",對照表!$A:$B,1,FALSE),"")</f>
        <v/>
      </c>
      <c r="AC1122">
        <f>IFERROR(VLOOKUP(Q1122&amp;"",對照表!$A:$B,2,FALSE),"")</f>
        <v/>
      </c>
    </row>
    <row r="1123">
      <c r="A1123" s="3" t="inlineStr">
        <is>
          <t>SF5113427653261</t>
        </is>
      </c>
      <c r="B1123" s="3" t="n">
        <v>58435485663271</v>
      </c>
      <c r="C1123" s="3" t="inlineStr">
        <is>
          <t>已簽收</t>
        </is>
      </c>
      <c r="D1123" s="3" t="inlineStr">
        <is>
          <t>2026-07-06 16:15:39</t>
        </is>
      </c>
      <c r="E1123" s="3" t="inlineStr">
        <is>
          <t>2026-07-07 16:55</t>
        </is>
      </c>
      <c r="F1123" s="3" t="n">
        <v>4.45</v>
      </c>
      <c r="G1123" s="3" t="n">
        <v>1</v>
      </c>
      <c r="H1123" s="3" t="n"/>
      <c r="I1123" s="3" t="inlineStr"/>
      <c r="J1123" s="3" t="inlineStr">
        <is>
          <t>Keeta</t>
        </is>
      </c>
      <c r="K1123" s="3" t="inlineStr">
        <is>
          <t>****9568</t>
        </is>
      </c>
      <c r="L1123" s="3" t="n"/>
      <c r="M1123" s="3" t="inlineStr">
        <is>
          <t>***** 物流中心5樓</t>
        </is>
      </c>
      <c r="N1123" s="3" t="inlineStr">
        <is>
          <t>北区</t>
        </is>
      </c>
      <c r="O1123" s="3" t="inlineStr">
        <is>
          <t>香港</t>
        </is>
      </c>
      <c r="P1123" s="3" t="inlineStr">
        <is>
          <t>香港特别行政区</t>
        </is>
      </c>
      <c r="Q1123" s="3" t="n">
        <v>606154</v>
      </c>
      <c r="R1123" s="3" t="inlineStr">
        <is>
          <t>麥當勞(栢蕙苑)McDonalds</t>
        </is>
      </c>
      <c r="S1123" s="3" t="inlineStr">
        <is>
          <t>****28809603</t>
        </is>
      </c>
      <c r="T1123" s="3" t="inlineStr">
        <is>
          <t>****28809603</t>
        </is>
      </c>
      <c r="U1123" s="3" t="inlineStr">
        <is>
          <t>***** 舖舆前舖部分</t>
        </is>
      </c>
      <c r="V1123" s="3" t="inlineStr">
        <is>
          <t>香港</t>
        </is>
      </c>
      <c r="W1123" s="3" t="inlineStr">
        <is>
          <t>机纸/小票纸 / 包出</t>
        </is>
      </c>
      <c r="X1123" s="3" t="inlineStr">
        <is>
          <t>ESS-SFTS-OTMS</t>
        </is>
      </c>
      <c r="Y1123" s="3" t="n"/>
      <c r="Z1123" s="3" t="inlineStr"/>
      <c r="AA1123" s="3" t="inlineStr">
        <is>
          <t>寄付月結</t>
        </is>
      </c>
      <c r="AB1123">
        <f>IFERROR(VLOOKUP(Q1123&amp;"",對照表!$A:$B,1,FALSE),"")</f>
        <v/>
      </c>
      <c r="AC1123">
        <f>IFERROR(VLOOKUP(Q1123&amp;"",對照表!$A:$B,2,FALSE),"")</f>
        <v/>
      </c>
    </row>
    <row r="1124">
      <c r="A1124" s="3" t="inlineStr">
        <is>
          <t>SF5113427653446</t>
        </is>
      </c>
      <c r="B1124" s="3" t="n">
        <v>58435485663310</v>
      </c>
      <c r="C1124" s="3" t="inlineStr">
        <is>
          <t>已簽收</t>
        </is>
      </c>
      <c r="D1124" s="3" t="inlineStr">
        <is>
          <t>2026-07-06 17:09:36</t>
        </is>
      </c>
      <c r="E1124" s="3" t="inlineStr">
        <is>
          <t>2026-07-07 11:16</t>
        </is>
      </c>
      <c r="F1124" s="3" t="n">
        <v>2.36</v>
      </c>
      <c r="G1124" s="3" t="n">
        <v>1</v>
      </c>
      <c r="H1124" s="3" t="n"/>
      <c r="I1124" s="3" t="inlineStr"/>
      <c r="J1124" s="3" t="inlineStr">
        <is>
          <t>Keeta</t>
        </is>
      </c>
      <c r="K1124" s="3" t="inlineStr">
        <is>
          <t>****9568</t>
        </is>
      </c>
      <c r="L1124" s="3" t="n"/>
      <c r="M1124" s="3" t="inlineStr">
        <is>
          <t>***** 物流中心5樓</t>
        </is>
      </c>
      <c r="N1124" s="3" t="inlineStr">
        <is>
          <t>北区</t>
        </is>
      </c>
      <c r="O1124" s="3" t="inlineStr">
        <is>
          <t>香港</t>
        </is>
      </c>
      <c r="P1124" s="3" t="inlineStr">
        <is>
          <t>香港特别行政区</t>
        </is>
      </c>
      <c r="Q1124" s="3" t="n">
        <v>455391</v>
      </c>
      <c r="R1124" s="3" t="inlineStr">
        <is>
          <t>雲川百味米線紅薯粉麵(洪水橋)</t>
        </is>
      </c>
      <c r="S1124" s="3" t="inlineStr">
        <is>
          <t>****26338832</t>
        </is>
      </c>
      <c r="T1124" s="3" t="inlineStr">
        <is>
          <t>****26338832</t>
        </is>
      </c>
      <c r="U1124" s="3" t="inlineStr">
        <is>
          <t>***** 地下10號舖</t>
        </is>
      </c>
      <c r="V1124" s="3" t="inlineStr">
        <is>
          <t>香港</t>
        </is>
      </c>
      <c r="W1124" s="3" t="inlineStr">
        <is>
          <t>机纸/小票纸 / 包出</t>
        </is>
      </c>
      <c r="X1124" s="3" t="inlineStr">
        <is>
          <t>ESS-SFTS-OTMS</t>
        </is>
      </c>
      <c r="Y1124" s="3" t="n"/>
      <c r="Z1124" s="3" t="inlineStr"/>
      <c r="AA1124" s="3" t="inlineStr">
        <is>
          <t>寄付月結</t>
        </is>
      </c>
      <c r="AB1124">
        <f>IFERROR(VLOOKUP(Q1124&amp;"",對照表!$A:$B,1,FALSE),"")</f>
        <v/>
      </c>
      <c r="AC1124">
        <f>IFERROR(VLOOKUP(Q1124&amp;"",對照表!$A:$B,2,FALSE),"")</f>
        <v/>
      </c>
    </row>
    <row r="1125">
      <c r="A1125" s="3" t="inlineStr">
        <is>
          <t>SF5113427653085</t>
        </is>
      </c>
      <c r="B1125" s="3" t="n">
        <v>58435485630832</v>
      </c>
      <c r="C1125" s="3" t="inlineStr">
        <is>
          <t>已簽收</t>
        </is>
      </c>
      <c r="D1125" s="3" t="inlineStr">
        <is>
          <t>2026-07-06 16:10:21</t>
        </is>
      </c>
      <c r="E1125" s="3" t="inlineStr">
        <is>
          <t>2026-07-07 12:08</t>
        </is>
      </c>
      <c r="F1125" s="3" t="n">
        <v>58</v>
      </c>
      <c r="G1125" s="3" t="n">
        <v>4</v>
      </c>
      <c r="H1125" s="3" t="n"/>
      <c r="I1125" s="3" t="inlineStr"/>
      <c r="J1125" s="3" t="inlineStr">
        <is>
          <t>Keeta</t>
        </is>
      </c>
      <c r="K1125" s="3" t="inlineStr">
        <is>
          <t>****9568</t>
        </is>
      </c>
      <c r="L1125" s="3" t="n"/>
      <c r="M1125" s="3" t="inlineStr">
        <is>
          <t>***** 物流中心5樓</t>
        </is>
      </c>
      <c r="N1125" s="3" t="inlineStr">
        <is>
          <t>北区</t>
        </is>
      </c>
      <c r="O1125" s="3" t="inlineStr">
        <is>
          <t>香港</t>
        </is>
      </c>
      <c r="P1125" s="3" t="inlineStr">
        <is>
          <t>香港特别行政区</t>
        </is>
      </c>
      <c r="Q1125" s="3" t="n">
        <v>488208</v>
      </c>
      <c r="R1125" s="3" t="inlineStr">
        <is>
          <t>麥當勞(映灣園)McDonalds</t>
        </is>
      </c>
      <c r="S1125" s="3" t="inlineStr">
        <is>
          <t>****28667995</t>
        </is>
      </c>
      <c r="T1125" s="3" t="inlineStr">
        <is>
          <t>****28667995</t>
        </is>
      </c>
      <c r="U1125" s="3" t="inlineStr">
        <is>
          <t>***** 9及30號舖</t>
        </is>
      </c>
      <c r="V1125" s="3" t="inlineStr">
        <is>
          <t>香港</t>
        </is>
      </c>
      <c r="W1125" s="3" t="inlineStr">
        <is>
          <t>纸袋【通版】/ 箱出</t>
        </is>
      </c>
      <c r="X1125" s="3" t="inlineStr">
        <is>
          <t>ESS-SFTS-OTMS</t>
        </is>
      </c>
      <c r="Y1125" s="3" t="n"/>
      <c r="Z1125" s="3" t="inlineStr"/>
      <c r="AA1125" s="3" t="inlineStr">
        <is>
          <t>寄付月結</t>
        </is>
      </c>
      <c r="AB1125">
        <f>IFERROR(VLOOKUP(Q1125&amp;"",對照表!$A:$B,1,FALSE),"")</f>
        <v/>
      </c>
      <c r="AC1125">
        <f>IFERROR(VLOOKUP(Q1125&amp;"",對照表!$A:$B,2,FALSE),"")</f>
        <v/>
      </c>
    </row>
    <row r="1126">
      <c r="A1126" s="3" t="inlineStr">
        <is>
          <t>SF5113427653137</t>
        </is>
      </c>
      <c r="B1126" s="3" t="n">
        <v>58435485663236</v>
      </c>
      <c r="C1126" s="3" t="inlineStr">
        <is>
          <t>已簽收</t>
        </is>
      </c>
      <c r="D1126" s="3" t="inlineStr">
        <is>
          <t>2026-07-06 17:11:37</t>
        </is>
      </c>
      <c r="E1126" s="3" t="inlineStr">
        <is>
          <t>2026-07-07 13:16</t>
        </is>
      </c>
      <c r="F1126" s="3" t="n">
        <v>2.36</v>
      </c>
      <c r="G1126" s="3" t="n">
        <v>1</v>
      </c>
      <c r="H1126" s="3" t="n"/>
      <c r="I1126" s="3" t="inlineStr"/>
      <c r="J1126" s="3" t="inlineStr">
        <is>
          <t>Keeta</t>
        </is>
      </c>
      <c r="K1126" s="3" t="inlineStr">
        <is>
          <t>****9568</t>
        </is>
      </c>
      <c r="L1126" s="3" t="n"/>
      <c r="M1126" s="3" t="inlineStr">
        <is>
          <t>***** 物流中心5樓</t>
        </is>
      </c>
      <c r="N1126" s="3" t="inlineStr">
        <is>
          <t>北区</t>
        </is>
      </c>
      <c r="O1126" s="3" t="inlineStr">
        <is>
          <t>香港</t>
        </is>
      </c>
      <c r="P1126" s="3" t="inlineStr">
        <is>
          <t>香港特别行政区</t>
        </is>
      </c>
      <c r="Q1126" s="3" t="n">
        <v>606146</v>
      </c>
      <c r="R1126" s="3" t="inlineStr">
        <is>
          <t>茶木(屯市)</t>
        </is>
      </c>
      <c r="S1126" s="3" t="inlineStr">
        <is>
          <t>****26480288</t>
        </is>
      </c>
      <c r="T1126" s="3" t="inlineStr">
        <is>
          <t>****26480288</t>
        </is>
      </c>
      <c r="U1126" s="3" t="inlineStr">
        <is>
          <t>***** 3205號舖</t>
        </is>
      </c>
      <c r="V1126" s="3" t="inlineStr">
        <is>
          <t>香港</t>
        </is>
      </c>
      <c r="W1126" s="3" t="inlineStr">
        <is>
          <t>机纸/小票纸 / 包出</t>
        </is>
      </c>
      <c r="X1126" s="3" t="inlineStr">
        <is>
          <t>ESS-SFTS-OTMS</t>
        </is>
      </c>
      <c r="Y1126" s="3" t="n"/>
      <c r="Z1126" s="3" t="inlineStr"/>
      <c r="AA1126" s="3" t="inlineStr">
        <is>
          <t>寄付月結</t>
        </is>
      </c>
      <c r="AB1126">
        <f>IFERROR(VLOOKUP(Q1126&amp;"",對照表!$A:$B,1,FALSE),"")</f>
        <v/>
      </c>
      <c r="AC1126">
        <f>IFERROR(VLOOKUP(Q1126&amp;"",對照表!$A:$B,2,FALSE),"")</f>
        <v/>
      </c>
    </row>
    <row r="1127">
      <c r="A1127" s="3" t="inlineStr">
        <is>
          <t>SF5113427653419</t>
        </is>
      </c>
      <c r="B1127" s="3" t="n">
        <v>58435485663303</v>
      </c>
      <c r="C1127" s="3" t="inlineStr">
        <is>
          <t>已簽收</t>
        </is>
      </c>
      <c r="D1127" s="3" t="inlineStr">
        <is>
          <t>2026-07-06 17:10:10</t>
        </is>
      </c>
      <c r="E1127" s="3" t="inlineStr">
        <is>
          <t>2026-07-07 11:53</t>
        </is>
      </c>
      <c r="F1127" s="3" t="n">
        <v>2.8</v>
      </c>
      <c r="G1127" s="3" t="n">
        <v>1</v>
      </c>
      <c r="H1127" s="3" t="n"/>
      <c r="I1127" s="3" t="inlineStr"/>
      <c r="J1127" s="3" t="inlineStr">
        <is>
          <t>Keeta</t>
        </is>
      </c>
      <c r="K1127" s="3" t="inlineStr">
        <is>
          <t>****9568</t>
        </is>
      </c>
      <c r="L1127" s="3" t="n"/>
      <c r="M1127" s="3" t="inlineStr">
        <is>
          <t>***** 物流中心5樓</t>
        </is>
      </c>
      <c r="N1127" s="3" t="inlineStr">
        <is>
          <t>北区</t>
        </is>
      </c>
      <c r="O1127" s="3" t="inlineStr">
        <is>
          <t>香港</t>
        </is>
      </c>
      <c r="P1127" s="3" t="inlineStr">
        <is>
          <t>香港特别行政区</t>
        </is>
      </c>
      <c r="Q1127" s="3" t="n">
        <v>721434325</v>
      </c>
      <c r="R1127" s="3" t="inlineStr">
        <is>
          <t>手作功夫茶(花都廣場)限時免運</t>
        </is>
      </c>
      <c r="S1127" s="3" t="inlineStr">
        <is>
          <t>****55437550</t>
        </is>
      </c>
      <c r="T1127" s="3" t="inlineStr">
        <is>
          <t>****55437550</t>
        </is>
      </c>
      <c r="U1127" s="3" t="inlineStr">
        <is>
          <t>***** 地下79號舖</t>
        </is>
      </c>
      <c r="V1127" s="3" t="inlineStr">
        <is>
          <t>香港</t>
        </is>
      </c>
      <c r="W1127" s="3" t="inlineStr">
        <is>
          <t>机纸/小票纸 / 包出</t>
        </is>
      </c>
      <c r="X1127" s="3" t="inlineStr">
        <is>
          <t>ESS-SFTS-OTMS</t>
        </is>
      </c>
      <c r="Y1127" s="3" t="n"/>
      <c r="Z1127" s="3" t="inlineStr"/>
      <c r="AA1127" s="3" t="inlineStr">
        <is>
          <t>寄付月結</t>
        </is>
      </c>
      <c r="AB1127">
        <f>IFERROR(VLOOKUP(Q1127&amp;"",對照表!$A:$B,1,FALSE),"")</f>
        <v/>
      </c>
      <c r="AC1127">
        <f>IFERROR(VLOOKUP(Q1127&amp;"",對照表!$A:$B,2,FALSE),"")</f>
        <v/>
      </c>
    </row>
    <row r="1128">
      <c r="A1128" s="3" t="inlineStr">
        <is>
          <t>SF5113427653191</t>
        </is>
      </c>
      <c r="B1128" s="3" t="n">
        <v>58435485663247</v>
      </c>
      <c r="C1128" s="3" t="inlineStr">
        <is>
          <t>已簽收</t>
        </is>
      </c>
      <c r="D1128" s="3" t="inlineStr">
        <is>
          <t>2026-07-06 15:19:11</t>
        </is>
      </c>
      <c r="E1128" s="3" t="inlineStr">
        <is>
          <t>2026-07-07 10:05</t>
        </is>
      </c>
      <c r="F1128" s="3" t="n">
        <v>14.5</v>
      </c>
      <c r="G1128" s="3" t="n">
        <v>1</v>
      </c>
      <c r="H1128" s="3" t="n"/>
      <c r="I1128" s="3" t="inlineStr"/>
      <c r="J1128" s="3" t="inlineStr">
        <is>
          <t>Keeta</t>
        </is>
      </c>
      <c r="K1128" s="3" t="inlineStr">
        <is>
          <t>****9568</t>
        </is>
      </c>
      <c r="L1128" s="3" t="n"/>
      <c r="M1128" s="3" t="inlineStr">
        <is>
          <t>***** 物流中心5樓</t>
        </is>
      </c>
      <c r="N1128" s="3" t="inlineStr">
        <is>
          <t>北区</t>
        </is>
      </c>
      <c r="O1128" s="3" t="inlineStr">
        <is>
          <t>香港</t>
        </is>
      </c>
      <c r="P1128" s="3" t="inlineStr">
        <is>
          <t>香港特别行政区</t>
        </is>
      </c>
      <c r="Q1128" s="3" t="n">
        <v>721537394</v>
      </c>
      <c r="R1128" s="3" t="inlineStr">
        <is>
          <t>德和果汁</t>
        </is>
      </c>
      <c r="S1128" s="3" t="inlineStr">
        <is>
          <t>****1318695</t>
        </is>
      </c>
      <c r="T1128" s="3" t="inlineStr">
        <is>
          <t>****1318695</t>
        </is>
      </c>
      <c r="U1128" s="3" t="inlineStr">
        <is>
          <t>***** rence）</t>
        </is>
      </c>
      <c r="V1128" s="3" t="inlineStr">
        <is>
          <t>香港</t>
        </is>
      </c>
      <c r="W1128" s="3" t="inlineStr">
        <is>
          <t>纸袋【通版】/ 箱出</t>
        </is>
      </c>
      <c r="X1128" s="3" t="inlineStr">
        <is>
          <t>ESS-SFTS-OTMS</t>
        </is>
      </c>
      <c r="Y1128" s="3" t="n"/>
      <c r="Z1128" s="3" t="inlineStr"/>
      <c r="AA1128" s="3" t="inlineStr">
        <is>
          <t>寄付月結</t>
        </is>
      </c>
      <c r="AB1128">
        <f>IFERROR(VLOOKUP(Q1128&amp;"",對照表!$A:$B,1,FALSE),"")</f>
        <v/>
      </c>
      <c r="AC1128">
        <f>IFERROR(VLOOKUP(Q1128&amp;"",對照表!$A:$B,2,FALSE),"")</f>
        <v/>
      </c>
    </row>
    <row r="1129">
      <c r="A1129" s="3" t="inlineStr">
        <is>
          <t>SF5113427653234</t>
        </is>
      </c>
      <c r="B1129" s="3" t="n">
        <v>58435485663262</v>
      </c>
      <c r="C1129" s="3" t="inlineStr">
        <is>
          <t>已簽收</t>
        </is>
      </c>
      <c r="D1129" s="3" t="inlineStr">
        <is>
          <t>2026-07-06 16:15:41</t>
        </is>
      </c>
      <c r="E1129" s="3" t="inlineStr">
        <is>
          <t>2026-07-07 10:10</t>
        </is>
      </c>
      <c r="F1129" s="3" t="n">
        <v>4.45</v>
      </c>
      <c r="G1129" s="3" t="n">
        <v>1</v>
      </c>
      <c r="H1129" s="3" t="n"/>
      <c r="I1129" s="3" t="inlineStr"/>
      <c r="J1129" s="3" t="inlineStr">
        <is>
          <t>Keeta</t>
        </is>
      </c>
      <c r="K1129" s="3" t="inlineStr">
        <is>
          <t>****9568</t>
        </is>
      </c>
      <c r="L1129" s="3" t="n"/>
      <c r="M1129" s="3" t="inlineStr">
        <is>
          <t>***** 物流中心5樓</t>
        </is>
      </c>
      <c r="N1129" s="3" t="inlineStr">
        <is>
          <t>北区</t>
        </is>
      </c>
      <c r="O1129" s="3" t="inlineStr">
        <is>
          <t>香港</t>
        </is>
      </c>
      <c r="P1129" s="3" t="inlineStr">
        <is>
          <t>香港特别行政区</t>
        </is>
      </c>
      <c r="Q1129" s="3" t="n">
        <v>721535323</v>
      </c>
      <c r="R1129" s="3" t="inlineStr">
        <is>
          <t>嘉華餐室街坊茶餐廳l即炒鑊氣小菜（東涌）</t>
        </is>
      </c>
      <c r="S1129" s="3" t="inlineStr">
        <is>
          <t>****69777815</t>
        </is>
      </c>
      <c r="T1129" s="3" t="inlineStr">
        <is>
          <t>****69777815</t>
        </is>
      </c>
      <c r="U1129" s="3" t="inlineStr">
        <is>
          <t>***** YT99號舖</t>
        </is>
      </c>
      <c r="V1129" s="3" t="inlineStr">
        <is>
          <t>香港</t>
        </is>
      </c>
      <c r="W1129" s="3" t="inlineStr">
        <is>
          <t>机纸/小票纸 / 包出</t>
        </is>
      </c>
      <c r="X1129" s="3" t="inlineStr">
        <is>
          <t>ESS-SFTS-OTMS</t>
        </is>
      </c>
      <c r="Y1129" s="3" t="n"/>
      <c r="Z1129" s="3" t="inlineStr"/>
      <c r="AA1129" s="3" t="inlineStr">
        <is>
          <t>寄付月結</t>
        </is>
      </c>
      <c r="AB1129">
        <f>IFERROR(VLOOKUP(Q1129&amp;"",對照表!$A:$B,1,FALSE),"")</f>
        <v/>
      </c>
      <c r="AC1129">
        <f>IFERROR(VLOOKUP(Q1129&amp;"",對照表!$A:$B,2,FALSE),"")</f>
        <v/>
      </c>
    </row>
    <row r="1130">
      <c r="A1130" s="3" t="inlineStr">
        <is>
          <t>SF5113427653570</t>
        </is>
      </c>
      <c r="B1130" s="3" t="n">
        <v>58435485663336</v>
      </c>
      <c r="C1130" s="3" t="inlineStr">
        <is>
          <t>已簽收</t>
        </is>
      </c>
      <c r="D1130" s="3" t="inlineStr">
        <is>
          <t>2026-07-06 16:15:33</t>
        </is>
      </c>
      <c r="E1130" s="3" t="inlineStr">
        <is>
          <t>2026-07-07 10:48</t>
        </is>
      </c>
      <c r="F1130" s="3" t="n">
        <v>4.45</v>
      </c>
      <c r="G1130" s="3" t="n">
        <v>1</v>
      </c>
      <c r="H1130" s="3" t="n"/>
      <c r="I1130" s="3" t="inlineStr"/>
      <c r="J1130" s="3" t="inlineStr">
        <is>
          <t>Keeta</t>
        </is>
      </c>
      <c r="K1130" s="3" t="inlineStr">
        <is>
          <t>****9568</t>
        </is>
      </c>
      <c r="L1130" s="3" t="n"/>
      <c r="M1130" s="3" t="inlineStr">
        <is>
          <t>***** 物流中心5樓</t>
        </is>
      </c>
      <c r="N1130" s="3" t="inlineStr">
        <is>
          <t>北区</t>
        </is>
      </c>
      <c r="O1130" s="3" t="inlineStr">
        <is>
          <t>香港</t>
        </is>
      </c>
      <c r="P1130" s="3" t="inlineStr">
        <is>
          <t>香港特别行政区</t>
        </is>
      </c>
      <c r="Q1130" s="3" t="n">
        <v>597180</v>
      </c>
      <c r="R1130" s="3" t="inlineStr">
        <is>
          <t>鈺膳潮州菜</t>
        </is>
      </c>
      <c r="S1130" s="3" t="inlineStr">
        <is>
          <t>****92538359</t>
        </is>
      </c>
      <c r="T1130" s="3" t="inlineStr">
        <is>
          <t>****92538359</t>
        </is>
      </c>
      <c r="U1130" s="3" t="inlineStr">
        <is>
          <t>***** ay Bay</t>
        </is>
      </c>
      <c r="V1130" s="3" t="inlineStr">
        <is>
          <t>香港</t>
        </is>
      </c>
      <c r="W1130" s="3" t="inlineStr">
        <is>
          <t>机纸/小票纸 / 包出</t>
        </is>
      </c>
      <c r="X1130" s="3" t="inlineStr">
        <is>
          <t>ESS-SFTS-OTMS</t>
        </is>
      </c>
      <c r="Y1130" s="3" t="n"/>
      <c r="Z1130" s="3" t="inlineStr"/>
      <c r="AA1130" s="3" t="inlineStr">
        <is>
          <t>寄付月結</t>
        </is>
      </c>
      <c r="AB1130">
        <f>IFERROR(VLOOKUP(Q1130&amp;"",對照表!$A:$B,1,FALSE),"")</f>
        <v/>
      </c>
      <c r="AC1130">
        <f>IFERROR(VLOOKUP(Q1130&amp;"",對照表!$A:$B,2,FALSE),"")</f>
        <v/>
      </c>
    </row>
    <row r="1131">
      <c r="A1131" s="3" t="inlineStr">
        <is>
          <t>SF5113427653604</t>
        </is>
      </c>
      <c r="B1131" s="3" t="n">
        <v>58435485663342</v>
      </c>
      <c r="C1131" s="3" t="inlineStr">
        <is>
          <t>已簽收</t>
        </is>
      </c>
      <c r="D1131" s="3" t="inlineStr">
        <is>
          <t>2026-07-06 15:19:19</t>
        </is>
      </c>
      <c r="E1131" s="3" t="inlineStr">
        <is>
          <t>2026-07-07 10:52</t>
        </is>
      </c>
      <c r="F1131" s="3" t="n">
        <v>14.5</v>
      </c>
      <c r="G1131" s="3" t="n">
        <v>1</v>
      </c>
      <c r="H1131" s="3" t="n"/>
      <c r="I1131" s="3" t="inlineStr"/>
      <c r="J1131" s="3" t="inlineStr">
        <is>
          <t>Keeta</t>
        </is>
      </c>
      <c r="K1131" s="3" t="inlineStr">
        <is>
          <t>****9568</t>
        </is>
      </c>
      <c r="L1131" s="3" t="n"/>
      <c r="M1131" s="3" t="inlineStr">
        <is>
          <t>***** 物流中心5樓</t>
        </is>
      </c>
      <c r="N1131" s="3" t="inlineStr">
        <is>
          <t>北区</t>
        </is>
      </c>
      <c r="O1131" s="3" t="inlineStr">
        <is>
          <t>香港</t>
        </is>
      </c>
      <c r="P1131" s="3" t="inlineStr">
        <is>
          <t>香港特别行政区</t>
        </is>
      </c>
      <c r="Q1131" s="3" t="n">
        <v>611093</v>
      </c>
      <c r="R1131" s="3" t="inlineStr">
        <is>
          <t>麥當勞(黃大仙)McDonalds</t>
        </is>
      </c>
      <c r="S1131" s="3" t="inlineStr">
        <is>
          <t>****23221565</t>
        </is>
      </c>
      <c r="T1131" s="3" t="inlineStr">
        <is>
          <t>****23221565</t>
        </is>
      </c>
      <c r="U1131" s="3" t="inlineStr">
        <is>
          <t>***** 樓123號舖</t>
        </is>
      </c>
      <c r="V1131" s="3" t="inlineStr">
        <is>
          <t>香港</t>
        </is>
      </c>
      <c r="W1131" s="3" t="inlineStr">
        <is>
          <t>纸袋【通版】/ 箱出</t>
        </is>
      </c>
      <c r="X1131" s="3" t="inlineStr">
        <is>
          <t>ESS-SFTS-OTMS</t>
        </is>
      </c>
      <c r="Y1131" s="3" t="n"/>
      <c r="Z1131" s="3" t="inlineStr"/>
      <c r="AA1131" s="3" t="inlineStr">
        <is>
          <t>寄付月結</t>
        </is>
      </c>
      <c r="AB1131">
        <f>IFERROR(VLOOKUP(Q1131&amp;"",對照表!$A:$B,1,FALSE),"")</f>
        <v/>
      </c>
      <c r="AC1131">
        <f>IFERROR(VLOOKUP(Q1131&amp;"",對照表!$A:$B,2,FALSE),"")</f>
        <v/>
      </c>
    </row>
    <row r="1132">
      <c r="A1132" s="3" t="inlineStr">
        <is>
          <t>SF5113427653437</t>
        </is>
      </c>
      <c r="B1132" s="3" t="n">
        <v>58435485663307</v>
      </c>
      <c r="C1132" s="3" t="inlineStr">
        <is>
          <t>已簽收</t>
        </is>
      </c>
      <c r="D1132" s="3" t="inlineStr">
        <is>
          <t>2026-07-06 16:10:32</t>
        </is>
      </c>
      <c r="E1132" s="3" t="inlineStr">
        <is>
          <t>2026-07-07 15:32</t>
        </is>
      </c>
      <c r="F1132" s="3" t="n">
        <v>58</v>
      </c>
      <c r="G1132" s="3" t="n">
        <v>4</v>
      </c>
      <c r="H1132" s="3" t="n"/>
      <c r="I1132" s="3" t="inlineStr"/>
      <c r="J1132" s="3" t="inlineStr">
        <is>
          <t>Keeta</t>
        </is>
      </c>
      <c r="K1132" s="3" t="inlineStr">
        <is>
          <t>****9568</t>
        </is>
      </c>
      <c r="L1132" s="3" t="n"/>
      <c r="M1132" s="3" t="inlineStr">
        <is>
          <t>***** 物流中心5樓</t>
        </is>
      </c>
      <c r="N1132" s="3" t="inlineStr">
        <is>
          <t>北区</t>
        </is>
      </c>
      <c r="O1132" s="3" t="inlineStr">
        <is>
          <t>香港</t>
        </is>
      </c>
      <c r="P1132" s="3" t="inlineStr">
        <is>
          <t>香港特别行政区</t>
        </is>
      </c>
      <c r="Q1132" s="3" t="n">
        <v>491668</v>
      </c>
      <c r="R1132" s="3" t="inlineStr">
        <is>
          <t>麥當勞(彌敦行)McDonalds</t>
        </is>
      </c>
      <c r="S1132" s="3" t="inlineStr">
        <is>
          <t>****23851611</t>
        </is>
      </c>
      <c r="T1132" s="3" t="inlineStr">
        <is>
          <t>****23851611</t>
        </is>
      </c>
      <c r="U1132" s="3" t="inlineStr">
        <is>
          <t>***** 地下A及C舖</t>
        </is>
      </c>
      <c r="V1132" s="3" t="inlineStr">
        <is>
          <t>香港</t>
        </is>
      </c>
      <c r="W1132" s="3" t="inlineStr">
        <is>
          <t>纸袋【通版】/ 箱出</t>
        </is>
      </c>
      <c r="X1132" s="3" t="inlineStr">
        <is>
          <t>ESS-SFTS-OTMS</t>
        </is>
      </c>
      <c r="Y1132" s="3" t="n"/>
      <c r="Z1132" s="3" t="inlineStr"/>
      <c r="AA1132" s="3" t="inlineStr">
        <is>
          <t>寄付月結</t>
        </is>
      </c>
      <c r="AB1132">
        <f>IFERROR(VLOOKUP(Q1132&amp;"",對照表!$A:$B,1,FALSE),"")</f>
        <v/>
      </c>
      <c r="AC1132">
        <f>IFERROR(VLOOKUP(Q1132&amp;"",對照表!$A:$B,2,FALSE),"")</f>
        <v/>
      </c>
    </row>
    <row r="1133">
      <c r="A1133" s="3" t="inlineStr">
        <is>
          <t>SF5113427653298</t>
        </is>
      </c>
      <c r="B1133" s="3" t="n">
        <v>58435485663276</v>
      </c>
      <c r="C1133" s="3" t="inlineStr">
        <is>
          <t>已簽收</t>
        </is>
      </c>
      <c r="D1133" s="3" t="inlineStr">
        <is>
          <t>2026-07-06 16:07:08</t>
        </is>
      </c>
      <c r="E1133" s="3" t="inlineStr">
        <is>
          <t>2026-07-07 10:55</t>
        </is>
      </c>
      <c r="F1133" s="3" t="n">
        <v>4.45</v>
      </c>
      <c r="G1133" s="3" t="n">
        <v>1</v>
      </c>
      <c r="H1133" s="3" t="n"/>
      <c r="I1133" s="3" t="inlineStr"/>
      <c r="J1133" s="3" t="inlineStr">
        <is>
          <t>Keeta</t>
        </is>
      </c>
      <c r="K1133" s="3" t="inlineStr">
        <is>
          <t>****9568</t>
        </is>
      </c>
      <c r="L1133" s="3" t="n"/>
      <c r="M1133" s="3" t="inlineStr">
        <is>
          <t>***** 物流中心5樓</t>
        </is>
      </c>
      <c r="N1133" s="3" t="inlineStr">
        <is>
          <t>北区</t>
        </is>
      </c>
      <c r="O1133" s="3" t="inlineStr">
        <is>
          <t>香港</t>
        </is>
      </c>
      <c r="P1133" s="3" t="inlineStr">
        <is>
          <t>香港特别行政区</t>
        </is>
      </c>
      <c r="Q1133" s="3" t="n">
        <v>584153</v>
      </c>
      <c r="R1133" s="3" t="inlineStr">
        <is>
          <t>袁記雲餃(物華街)全球近5000家門店</t>
        </is>
      </c>
      <c r="S1133" s="3" t="inlineStr">
        <is>
          <t>****52786664</t>
        </is>
      </c>
      <c r="T1133" s="3" t="inlineStr">
        <is>
          <t>****52786664</t>
        </is>
      </c>
      <c r="U1133" s="3" t="inlineStr">
        <is>
          <t>***** 安大樓3單元</t>
        </is>
      </c>
      <c r="V1133" s="3" t="inlineStr">
        <is>
          <t>香港</t>
        </is>
      </c>
      <c r="W1133" s="3" t="inlineStr">
        <is>
          <t>机纸/小票纸 / 包出</t>
        </is>
      </c>
      <c r="X1133" s="3" t="inlineStr">
        <is>
          <t>ESS-SFTS-OTMS</t>
        </is>
      </c>
      <c r="Y1133" s="3" t="n"/>
      <c r="Z1133" s="3" t="inlineStr"/>
      <c r="AA1133" s="3" t="inlineStr">
        <is>
          <t>寄付月結</t>
        </is>
      </c>
      <c r="AB1133">
        <f>IFERROR(VLOOKUP(Q1133&amp;"",對照表!$A:$B,1,FALSE),"")</f>
        <v/>
      </c>
      <c r="AC1133">
        <f>IFERROR(VLOOKUP(Q1133&amp;"",對照表!$A:$B,2,FALSE),"")</f>
        <v/>
      </c>
    </row>
    <row r="1134">
      <c r="A1134" s="3" t="inlineStr">
        <is>
          <t>SF5113427653313</t>
        </is>
      </c>
      <c r="B1134" s="3" t="n">
        <v>58435485663281</v>
      </c>
      <c r="C1134" s="3" t="inlineStr">
        <is>
          <t>已簽收</t>
        </is>
      </c>
      <c r="D1134" s="3" t="inlineStr">
        <is>
          <t>2026-07-06 15:19:13</t>
        </is>
      </c>
      <c r="E1134" s="3" t="inlineStr">
        <is>
          <t>2026-07-07 10:23</t>
        </is>
      </c>
      <c r="F1134" s="3" t="n">
        <v>14.5</v>
      </c>
      <c r="G1134" s="3" t="n">
        <v>1</v>
      </c>
      <c r="H1134" s="3" t="n"/>
      <c r="I1134" s="3" t="inlineStr"/>
      <c r="J1134" s="3" t="inlineStr">
        <is>
          <t>Keeta</t>
        </is>
      </c>
      <c r="K1134" s="3" t="inlineStr">
        <is>
          <t>****9568</t>
        </is>
      </c>
      <c r="L1134" s="3" t="n"/>
      <c r="M1134" s="3" t="inlineStr">
        <is>
          <t>***** 物流中心5樓</t>
        </is>
      </c>
      <c r="N1134" s="3" t="inlineStr">
        <is>
          <t>北区</t>
        </is>
      </c>
      <c r="O1134" s="3" t="inlineStr">
        <is>
          <t>香港</t>
        </is>
      </c>
      <c r="P1134" s="3" t="inlineStr">
        <is>
          <t>香港特别行政区</t>
        </is>
      </c>
      <c r="Q1134" s="3" t="n">
        <v>721517393</v>
      </c>
      <c r="R1134" s="3" t="inlineStr">
        <is>
          <t>牛元帥粉麵 Cow Marshal Restaurant</t>
        </is>
      </c>
      <c r="S1134" s="3" t="inlineStr">
        <is>
          <t>****0411876</t>
        </is>
      </c>
      <c r="T1134" s="3" t="inlineStr">
        <is>
          <t>****0411876</t>
        </is>
      </c>
      <c r="U1134" s="3" t="inlineStr">
        <is>
          <t>***** rence）</t>
        </is>
      </c>
      <c r="V1134" s="3" t="inlineStr">
        <is>
          <t>香港</t>
        </is>
      </c>
      <c r="W1134" s="3" t="inlineStr">
        <is>
          <t>纸袋【通版】/ 箱出</t>
        </is>
      </c>
      <c r="X1134" s="3" t="inlineStr">
        <is>
          <t>ESS-SFTS-OTMS</t>
        </is>
      </c>
      <c r="Y1134" s="3" t="n"/>
      <c r="Z1134" s="3" t="inlineStr"/>
      <c r="AA1134" s="3" t="inlineStr">
        <is>
          <t>寄付月結</t>
        </is>
      </c>
      <c r="AB1134">
        <f>IFERROR(VLOOKUP(Q1134&amp;"",對照表!$A:$B,1,FALSE),"")</f>
        <v/>
      </c>
      <c r="AC1134">
        <f>IFERROR(VLOOKUP(Q1134&amp;"",對照表!$A:$B,2,FALSE),"")</f>
        <v/>
      </c>
    </row>
    <row r="1135">
      <c r="A1135" s="3" t="inlineStr">
        <is>
          <t>SF5113427653491</t>
        </is>
      </c>
      <c r="B1135" s="3" t="n">
        <v>58435485663320</v>
      </c>
      <c r="C1135" s="3" t="inlineStr">
        <is>
          <t>已簽收</t>
        </is>
      </c>
      <c r="D1135" s="3" t="inlineStr">
        <is>
          <t>2026-07-06 16:15:48</t>
        </is>
      </c>
      <c r="E1135" s="3" t="inlineStr">
        <is>
          <t>2026-07-07 12:37</t>
        </is>
      </c>
      <c r="F1135" s="3" t="n">
        <v>4.45</v>
      </c>
      <c r="G1135" s="3" t="n">
        <v>1</v>
      </c>
      <c r="H1135" s="3" t="n"/>
      <c r="I1135" s="3" t="inlineStr"/>
      <c r="J1135" s="3" t="inlineStr">
        <is>
          <t>Keeta</t>
        </is>
      </c>
      <c r="K1135" s="3" t="inlineStr">
        <is>
          <t>****9568</t>
        </is>
      </c>
      <c r="L1135" s="3" t="n"/>
      <c r="M1135" s="3" t="inlineStr">
        <is>
          <t>***** 物流中心5樓</t>
        </is>
      </c>
      <c r="N1135" s="3" t="inlineStr">
        <is>
          <t>北区</t>
        </is>
      </c>
      <c r="O1135" s="3" t="inlineStr">
        <is>
          <t>香港</t>
        </is>
      </c>
      <c r="P1135" s="3" t="inlineStr">
        <is>
          <t>香港特别行政区</t>
        </is>
      </c>
      <c r="Q1135" s="3" t="n">
        <v>721537300</v>
      </c>
      <c r="R1135" s="3" t="inlineStr">
        <is>
          <t>松加DessertsCafe抹茶甜品屋</t>
        </is>
      </c>
      <c r="S1135" s="3" t="inlineStr">
        <is>
          <t>****90910706</t>
        </is>
      </c>
      <c r="T1135" s="3" t="inlineStr">
        <is>
          <t>****90910706</t>
        </is>
      </c>
      <c r="U1135" s="3" t="inlineStr">
        <is>
          <t>***** 地下15號舖</t>
        </is>
      </c>
      <c r="V1135" s="3" t="inlineStr">
        <is>
          <t>香港</t>
        </is>
      </c>
      <c r="W1135" s="3" t="inlineStr">
        <is>
          <t>机纸/小票纸 / 包出</t>
        </is>
      </c>
      <c r="X1135" s="3" t="inlineStr">
        <is>
          <t>ESS-SFTS-OTMS</t>
        </is>
      </c>
      <c r="Y1135" s="3" t="n"/>
      <c r="Z1135" s="3" t="inlineStr"/>
      <c r="AA1135" s="3" t="inlineStr">
        <is>
          <t>寄付月結</t>
        </is>
      </c>
      <c r="AB1135">
        <f>IFERROR(VLOOKUP(Q1135&amp;"",對照表!$A:$B,1,FALSE),"")</f>
        <v/>
      </c>
      <c r="AC1135">
        <f>IFERROR(VLOOKUP(Q1135&amp;"",對照表!$A:$B,2,FALSE),"")</f>
        <v/>
      </c>
    </row>
    <row r="1136">
      <c r="A1136" s="3" t="inlineStr">
        <is>
          <t>SF5113427653552</t>
        </is>
      </c>
      <c r="B1136" s="3" t="n">
        <v>58435485663332</v>
      </c>
      <c r="C1136" s="3" t="inlineStr">
        <is>
          <t>已簽收</t>
        </is>
      </c>
      <c r="D1136" s="3" t="inlineStr">
        <is>
          <t>2026-07-06 16:15:27</t>
        </is>
      </c>
      <c r="E1136" s="3" t="inlineStr">
        <is>
          <t>2026-07-07 13:01</t>
        </is>
      </c>
      <c r="F1136" s="3" t="n">
        <v>4.45</v>
      </c>
      <c r="G1136" s="3" t="n">
        <v>1</v>
      </c>
      <c r="H1136" s="3" t="n"/>
      <c r="I1136" s="3" t="inlineStr"/>
      <c r="J1136" s="3" t="inlineStr">
        <is>
          <t>Keeta</t>
        </is>
      </c>
      <c r="K1136" s="3" t="inlineStr">
        <is>
          <t>****9568</t>
        </is>
      </c>
      <c r="L1136" s="3" t="n"/>
      <c r="M1136" s="3" t="inlineStr">
        <is>
          <t>***** 物流中心5樓</t>
        </is>
      </c>
      <c r="N1136" s="3" t="inlineStr">
        <is>
          <t>北区</t>
        </is>
      </c>
      <c r="O1136" s="3" t="inlineStr">
        <is>
          <t>香港</t>
        </is>
      </c>
      <c r="P1136" s="3" t="inlineStr">
        <is>
          <t>香港特别行政区</t>
        </is>
      </c>
      <c r="Q1136" s="3" t="n">
        <v>583140</v>
      </c>
      <c r="R1136" s="3" t="inlineStr">
        <is>
          <t>敏華冰廳(又一城)</t>
        </is>
      </c>
      <c r="S1136" s="3" t="inlineStr">
        <is>
          <t>****22340818</t>
        </is>
      </c>
      <c r="T1136" s="3" t="inlineStr">
        <is>
          <t>****22340818</t>
        </is>
      </c>
      <c r="U1136" s="3" t="inlineStr">
        <is>
          <t>***** 2-28號舖</t>
        </is>
      </c>
      <c r="V1136" s="3" t="inlineStr">
        <is>
          <t>香港</t>
        </is>
      </c>
      <c r="W1136" s="3" t="inlineStr">
        <is>
          <t>机纸/小票纸 / 包出</t>
        </is>
      </c>
      <c r="X1136" s="3" t="inlineStr">
        <is>
          <t>ESS-SFTS-OTMS</t>
        </is>
      </c>
      <c r="Y1136" s="3" t="n"/>
      <c r="Z1136" s="3" t="inlineStr"/>
      <c r="AA1136" s="3" t="inlineStr">
        <is>
          <t>寄付月結</t>
        </is>
      </c>
      <c r="AB1136">
        <f>IFERROR(VLOOKUP(Q1136&amp;"",對照表!$A:$B,1,FALSE),"")</f>
        <v/>
      </c>
      <c r="AC1136">
        <f>IFERROR(VLOOKUP(Q1136&amp;"",對照表!$A:$B,2,FALSE),"")</f>
        <v/>
      </c>
    </row>
    <row r="1137">
      <c r="A1137" s="3" t="inlineStr">
        <is>
          <t>SF5113427653516</t>
        </is>
      </c>
      <c r="B1137" s="3" t="n">
        <v>58435485663324</v>
      </c>
      <c r="C1137" s="3" t="inlineStr">
        <is>
          <t>已簽收</t>
        </is>
      </c>
      <c r="D1137" s="3" t="inlineStr">
        <is>
          <t>2026-07-06 17:20:04</t>
        </is>
      </c>
      <c r="E1137" s="3" t="inlineStr">
        <is>
          <t>2026-07-07 11:26</t>
        </is>
      </c>
      <c r="F1137" s="3" t="n">
        <v>1</v>
      </c>
      <c r="G1137" s="3" t="n">
        <v>1</v>
      </c>
      <c r="H1137" s="3" t="n"/>
      <c r="I1137" s="3" t="inlineStr"/>
      <c r="J1137" s="3" t="inlineStr">
        <is>
          <t>Keeta</t>
        </is>
      </c>
      <c r="K1137" s="3" t="inlineStr">
        <is>
          <t>****9568</t>
        </is>
      </c>
      <c r="L1137" s="3" t="n"/>
      <c r="M1137" s="3" t="inlineStr">
        <is>
          <t>***** 物流中心5樓</t>
        </is>
      </c>
      <c r="N1137" s="3" t="inlineStr">
        <is>
          <t>北区</t>
        </is>
      </c>
      <c r="O1137" s="3" t="inlineStr">
        <is>
          <t>香港</t>
        </is>
      </c>
      <c r="P1137" s="3" t="inlineStr">
        <is>
          <t>香港特别行政区</t>
        </is>
      </c>
      <c r="Q1137" s="3" t="n">
        <v>448315</v>
      </c>
      <c r="R1137" s="3" t="inlineStr">
        <is>
          <t>財記辣蟹私房菜（海鮮鍋氣小炒）</t>
        </is>
      </c>
      <c r="S1137" s="3" t="inlineStr">
        <is>
          <t>****23949928</t>
        </is>
      </c>
      <c r="T1137" s="3" t="inlineStr">
        <is>
          <t>****23949928</t>
        </is>
      </c>
      <c r="U1137" s="3" t="inlineStr">
        <is>
          <t>***** 大廈2-3樓</t>
        </is>
      </c>
      <c r="V1137" s="3" t="inlineStr">
        <is>
          <t>香港</t>
        </is>
      </c>
      <c r="W1137" s="3" t="inlineStr">
        <is>
          <t>翻新POS机【真唯】/ 件出</t>
        </is>
      </c>
      <c r="X1137" s="3" t="inlineStr">
        <is>
          <t>ESS-SFTS-OTMS</t>
        </is>
      </c>
      <c r="Y1137" s="3" t="n"/>
      <c r="Z1137" s="3" t="inlineStr"/>
      <c r="AA1137" s="3" t="inlineStr">
        <is>
          <t>寄付月結</t>
        </is>
      </c>
      <c r="AB1137">
        <f>IFERROR(VLOOKUP(Q1137&amp;"",對照表!$A:$B,1,FALSE),"")</f>
        <v/>
      </c>
      <c r="AC1137">
        <f>IFERROR(VLOOKUP(Q1137&amp;"",對照表!$A:$B,2,FALSE),"")</f>
        <v/>
      </c>
    </row>
    <row r="1138">
      <c r="A1138" s="3" t="inlineStr">
        <is>
          <t>SF5113427653207</t>
        </is>
      </c>
      <c r="B1138" s="3" t="n">
        <v>58435485663252</v>
      </c>
      <c r="C1138" s="3" t="inlineStr">
        <is>
          <t>已簽收</t>
        </is>
      </c>
      <c r="D1138" s="3" t="inlineStr">
        <is>
          <t>2026-07-06 17:18:58</t>
        </is>
      </c>
      <c r="E1138" s="3" t="inlineStr">
        <is>
          <t>2026-07-07 16:33</t>
        </is>
      </c>
      <c r="F1138" s="3" t="n">
        <v>1</v>
      </c>
      <c r="G1138" s="3" t="n">
        <v>1</v>
      </c>
      <c r="H1138" s="3" t="n"/>
      <c r="I1138" s="3" t="inlineStr"/>
      <c r="J1138" s="3" t="inlineStr">
        <is>
          <t>Keeta</t>
        </is>
      </c>
      <c r="K1138" s="3" t="inlineStr">
        <is>
          <t>****9568</t>
        </is>
      </c>
      <c r="L1138" s="3" t="n"/>
      <c r="M1138" s="3" t="inlineStr">
        <is>
          <t>***** 物流中心5樓</t>
        </is>
      </c>
      <c r="N1138" s="3" t="inlineStr">
        <is>
          <t>北区</t>
        </is>
      </c>
      <c r="O1138" s="3" t="inlineStr">
        <is>
          <t>香港</t>
        </is>
      </c>
      <c r="P1138" s="3" t="inlineStr">
        <is>
          <t>香港特别行政区</t>
        </is>
      </c>
      <c r="Q1138" s="3" t="n">
        <v>451869</v>
      </c>
      <c r="R1138" s="3" t="inlineStr">
        <is>
          <t>撈得好懷舊車仔麵</t>
        </is>
      </c>
      <c r="S1138" s="3" t="inlineStr">
        <is>
          <t>****60178924</t>
        </is>
      </c>
      <c r="T1138" s="3" t="inlineStr">
        <is>
          <t>****60178924</t>
        </is>
      </c>
      <c r="U1138" s="3" t="inlineStr">
        <is>
          <t>***** 村98號地下</t>
        </is>
      </c>
      <c r="V1138" s="3" t="inlineStr">
        <is>
          <t>香港</t>
        </is>
      </c>
      <c r="W1138" s="3" t="inlineStr">
        <is>
          <t>翻新POS机【真唯】/ 件出</t>
        </is>
      </c>
      <c r="X1138" s="3" t="inlineStr">
        <is>
          <t>ESS-SFTS-OTMS</t>
        </is>
      </c>
      <c r="Y1138" s="3" t="n"/>
      <c r="Z1138" s="3" t="inlineStr"/>
      <c r="AA1138" s="3" t="inlineStr">
        <is>
          <t>寄付月結</t>
        </is>
      </c>
      <c r="AB1138">
        <f>IFERROR(VLOOKUP(Q1138&amp;"",對照表!$A:$B,1,FALSE),"")</f>
        <v/>
      </c>
      <c r="AC1138">
        <f>IFERROR(VLOOKUP(Q1138&amp;"",對照表!$A:$B,2,FALSE),"")</f>
        <v/>
      </c>
    </row>
    <row r="1139">
      <c r="A1139" s="3" t="inlineStr">
        <is>
          <t>SF5113427653368</t>
        </is>
      </c>
      <c r="B1139" s="3" t="n">
        <v>58435485663291</v>
      </c>
      <c r="C1139" s="3" t="inlineStr">
        <is>
          <t>已簽收</t>
        </is>
      </c>
      <c r="D1139" s="3" t="inlineStr">
        <is>
          <t>2026-07-06 16:07:06</t>
        </is>
      </c>
      <c r="E1139" s="3" t="inlineStr">
        <is>
          <t>2026-07-07 09:56</t>
        </is>
      </c>
      <c r="F1139" s="3" t="n">
        <v>4.45</v>
      </c>
      <c r="G1139" s="3" t="n">
        <v>1</v>
      </c>
      <c r="H1139" s="3" t="n"/>
      <c r="I1139" s="3" t="inlineStr"/>
      <c r="J1139" s="3" t="inlineStr">
        <is>
          <t>Keeta</t>
        </is>
      </c>
      <c r="K1139" s="3" t="inlineStr">
        <is>
          <t>****9568</t>
        </is>
      </c>
      <c r="L1139" s="3" t="n"/>
      <c r="M1139" s="3" t="inlineStr">
        <is>
          <t>***** 物流中心5樓</t>
        </is>
      </c>
      <c r="N1139" s="3" t="inlineStr">
        <is>
          <t>北区</t>
        </is>
      </c>
      <c r="O1139" s="3" t="inlineStr">
        <is>
          <t>香港</t>
        </is>
      </c>
      <c r="P1139" s="3" t="inlineStr">
        <is>
          <t>香港特别行政区</t>
        </is>
      </c>
      <c r="Q1139" s="3" t="n">
        <v>721431301</v>
      </c>
      <c r="R1139" s="3" t="inlineStr">
        <is>
          <t>信芳廚（抵食茶餐廳）</t>
        </is>
      </c>
      <c r="S1139" s="3" t="inlineStr">
        <is>
          <t>****28809988</t>
        </is>
      </c>
      <c r="T1139" s="3" t="inlineStr">
        <is>
          <t>****28809988</t>
        </is>
      </c>
      <c r="U1139" s="3" t="inlineStr">
        <is>
          <t>***** 號濠勝閣地下</t>
        </is>
      </c>
      <c r="V1139" s="3" t="inlineStr">
        <is>
          <t>香港</t>
        </is>
      </c>
      <c r="W1139" s="3" t="inlineStr">
        <is>
          <t>机纸/小票纸 / 包出</t>
        </is>
      </c>
      <c r="X1139" s="3" t="inlineStr">
        <is>
          <t>ESS-SFTS-OTMS</t>
        </is>
      </c>
      <c r="Y1139" s="3" t="n"/>
      <c r="Z1139" s="3" t="inlineStr"/>
      <c r="AA1139" s="3" t="inlineStr">
        <is>
          <t>寄付月結</t>
        </is>
      </c>
      <c r="AB1139">
        <f>IFERROR(VLOOKUP(Q1139&amp;"",對照表!$A:$B,1,FALSE),"")</f>
        <v/>
      </c>
      <c r="AC1139">
        <f>IFERROR(VLOOKUP(Q1139&amp;"",對照表!$A:$B,2,FALSE),"")</f>
        <v/>
      </c>
    </row>
    <row r="1140">
      <c r="A1140" s="3" t="inlineStr">
        <is>
          <t>SF5113427653270</t>
        </is>
      </c>
      <c r="B1140" s="3" t="n">
        <v>58435485663273</v>
      </c>
      <c r="C1140" s="3" t="inlineStr">
        <is>
          <t>已簽收</t>
        </is>
      </c>
      <c r="D1140" s="3" t="inlineStr">
        <is>
          <t>2026-07-06 17:08:27</t>
        </is>
      </c>
      <c r="E1140" s="3" t="inlineStr">
        <is>
          <t>2026-07-07 11:50</t>
        </is>
      </c>
      <c r="F1140" s="3" t="n">
        <v>1.5</v>
      </c>
      <c r="G1140" s="3" t="n">
        <v>1</v>
      </c>
      <c r="H1140" s="3" t="n"/>
      <c r="I1140" s="3" t="inlineStr"/>
      <c r="J1140" s="3" t="inlineStr">
        <is>
          <t>Keeta</t>
        </is>
      </c>
      <c r="K1140" s="3" t="inlineStr">
        <is>
          <t>****9568</t>
        </is>
      </c>
      <c r="L1140" s="3" t="n"/>
      <c r="M1140" s="3" t="inlineStr">
        <is>
          <t>***** 物流中心5樓</t>
        </is>
      </c>
      <c r="N1140" s="3" t="inlineStr">
        <is>
          <t>北区</t>
        </is>
      </c>
      <c r="O1140" s="3" t="inlineStr">
        <is>
          <t>香港</t>
        </is>
      </c>
      <c r="P1140" s="3" t="inlineStr">
        <is>
          <t>香港特别行政区</t>
        </is>
      </c>
      <c r="Q1140" s="3" t="n">
        <v>721515378</v>
      </c>
      <c r="R1140" s="3" t="inlineStr">
        <is>
          <t>紅茶（大圍）</t>
        </is>
      </c>
      <c r="S1140" s="3" t="inlineStr">
        <is>
          <t>****68700228</t>
        </is>
      </c>
      <c r="T1140" s="3" t="inlineStr">
        <is>
          <t>****68700228</t>
        </is>
      </c>
      <c r="U1140" s="3" t="inlineStr">
        <is>
          <t>***** 道51號地舖</t>
        </is>
      </c>
      <c r="V1140" s="3" t="inlineStr">
        <is>
          <t>香港</t>
        </is>
      </c>
      <c r="W1140" s="3" t="inlineStr">
        <is>
          <t>机纸/小票纸 / 包出</t>
        </is>
      </c>
      <c r="X1140" s="3" t="inlineStr">
        <is>
          <t>ESS-SFTS-OTMS</t>
        </is>
      </c>
      <c r="Y1140" s="3" t="n"/>
      <c r="Z1140" s="3" t="inlineStr"/>
      <c r="AA1140" s="3" t="inlineStr">
        <is>
          <t>寄付月結</t>
        </is>
      </c>
      <c r="AB1140">
        <f>IFERROR(VLOOKUP(Q1140&amp;"",對照表!$A:$B,1,FALSE),"")</f>
        <v/>
      </c>
      <c r="AC1140">
        <f>IFERROR(VLOOKUP(Q1140&amp;"",對照表!$A:$B,2,FALSE),"")</f>
        <v/>
      </c>
    </row>
    <row r="1141">
      <c r="A1141" s="3" t="inlineStr">
        <is>
          <t>SF5113427653182</t>
        </is>
      </c>
      <c r="B1141" s="3" t="n">
        <v>58435485663251</v>
      </c>
      <c r="C1141" s="3" t="inlineStr">
        <is>
          <t>已簽收</t>
        </is>
      </c>
      <c r="D1141" s="3" t="inlineStr">
        <is>
          <t>2026-07-06 16:15:28</t>
        </is>
      </c>
      <c r="E1141" s="3" t="inlineStr">
        <is>
          <t>2026-07-07 10:41</t>
        </is>
      </c>
      <c r="F1141" s="3" t="n">
        <v>4.45</v>
      </c>
      <c r="G1141" s="3" t="n">
        <v>1</v>
      </c>
      <c r="H1141" s="3" t="n"/>
      <c r="I1141" s="3" t="inlineStr"/>
      <c r="J1141" s="3" t="inlineStr">
        <is>
          <t>Keeta</t>
        </is>
      </c>
      <c r="K1141" s="3" t="inlineStr">
        <is>
          <t>****9568</t>
        </is>
      </c>
      <c r="L1141" s="3" t="n"/>
      <c r="M1141" s="3" t="inlineStr">
        <is>
          <t>***** 物流中心5樓</t>
        </is>
      </c>
      <c r="N1141" s="3" t="inlineStr">
        <is>
          <t>北区</t>
        </is>
      </c>
      <c r="O1141" s="3" t="inlineStr">
        <is>
          <t>香港</t>
        </is>
      </c>
      <c r="P1141" s="3" t="inlineStr">
        <is>
          <t>香港特别行政区</t>
        </is>
      </c>
      <c r="Q1141" s="3" t="n">
        <v>721432332</v>
      </c>
      <c r="R1141" s="3" t="inlineStr">
        <is>
          <t>四季常餐CafeSeasons</t>
        </is>
      </c>
      <c r="S1141" s="3" t="inlineStr">
        <is>
          <t>****26502088</t>
        </is>
      </c>
      <c r="T1141" s="3" t="inlineStr">
        <is>
          <t>****26502088</t>
        </is>
      </c>
      <c r="U1141" s="3" t="inlineStr">
        <is>
          <t>***** 中88號地舖</t>
        </is>
      </c>
      <c r="V1141" s="3" t="inlineStr">
        <is>
          <t>香港</t>
        </is>
      </c>
      <c r="W1141" s="3" t="inlineStr">
        <is>
          <t>机纸/小票纸 / 包出</t>
        </is>
      </c>
      <c r="X1141" s="3" t="inlineStr">
        <is>
          <t>ESS-SFTS-OTMS</t>
        </is>
      </c>
      <c r="Y1141" s="3" t="n"/>
      <c r="Z1141" s="3" t="inlineStr"/>
      <c r="AA1141" s="3" t="inlineStr">
        <is>
          <t>寄付月結</t>
        </is>
      </c>
      <c r="AB1141">
        <f>IFERROR(VLOOKUP(Q1141&amp;"",對照表!$A:$B,1,FALSE),"")</f>
        <v/>
      </c>
      <c r="AC1141">
        <f>IFERROR(VLOOKUP(Q1141&amp;"",對照表!$A:$B,2,FALSE),"")</f>
        <v/>
      </c>
    </row>
    <row r="1142">
      <c r="A1142" s="3" t="inlineStr">
        <is>
          <t>SF5113427653598</t>
        </is>
      </c>
      <c r="B1142" s="3" t="n">
        <v>58435485663340</v>
      </c>
      <c r="C1142" s="3" t="inlineStr">
        <is>
          <t>已簽收</t>
        </is>
      </c>
      <c r="D1142" s="3" t="inlineStr">
        <is>
          <t>2026-07-06 17:50:36</t>
        </is>
      </c>
      <c r="E1142" s="3" t="inlineStr">
        <is>
          <t>2026-07-07 13:16</t>
        </is>
      </c>
      <c r="F1142" s="3" t="n">
        <v>19.8</v>
      </c>
      <c r="G1142" s="3" t="n">
        <v>2</v>
      </c>
      <c r="H1142" s="3" t="n"/>
      <c r="I1142" s="3" t="inlineStr"/>
      <c r="J1142" s="3" t="inlineStr">
        <is>
          <t>Keeta</t>
        </is>
      </c>
      <c r="K1142" s="3" t="inlineStr">
        <is>
          <t>****9568</t>
        </is>
      </c>
      <c r="L1142" s="3" t="n"/>
      <c r="M1142" s="3" t="inlineStr">
        <is>
          <t>***** 物流中心5樓</t>
        </is>
      </c>
      <c r="N1142" s="3" t="inlineStr">
        <is>
          <t>北区</t>
        </is>
      </c>
      <c r="O1142" s="3" t="inlineStr">
        <is>
          <t>香港</t>
        </is>
      </c>
      <c r="P1142" s="3" t="inlineStr">
        <is>
          <t>香港特别行政区</t>
        </is>
      </c>
      <c r="Q1142" s="3" t="n">
        <v>600655</v>
      </c>
      <c r="R1142" s="3" t="inlineStr">
        <is>
          <t>元氣壽司(屯門市廣場)GenkiSushi</t>
        </is>
      </c>
      <c r="S1142" s="3" t="inlineStr">
        <is>
          <t>****24597388</t>
        </is>
      </c>
      <c r="T1142" s="3" t="inlineStr">
        <is>
          <t>****24597388</t>
        </is>
      </c>
      <c r="U1142" s="3" t="inlineStr">
        <is>
          <t>*****  3206舖</t>
        </is>
      </c>
      <c r="V1142" s="3" t="inlineStr">
        <is>
          <t>香港</t>
        </is>
      </c>
      <c r="W1142" s="3" t="inlineStr">
        <is>
          <t>无纺布【规格三中号】/ 箱出</t>
        </is>
      </c>
      <c r="X1142" s="3" t="inlineStr">
        <is>
          <t>ESS-SFTS-OTMS</t>
        </is>
      </c>
      <c r="Y1142" s="3" t="n"/>
      <c r="Z1142" s="3" t="inlineStr"/>
      <c r="AA1142" s="3" t="inlineStr">
        <is>
          <t>寄付月結</t>
        </is>
      </c>
      <c r="AB1142">
        <f>IFERROR(VLOOKUP(Q1142&amp;"",對照表!$A:$B,1,FALSE),"")</f>
        <v/>
      </c>
      <c r="AC1142">
        <f>IFERROR(VLOOKUP(Q1142&amp;"",對照表!$A:$B,2,FALSE),"")</f>
        <v/>
      </c>
    </row>
    <row r="1143">
      <c r="A1143" s="3" t="inlineStr">
        <is>
          <t>SF5113427653058</t>
        </is>
      </c>
      <c r="B1143" s="3" t="n">
        <v>58435485630826</v>
      </c>
      <c r="C1143" s="3" t="inlineStr">
        <is>
          <t>已簽收</t>
        </is>
      </c>
      <c r="D1143" s="3" t="inlineStr">
        <is>
          <t>2026-07-06 16:15:35</t>
        </is>
      </c>
      <c r="E1143" s="3" t="inlineStr">
        <is>
          <t>2026-07-07 10:35</t>
        </is>
      </c>
      <c r="F1143" s="3" t="n">
        <v>4.45</v>
      </c>
      <c r="G1143" s="3" t="n">
        <v>1</v>
      </c>
      <c r="H1143" s="3" t="n"/>
      <c r="I1143" s="3" t="inlineStr"/>
      <c r="J1143" s="3" t="inlineStr">
        <is>
          <t>Keeta</t>
        </is>
      </c>
      <c r="K1143" s="3" t="inlineStr">
        <is>
          <t>****9568</t>
        </is>
      </c>
      <c r="L1143" s="3" t="n"/>
      <c r="M1143" s="3" t="inlineStr">
        <is>
          <t>***** 物流中心5樓</t>
        </is>
      </c>
      <c r="N1143" s="3" t="inlineStr">
        <is>
          <t>北区</t>
        </is>
      </c>
      <c r="O1143" s="3" t="inlineStr">
        <is>
          <t>香港</t>
        </is>
      </c>
      <c r="P1143" s="3" t="inlineStr">
        <is>
          <t>香港特别行政区</t>
        </is>
      </c>
      <c r="Q1143" s="3" t="n">
        <v>586378</v>
      </c>
      <c r="R1143" s="3" t="inlineStr">
        <is>
          <t>超人燒鵝（大圍）</t>
        </is>
      </c>
      <c r="S1143" s="3" t="inlineStr">
        <is>
          <t>****54443413</t>
        </is>
      </c>
      <c r="T1143" s="3" t="inlineStr">
        <is>
          <t>****54443413</t>
        </is>
      </c>
      <c r="U1143" s="3" t="inlineStr">
        <is>
          <t>***** TAIWAI</t>
        </is>
      </c>
      <c r="V1143" s="3" t="inlineStr">
        <is>
          <t>香港</t>
        </is>
      </c>
      <c r="W1143" s="3" t="inlineStr">
        <is>
          <t>机纸/小票纸 / 包出</t>
        </is>
      </c>
      <c r="X1143" s="3" t="inlineStr">
        <is>
          <t>ESS-SFTS-OTMS</t>
        </is>
      </c>
      <c r="Y1143" s="3" t="n"/>
      <c r="Z1143" s="3" t="inlineStr"/>
      <c r="AA1143" s="3" t="inlineStr">
        <is>
          <t>寄付月結</t>
        </is>
      </c>
      <c r="AB1143">
        <f>IFERROR(VLOOKUP(Q1143&amp;"",對照表!$A:$B,1,FALSE),"")</f>
        <v/>
      </c>
      <c r="AC1143">
        <f>IFERROR(VLOOKUP(Q1143&amp;"",對照表!$A:$B,2,FALSE),"")</f>
        <v/>
      </c>
    </row>
    <row r="1144">
      <c r="A1144" s="3" t="inlineStr">
        <is>
          <t>SF5113427653773</t>
        </is>
      </c>
      <c r="B1144" s="3" t="n">
        <v>58435485663439</v>
      </c>
      <c r="C1144" s="3" t="inlineStr">
        <is>
          <t>已簽收</t>
        </is>
      </c>
      <c r="D1144" s="3" t="inlineStr">
        <is>
          <t>2026-07-06 17:21:38</t>
        </is>
      </c>
      <c r="E1144" s="3" t="inlineStr">
        <is>
          <t>2026-07-07 12:25</t>
        </is>
      </c>
      <c r="F1144" s="3" t="n">
        <v>1</v>
      </c>
      <c r="G1144" s="3" t="n">
        <v>1</v>
      </c>
      <c r="H1144" s="3" t="n"/>
      <c r="I1144" s="3" t="inlineStr"/>
      <c r="J1144" s="3" t="inlineStr">
        <is>
          <t>Keeta</t>
        </is>
      </c>
      <c r="K1144" s="3" t="inlineStr">
        <is>
          <t>****9568</t>
        </is>
      </c>
      <c r="L1144" s="3" t="n"/>
      <c r="M1144" s="3" t="inlineStr">
        <is>
          <t>***** 物流中心5樓</t>
        </is>
      </c>
      <c r="N1144" s="3" t="inlineStr">
        <is>
          <t>北区</t>
        </is>
      </c>
      <c r="O1144" s="3" t="inlineStr">
        <is>
          <t>香港</t>
        </is>
      </c>
      <c r="P1144" s="3" t="inlineStr">
        <is>
          <t>香港特别行政区</t>
        </is>
      </c>
      <c r="Q1144" s="3" t="n">
        <v>721431372</v>
      </c>
      <c r="R1144" s="3" t="inlineStr">
        <is>
          <t>素食工房（淘大店）</t>
        </is>
      </c>
      <c r="S1144" s="3" t="inlineStr">
        <is>
          <t>****63545263</t>
        </is>
      </c>
      <c r="T1144" s="3" t="inlineStr">
        <is>
          <t>****63545263</t>
        </is>
      </c>
      <c r="U1144" s="3" t="inlineStr">
        <is>
          <t>***** ay, 香港</t>
        </is>
      </c>
      <c r="V1144" s="3" t="inlineStr">
        <is>
          <t>香港</t>
        </is>
      </c>
      <c r="W1144" s="3" t="inlineStr">
        <is>
          <t>翻新POS机【真唯】/ 件出</t>
        </is>
      </c>
      <c r="X1144" s="3" t="inlineStr">
        <is>
          <t>ESS-SFTS-OTMS</t>
        </is>
      </c>
      <c r="Y1144" s="3" t="n"/>
      <c r="Z1144" s="3" t="inlineStr"/>
      <c r="AA1144" s="3" t="inlineStr">
        <is>
          <t>寄付月結</t>
        </is>
      </c>
      <c r="AB1144">
        <f>IFERROR(VLOOKUP(Q1144&amp;"",對照表!$A:$B,1,FALSE),"")</f>
        <v/>
      </c>
      <c r="AC1144">
        <f>IFERROR(VLOOKUP(Q1144&amp;"",對照表!$A:$B,2,FALSE),"")</f>
        <v/>
      </c>
    </row>
    <row r="1145">
      <c r="A1145" s="3" t="inlineStr">
        <is>
          <t>SF5113427653395</t>
        </is>
      </c>
      <c r="B1145" s="3" t="n">
        <v>58435485663293</v>
      </c>
      <c r="C1145" s="3" t="inlineStr">
        <is>
          <t>已簽收</t>
        </is>
      </c>
      <c r="D1145" s="3" t="inlineStr">
        <is>
          <t>2026-07-06 16:09:53</t>
        </is>
      </c>
      <c r="E1145" s="3" t="inlineStr">
        <is>
          <t>2026-07-07 09:39</t>
        </is>
      </c>
      <c r="F1145" s="3" t="n">
        <v>58</v>
      </c>
      <c r="G1145" s="3" t="n">
        <v>4</v>
      </c>
      <c r="H1145" s="3" t="n"/>
      <c r="I1145" s="3" t="inlineStr"/>
      <c r="J1145" s="3" t="inlineStr">
        <is>
          <t>Keeta</t>
        </is>
      </c>
      <c r="K1145" s="3" t="inlineStr">
        <is>
          <t>****9568</t>
        </is>
      </c>
      <c r="L1145" s="3" t="n"/>
      <c r="M1145" s="3" t="inlineStr">
        <is>
          <t>***** 物流中心5樓</t>
        </is>
      </c>
      <c r="N1145" s="3" t="inlineStr">
        <is>
          <t>北区</t>
        </is>
      </c>
      <c r="O1145" s="3" t="inlineStr">
        <is>
          <t>香港</t>
        </is>
      </c>
      <c r="P1145" s="3" t="inlineStr">
        <is>
          <t>香港特别行政区</t>
        </is>
      </c>
      <c r="Q1145" s="3" t="n">
        <v>475182</v>
      </c>
      <c r="R1145" s="3" t="inlineStr">
        <is>
          <t>麥當勞(余道生)McDonalds</t>
        </is>
      </c>
      <c r="S1145" s="3" t="inlineStr">
        <is>
          <t>****25263770</t>
        </is>
      </c>
      <c r="T1145" s="3" t="inlineStr">
        <is>
          <t>****25263770</t>
        </is>
      </c>
      <c r="U1145" s="3" t="inlineStr">
        <is>
          <t>***** 道生大廈地庫</t>
        </is>
      </c>
      <c r="V1145" s="3" t="inlineStr">
        <is>
          <t>香港</t>
        </is>
      </c>
      <c r="W1145" s="3" t="inlineStr">
        <is>
          <t>纸袋【通版】/ 箱出</t>
        </is>
      </c>
      <c r="X1145" s="3" t="inlineStr">
        <is>
          <t>ESS-SFTS-OTMS</t>
        </is>
      </c>
      <c r="Y1145" s="3" t="n"/>
      <c r="Z1145" s="3" t="inlineStr"/>
      <c r="AA1145" s="3" t="inlineStr">
        <is>
          <t>寄付月結</t>
        </is>
      </c>
      <c r="AB1145">
        <f>IFERROR(VLOOKUP(Q1145&amp;"",對照表!$A:$B,1,FALSE),"")</f>
        <v/>
      </c>
      <c r="AC1145">
        <f>IFERROR(VLOOKUP(Q1145&amp;"",對照表!$A:$B,2,FALSE),"")</f>
        <v/>
      </c>
    </row>
    <row r="1146">
      <c r="A1146" s="3" t="inlineStr">
        <is>
          <t>SF5113427653243</t>
        </is>
      </c>
      <c r="B1146" s="3" t="n">
        <v>58435485663267</v>
      </c>
      <c r="C1146" s="3" t="inlineStr">
        <is>
          <t>已簽收</t>
        </is>
      </c>
      <c r="D1146" s="3" t="inlineStr">
        <is>
          <t>2026-07-06 15:28:22</t>
        </is>
      </c>
      <c r="E1146" s="3" t="inlineStr">
        <is>
          <t>2026-07-07 10:39</t>
        </is>
      </c>
      <c r="F1146" s="3" t="n">
        <v>145</v>
      </c>
      <c r="G1146" s="3" t="n">
        <v>10</v>
      </c>
      <c r="H1146" s="3" t="n"/>
      <c r="I1146" s="3" t="inlineStr"/>
      <c r="J1146" s="3" t="inlineStr">
        <is>
          <t>Keeta</t>
        </is>
      </c>
      <c r="K1146" s="3" t="inlineStr">
        <is>
          <t>****9568</t>
        </is>
      </c>
      <c r="L1146" s="3" t="n"/>
      <c r="M1146" s="3" t="inlineStr">
        <is>
          <t>***** 物流中心5樓</t>
        </is>
      </c>
      <c r="N1146" s="3" t="inlineStr">
        <is>
          <t>北区</t>
        </is>
      </c>
      <c r="O1146" s="3" t="inlineStr">
        <is>
          <t>香港</t>
        </is>
      </c>
      <c r="P1146" s="3" t="inlineStr">
        <is>
          <t>香港特别行政区</t>
        </is>
      </c>
      <c r="Q1146" s="3" t="n">
        <v>465488</v>
      </c>
      <c r="R1146" s="3" t="inlineStr">
        <is>
          <t>麥當勞(美孚)McDonalds</t>
        </is>
      </c>
      <c r="S1146" s="3" t="inlineStr">
        <is>
          <t>****27862178</t>
        </is>
      </c>
      <c r="T1146" s="3" t="inlineStr">
        <is>
          <t>****27862178</t>
        </is>
      </c>
      <c r="U1146" s="3" t="inlineStr">
        <is>
          <t>***** N60A號店</t>
        </is>
      </c>
      <c r="V1146" s="3" t="inlineStr">
        <is>
          <t>香港</t>
        </is>
      </c>
      <c r="W1146" s="3" t="inlineStr">
        <is>
          <t>纸袋【通版】/ 箱出</t>
        </is>
      </c>
      <c r="X1146" s="3" t="inlineStr">
        <is>
          <t>ESS-SFTS-OTMS</t>
        </is>
      </c>
      <c r="Y1146" s="3" t="n"/>
      <c r="Z1146" s="3" t="inlineStr"/>
      <c r="AA1146" s="3" t="inlineStr">
        <is>
          <t>寄付月結</t>
        </is>
      </c>
      <c r="AB1146">
        <f>IFERROR(VLOOKUP(Q1146&amp;"",對照表!$A:$B,1,FALSE),"")</f>
        <v/>
      </c>
      <c r="AC1146">
        <f>IFERROR(VLOOKUP(Q1146&amp;"",對照表!$A:$B,2,FALSE),"")</f>
        <v/>
      </c>
    </row>
    <row r="1147">
      <c r="A1147" s="3" t="inlineStr">
        <is>
          <t>SF5113427653640</t>
        </is>
      </c>
      <c r="B1147" s="3" t="n">
        <v>58435485663353</v>
      </c>
      <c r="C1147" s="3" t="inlineStr">
        <is>
          <t>已簽收</t>
        </is>
      </c>
      <c r="D1147" s="3" t="inlineStr">
        <is>
          <t>2026-07-06 17:09:22</t>
        </is>
      </c>
      <c r="E1147" s="3" t="inlineStr">
        <is>
          <t>2026-07-07 10:41</t>
        </is>
      </c>
      <c r="F1147" s="3" t="n">
        <v>2.36</v>
      </c>
      <c r="G1147" s="3" t="n">
        <v>1</v>
      </c>
      <c r="H1147" s="3" t="n"/>
      <c r="I1147" s="3" t="inlineStr"/>
      <c r="J1147" s="3" t="inlineStr">
        <is>
          <t>Keeta</t>
        </is>
      </c>
      <c r="K1147" s="3" t="inlineStr">
        <is>
          <t>****9568</t>
        </is>
      </c>
      <c r="L1147" s="3" t="n"/>
      <c r="M1147" s="3" t="inlineStr">
        <is>
          <t>***** 物流中心5樓</t>
        </is>
      </c>
      <c r="N1147" s="3" t="inlineStr">
        <is>
          <t>北区</t>
        </is>
      </c>
      <c r="O1147" s="3" t="inlineStr">
        <is>
          <t>香港</t>
        </is>
      </c>
      <c r="P1147" s="3" t="inlineStr">
        <is>
          <t>香港特别行政区</t>
        </is>
      </c>
      <c r="Q1147" s="3" t="n">
        <v>494469</v>
      </c>
      <c r="R1147" s="3" t="inlineStr">
        <is>
          <t>樂園魚蛋專家(觀塘協和街店)</t>
        </is>
      </c>
      <c r="S1147" s="3" t="inlineStr">
        <is>
          <t>****28858889</t>
        </is>
      </c>
      <c r="T1147" s="3" t="inlineStr">
        <is>
          <t>****28858889</t>
        </is>
      </c>
      <c r="U1147" s="3" t="inlineStr">
        <is>
          <t>***** 建德大樓地舖</t>
        </is>
      </c>
      <c r="V1147" s="3" t="inlineStr">
        <is>
          <t>香港</t>
        </is>
      </c>
      <c r="W1147" s="3" t="inlineStr">
        <is>
          <t>机纸/小票纸 / 包出</t>
        </is>
      </c>
      <c r="X1147" s="3" t="inlineStr">
        <is>
          <t>ESS-SFTS-OTMS</t>
        </is>
      </c>
      <c r="Y1147" s="3" t="n"/>
      <c r="Z1147" s="3" t="inlineStr"/>
      <c r="AA1147" s="3" t="inlineStr">
        <is>
          <t>寄付月結</t>
        </is>
      </c>
      <c r="AB1147">
        <f>IFERROR(VLOOKUP(Q1147&amp;"",對照表!$A:$B,1,FALSE),"")</f>
        <v/>
      </c>
      <c r="AC1147">
        <f>IFERROR(VLOOKUP(Q1147&amp;"",對照表!$A:$B,2,FALSE),"")</f>
        <v/>
      </c>
    </row>
    <row r="1148">
      <c r="A1148" s="3" t="inlineStr">
        <is>
          <t>SF5113427653525</t>
        </is>
      </c>
      <c r="B1148" s="3" t="n">
        <v>58435485663326</v>
      </c>
      <c r="C1148" s="3" t="inlineStr">
        <is>
          <t>已簽收</t>
        </is>
      </c>
      <c r="D1148" s="3" t="inlineStr">
        <is>
          <t>2026-07-06 15:19:17</t>
        </is>
      </c>
      <c r="E1148" s="3" t="inlineStr">
        <is>
          <t>2026-07-08 10:52</t>
        </is>
      </c>
      <c r="F1148" s="3" t="n">
        <v>14.5</v>
      </c>
      <c r="G1148" s="3" t="n">
        <v>1</v>
      </c>
      <c r="H1148" s="3" t="n"/>
      <c r="I1148" s="3" t="inlineStr"/>
      <c r="J1148" s="3" t="inlineStr">
        <is>
          <t>Keeta</t>
        </is>
      </c>
      <c r="K1148" s="3" t="inlineStr">
        <is>
          <t>****9568</t>
        </is>
      </c>
      <c r="L1148" s="3" t="n"/>
      <c r="M1148" s="3" t="inlineStr">
        <is>
          <t>***** 物流中心5樓</t>
        </is>
      </c>
      <c r="N1148" s="3" t="inlineStr">
        <is>
          <t>北区</t>
        </is>
      </c>
      <c r="O1148" s="3" t="inlineStr">
        <is>
          <t>香港</t>
        </is>
      </c>
      <c r="P1148" s="3" t="inlineStr">
        <is>
          <t>香港特别行政区</t>
        </is>
      </c>
      <c r="Q1148" s="3" t="n">
        <v>721539391</v>
      </c>
      <c r="R1148" s="3" t="inlineStr">
        <is>
          <t>大鼻滷 （粉嶺中心） Big Chef Chan</t>
        </is>
      </c>
      <c r="S1148" s="3" t="inlineStr">
        <is>
          <t>****5431788</t>
        </is>
      </c>
      <c r="T1148" s="3" t="inlineStr">
        <is>
          <t>****5431788</t>
        </is>
      </c>
      <c r="U1148" s="3" t="inlineStr">
        <is>
          <t>***** （粉嶺中心）</t>
        </is>
      </c>
      <c r="V1148" s="3" t="inlineStr">
        <is>
          <t>香港</t>
        </is>
      </c>
      <c r="W1148" s="3" t="inlineStr">
        <is>
          <t>纸袋【通版】/ 箱出</t>
        </is>
      </c>
      <c r="X1148" s="3" t="inlineStr">
        <is>
          <t>ESS-SFTS-OTMS</t>
        </is>
      </c>
      <c r="Y1148" s="3" t="n"/>
      <c r="Z1148" s="3" t="inlineStr"/>
      <c r="AA1148" s="3" t="inlineStr">
        <is>
          <t>寄付月結</t>
        </is>
      </c>
      <c r="AB1148">
        <f>IFERROR(VLOOKUP(Q1148&amp;"",對照表!$A:$B,1,FALSE),"")</f>
        <v/>
      </c>
      <c r="AC1148">
        <f>IFERROR(VLOOKUP(Q1148&amp;"",對照表!$A:$B,2,FALSE),"")</f>
        <v/>
      </c>
    </row>
    <row r="1149">
      <c r="A1149" s="3" t="inlineStr">
        <is>
          <t>SF5113427653304</t>
        </is>
      </c>
      <c r="B1149" s="3" t="n">
        <v>58435485663279</v>
      </c>
      <c r="C1149" s="3" t="inlineStr">
        <is>
          <t>已簽收</t>
        </is>
      </c>
      <c r="D1149" s="3" t="inlineStr">
        <is>
          <t>2026-07-06 15:19:12</t>
        </is>
      </c>
      <c r="E1149" s="3" t="inlineStr">
        <is>
          <t>2026-07-07 15:02</t>
        </is>
      </c>
      <c r="F1149" s="3" t="n">
        <v>14.5</v>
      </c>
      <c r="G1149" s="3" t="n">
        <v>1</v>
      </c>
      <c r="H1149" s="3" t="n"/>
      <c r="I1149" s="3" t="inlineStr"/>
      <c r="J1149" s="3" t="inlineStr">
        <is>
          <t>Keeta</t>
        </is>
      </c>
      <c r="K1149" s="3" t="inlineStr">
        <is>
          <t>****9568</t>
        </is>
      </c>
      <c r="L1149" s="3" t="n"/>
      <c r="M1149" s="3" t="inlineStr">
        <is>
          <t>***** 物流中心5樓</t>
        </is>
      </c>
      <c r="N1149" s="3" t="inlineStr">
        <is>
          <t>北区</t>
        </is>
      </c>
      <c r="O1149" s="3" t="inlineStr">
        <is>
          <t>香港</t>
        </is>
      </c>
      <c r="P1149" s="3" t="inlineStr">
        <is>
          <t>香港特别行政区</t>
        </is>
      </c>
      <c r="Q1149" s="3" t="n">
        <v>721538393</v>
      </c>
      <c r="R1149" s="3" t="inlineStr">
        <is>
          <t>泰龍</t>
        </is>
      </c>
      <c r="S1149" s="3" t="inlineStr">
        <is>
          <t>****62070736</t>
        </is>
      </c>
      <c r="T1149" s="3" t="inlineStr">
        <is>
          <t>****62070736</t>
        </is>
      </c>
      <c r="U1149" s="3" t="inlineStr">
        <is>
          <t>***** 號地下6號鋪</t>
        </is>
      </c>
      <c r="V1149" s="3" t="inlineStr">
        <is>
          <t>香港</t>
        </is>
      </c>
      <c r="W1149" s="3" t="inlineStr">
        <is>
          <t>纸袋【通版】/ 箱出</t>
        </is>
      </c>
      <c r="X1149" s="3" t="inlineStr">
        <is>
          <t>ESS-SFTS-OTMS</t>
        </is>
      </c>
      <c r="Y1149" s="3" t="n"/>
      <c r="Z1149" s="3" t="inlineStr"/>
      <c r="AA1149" s="3" t="inlineStr">
        <is>
          <t>寄付月結</t>
        </is>
      </c>
      <c r="AB1149">
        <f>IFERROR(VLOOKUP(Q1149&amp;"",對照表!$A:$B,1,FALSE),"")</f>
        <v/>
      </c>
      <c r="AC1149">
        <f>IFERROR(VLOOKUP(Q1149&amp;"",對照表!$A:$B,2,FALSE),"")</f>
        <v/>
      </c>
    </row>
    <row r="1150">
      <c r="A1150" s="3" t="inlineStr">
        <is>
          <t>SF5113427648843</t>
        </is>
      </c>
      <c r="B1150" s="3" t="n">
        <v>58435485630673</v>
      </c>
      <c r="C1150" s="3" t="inlineStr">
        <is>
          <t>已簽收</t>
        </is>
      </c>
      <c r="D1150" s="3" t="inlineStr">
        <is>
          <t>2026-07-06 17:06:26</t>
        </is>
      </c>
      <c r="E1150" s="3" t="inlineStr">
        <is>
          <t>2026-07-07 18:34</t>
        </is>
      </c>
      <c r="F1150" s="3" t="n">
        <v>0.62</v>
      </c>
      <c r="G1150" s="3" t="n">
        <v>1</v>
      </c>
      <c r="H1150" s="3" t="n"/>
      <c r="I1150" s="3" t="inlineStr"/>
      <c r="J1150" s="3" t="inlineStr">
        <is>
          <t>Keeta</t>
        </is>
      </c>
      <c r="K1150" s="3" t="inlineStr">
        <is>
          <t>****9568</t>
        </is>
      </c>
      <c r="L1150" s="3" t="n"/>
      <c r="M1150" s="3" t="inlineStr">
        <is>
          <t>***** 物流中心5樓</t>
        </is>
      </c>
      <c r="N1150" s="3" t="inlineStr">
        <is>
          <t>北区</t>
        </is>
      </c>
      <c r="O1150" s="3" t="inlineStr">
        <is>
          <t>香港</t>
        </is>
      </c>
      <c r="P1150" s="3" t="inlineStr">
        <is>
          <t>香港特别行政区</t>
        </is>
      </c>
      <c r="Q1150" s="3" t="n">
        <v>458842</v>
      </c>
      <c r="R1150" s="3" t="inlineStr">
        <is>
          <t>易記冰室必食肉醬懷舊港式味道</t>
        </is>
      </c>
      <c r="S1150" s="3" t="inlineStr">
        <is>
          <t>****51223022</t>
        </is>
      </c>
      <c r="T1150" s="3" t="inlineStr">
        <is>
          <t>****51223022</t>
        </is>
      </c>
      <c r="U1150" s="3" t="inlineStr">
        <is>
          <t>***** 廣場B50鋪</t>
        </is>
      </c>
      <c r="V1150" s="3" t="inlineStr">
        <is>
          <t>香港</t>
        </is>
      </c>
      <c r="W1150" s="3" t="inlineStr">
        <is>
          <t>封签【通版】/ 扎出</t>
        </is>
      </c>
      <c r="X1150" s="3" t="inlineStr">
        <is>
          <t>ESS-SFTS-OTMS</t>
        </is>
      </c>
      <c r="Y1150" s="3" t="n"/>
      <c r="Z1150" s="3" t="inlineStr"/>
      <c r="AA1150" s="3" t="inlineStr">
        <is>
          <t>寄付月結</t>
        </is>
      </c>
      <c r="AB1150">
        <f>IFERROR(VLOOKUP(Q1150&amp;"",對照表!$A:$B,1,FALSE),"")</f>
        <v/>
      </c>
      <c r="AC1150">
        <f>IFERROR(VLOOKUP(Q1150&amp;"",對照表!$A:$B,2,FALSE),"")</f>
        <v/>
      </c>
    </row>
    <row r="1151">
      <c r="A1151" s="3" t="inlineStr">
        <is>
          <t>SF5113427653622</t>
        </is>
      </c>
      <c r="B1151" s="3" t="n">
        <v>58435485663348</v>
      </c>
      <c r="C1151" s="3" t="inlineStr">
        <is>
          <t>已簽收</t>
        </is>
      </c>
      <c r="D1151" s="3" t="inlineStr">
        <is>
          <t>2026-07-06 16:28:20</t>
        </is>
      </c>
      <c r="E1151" s="3" t="inlineStr">
        <is>
          <t>2026-07-07 13:18</t>
        </is>
      </c>
      <c r="F1151" s="3" t="n">
        <v>58</v>
      </c>
      <c r="G1151" s="3" t="n">
        <v>4</v>
      </c>
      <c r="H1151" s="3" t="n"/>
      <c r="I1151" s="3" t="inlineStr"/>
      <c r="J1151" s="3" t="inlineStr">
        <is>
          <t>Keeta</t>
        </is>
      </c>
      <c r="K1151" s="3" t="inlineStr">
        <is>
          <t>****9568</t>
        </is>
      </c>
      <c r="L1151" s="3" t="n"/>
      <c r="M1151" s="3" t="inlineStr">
        <is>
          <t>***** 物流中心5樓</t>
        </is>
      </c>
      <c r="N1151" s="3" t="inlineStr">
        <is>
          <t>北区</t>
        </is>
      </c>
      <c r="O1151" s="3" t="inlineStr">
        <is>
          <t>香港</t>
        </is>
      </c>
      <c r="P1151" s="3" t="inlineStr">
        <is>
          <t>香港特别行政区</t>
        </is>
      </c>
      <c r="Q1151" s="3" t="n">
        <v>450300</v>
      </c>
      <c r="R1151" s="3" t="inlineStr">
        <is>
          <t>麥當勞（赤柱廣場II）McDonalds</t>
        </is>
      </c>
      <c r="S1151" s="3" t="inlineStr">
        <is>
          <t>****28130655</t>
        </is>
      </c>
      <c r="T1151" s="3" t="inlineStr">
        <is>
          <t>****28130655</t>
        </is>
      </c>
      <c r="U1151" s="3" t="inlineStr">
        <is>
          <t>***** 及G03號舖</t>
        </is>
      </c>
      <c r="V1151" s="3" t="inlineStr">
        <is>
          <t>香港</t>
        </is>
      </c>
      <c r="W1151" s="3" t="inlineStr">
        <is>
          <t>纸袋【通版】/ 箱出</t>
        </is>
      </c>
      <c r="X1151" s="3" t="inlineStr">
        <is>
          <t>ESS-SFTS-OTMS</t>
        </is>
      </c>
      <c r="Y1151" s="3" t="n"/>
      <c r="Z1151" s="3" t="inlineStr"/>
      <c r="AA1151" s="3" t="inlineStr">
        <is>
          <t>寄付月結</t>
        </is>
      </c>
      <c r="AB1151">
        <f>IFERROR(VLOOKUP(Q1151&amp;"",對照表!$A:$B,1,FALSE),"")</f>
        <v/>
      </c>
      <c r="AC1151">
        <f>IFERROR(VLOOKUP(Q1151&amp;"",對照表!$A:$B,2,FALSE),"")</f>
        <v/>
      </c>
    </row>
    <row r="1152">
      <c r="A1152" s="3" t="inlineStr">
        <is>
          <t>SF5113427653613</t>
        </is>
      </c>
      <c r="B1152" s="3" t="n">
        <v>58435485663344</v>
      </c>
      <c r="C1152" s="3" t="inlineStr">
        <is>
          <t>已簽收</t>
        </is>
      </c>
      <c r="D1152" s="3" t="inlineStr">
        <is>
          <t>2026-07-06 15:19:20</t>
        </is>
      </c>
      <c r="E1152" s="3" t="inlineStr">
        <is>
          <t>2026-07-07 11:24</t>
        </is>
      </c>
      <c r="F1152" s="3" t="n">
        <v>14.5</v>
      </c>
      <c r="G1152" s="3" t="n">
        <v>1</v>
      </c>
      <c r="H1152" s="3" t="n"/>
      <c r="I1152" s="3" t="inlineStr"/>
      <c r="J1152" s="3" t="inlineStr">
        <is>
          <t>Keeta</t>
        </is>
      </c>
      <c r="K1152" s="3" t="inlineStr">
        <is>
          <t>****9568</t>
        </is>
      </c>
      <c r="L1152" s="3" t="n"/>
      <c r="M1152" s="3" t="inlineStr">
        <is>
          <t>***** 物流中心5樓</t>
        </is>
      </c>
      <c r="N1152" s="3" t="inlineStr">
        <is>
          <t>北区</t>
        </is>
      </c>
      <c r="O1152" s="3" t="inlineStr">
        <is>
          <t>香港</t>
        </is>
      </c>
      <c r="P1152" s="3" t="inlineStr">
        <is>
          <t>香港特别行政区</t>
        </is>
      </c>
      <c r="Q1152" s="3" t="n">
        <v>668564</v>
      </c>
      <c r="R1152" s="3" t="inlineStr">
        <is>
          <t>貢茶（長沙灣店）</t>
        </is>
      </c>
      <c r="S1152" s="3" t="inlineStr">
        <is>
          <t>****62985891</t>
        </is>
      </c>
      <c r="T1152" s="3" t="inlineStr">
        <is>
          <t>****62985891</t>
        </is>
      </c>
      <c r="U1152" s="3" t="inlineStr">
        <is>
          <t>***** )地下6號舖</t>
        </is>
      </c>
      <c r="V1152" s="3" t="inlineStr">
        <is>
          <t>香港</t>
        </is>
      </c>
      <c r="W1152" s="3" t="inlineStr">
        <is>
          <t>纸袋【通版】/ 箱出</t>
        </is>
      </c>
      <c r="X1152" s="3" t="inlineStr">
        <is>
          <t>ESS-SFTS-OTMS</t>
        </is>
      </c>
      <c r="Y1152" s="3" t="n"/>
      <c r="Z1152" s="3" t="inlineStr"/>
      <c r="AA1152" s="3" t="inlineStr">
        <is>
          <t>寄付月結</t>
        </is>
      </c>
      <c r="AB1152">
        <f>IFERROR(VLOOKUP(Q1152&amp;"",對照表!$A:$B,1,FALSE),"")</f>
        <v/>
      </c>
      <c r="AC1152">
        <f>IFERROR(VLOOKUP(Q1152&amp;"",對照表!$A:$B,2,FALSE),"")</f>
        <v/>
      </c>
    </row>
    <row r="1153">
      <c r="A1153" s="3" t="inlineStr">
        <is>
          <t>SF5113427653668</t>
        </is>
      </c>
      <c r="B1153" s="3" t="n">
        <v>58435485663358</v>
      </c>
      <c r="C1153" s="3" t="inlineStr">
        <is>
          <t>已簽收</t>
        </is>
      </c>
      <c r="D1153" s="3" t="inlineStr">
        <is>
          <t>2026-07-06 17:04:46</t>
        </is>
      </c>
      <c r="E1153" s="3" t="inlineStr">
        <is>
          <t>2026-07-07 09:47</t>
        </is>
      </c>
      <c r="F1153" s="3" t="n">
        <v>2.36</v>
      </c>
      <c r="G1153" s="3" t="n">
        <v>1</v>
      </c>
      <c r="H1153" s="3" t="n"/>
      <c r="I1153" s="3" t="inlineStr"/>
      <c r="J1153" s="3" t="inlineStr">
        <is>
          <t>Keeta</t>
        </is>
      </c>
      <c r="K1153" s="3" t="inlineStr">
        <is>
          <t>****9568</t>
        </is>
      </c>
      <c r="L1153" s="3" t="n"/>
      <c r="M1153" s="3" t="inlineStr">
        <is>
          <t>***** 物流中心5樓</t>
        </is>
      </c>
      <c r="N1153" s="3" t="inlineStr">
        <is>
          <t>北区</t>
        </is>
      </c>
      <c r="O1153" s="3" t="inlineStr">
        <is>
          <t>香港</t>
        </is>
      </c>
      <c r="P1153" s="3" t="inlineStr">
        <is>
          <t>香港特别行政区</t>
        </is>
      </c>
      <c r="Q1153" s="3" t="n">
        <v>583108</v>
      </c>
      <c r="R1153" s="3" t="inlineStr">
        <is>
          <t>爭鮮外帶壽司（慈雲山）</t>
        </is>
      </c>
      <c r="S1153" s="3" t="inlineStr">
        <is>
          <t>****26383538</t>
        </is>
      </c>
      <c r="T1153" s="3" t="inlineStr">
        <is>
          <t>****26383538</t>
        </is>
      </c>
      <c r="U1153" s="3" t="inlineStr">
        <is>
          <t>***** 樓332號舖</t>
        </is>
      </c>
      <c r="V1153" s="3" t="inlineStr">
        <is>
          <t>香港</t>
        </is>
      </c>
      <c r="W1153" s="3" t="inlineStr">
        <is>
          <t>机纸/小票纸 / 包出</t>
        </is>
      </c>
      <c r="X1153" s="3" t="inlineStr">
        <is>
          <t>ESS-SFTS-OTMS</t>
        </is>
      </c>
      <c r="Y1153" s="3" t="n"/>
      <c r="Z1153" s="3" t="inlineStr"/>
      <c r="AA1153" s="3" t="inlineStr">
        <is>
          <t>寄付月結</t>
        </is>
      </c>
      <c r="AB1153">
        <f>IFERROR(VLOOKUP(Q1153&amp;"",對照表!$A:$B,1,FALSE),"")</f>
        <v/>
      </c>
      <c r="AC1153">
        <f>IFERROR(VLOOKUP(Q1153&amp;"",對照表!$A:$B,2,FALSE),"")</f>
        <v/>
      </c>
    </row>
    <row r="1154">
      <c r="A1154" s="3" t="inlineStr">
        <is>
          <t>SF5113427653686</t>
        </is>
      </c>
      <c r="B1154" s="3" t="n">
        <v>58435485663368</v>
      </c>
      <c r="C1154" s="3" t="inlineStr">
        <is>
          <t>已簽收</t>
        </is>
      </c>
      <c r="D1154" s="3" t="inlineStr">
        <is>
          <t>2026-07-06 15:19:23</t>
        </is>
      </c>
      <c r="E1154" s="3" t="inlineStr">
        <is>
          <t>2026-07-07 14:24</t>
        </is>
      </c>
      <c r="F1154" s="3" t="n">
        <v>14.5</v>
      </c>
      <c r="G1154" s="3" t="n">
        <v>1</v>
      </c>
      <c r="H1154" s="3" t="n"/>
      <c r="I1154" s="3" t="inlineStr"/>
      <c r="J1154" s="3" t="inlineStr">
        <is>
          <t>Keeta</t>
        </is>
      </c>
      <c r="K1154" s="3" t="inlineStr">
        <is>
          <t>****9568</t>
        </is>
      </c>
      <c r="L1154" s="3" t="n"/>
      <c r="M1154" s="3" t="inlineStr">
        <is>
          <t>***** 物流中心5樓</t>
        </is>
      </c>
      <c r="N1154" s="3" t="inlineStr">
        <is>
          <t>北区</t>
        </is>
      </c>
      <c r="O1154" s="3" t="inlineStr">
        <is>
          <t>香港</t>
        </is>
      </c>
      <c r="P1154" s="3" t="inlineStr">
        <is>
          <t>香港特别行政区</t>
        </is>
      </c>
      <c r="Q1154" s="3" t="n">
        <v>721536410</v>
      </c>
      <c r="R1154" s="3" t="inlineStr">
        <is>
          <t>人人有雞食</t>
        </is>
      </c>
      <c r="S1154" s="3" t="inlineStr">
        <is>
          <t>****0735130</t>
        </is>
      </c>
      <c r="T1154" s="3" t="inlineStr">
        <is>
          <t>****0735130</t>
        </is>
      </c>
      <c r="U1154" s="3" t="inlineStr">
        <is>
          <t>***** 街5號昌榮閣</t>
        </is>
      </c>
      <c r="V1154" s="3" t="inlineStr">
        <is>
          <t>香港</t>
        </is>
      </c>
      <c r="W1154" s="3" t="inlineStr">
        <is>
          <t>纸袋【通版】/ 箱出</t>
        </is>
      </c>
      <c r="X1154" s="3" t="inlineStr">
        <is>
          <t>ESS-SFTS-OTMS</t>
        </is>
      </c>
      <c r="Y1154" s="3" t="n"/>
      <c r="Z1154" s="3" t="inlineStr"/>
      <c r="AA1154" s="3" t="inlineStr">
        <is>
          <t>寄付月結</t>
        </is>
      </c>
      <c r="AB1154">
        <f>IFERROR(VLOOKUP(Q1154&amp;"",對照表!$A:$B,1,FALSE),"")</f>
        <v/>
      </c>
      <c r="AC1154">
        <f>IFERROR(VLOOKUP(Q1154&amp;"",對照表!$A:$B,2,FALSE),"")</f>
        <v/>
      </c>
    </row>
    <row r="1155">
      <c r="A1155" s="3" t="inlineStr">
        <is>
          <t>SF5113427653252</t>
        </is>
      </c>
      <c r="B1155" s="3" t="n">
        <v>58435485663268</v>
      </c>
      <c r="C1155" s="3" t="inlineStr">
        <is>
          <t>派送中</t>
        </is>
      </c>
      <c r="D1155" s="3" t="inlineStr">
        <is>
          <t>2026-07-06 15:29:14</t>
        </is>
      </c>
      <c r="E1155" s="3" t="n"/>
      <c r="F1155" s="3" t="n">
        <v>116</v>
      </c>
      <c r="G1155" s="3" t="n">
        <v>8</v>
      </c>
      <c r="H1155" s="3" t="n"/>
      <c r="I1155" s="3" t="inlineStr"/>
      <c r="J1155" s="3" t="inlineStr">
        <is>
          <t>Keeta</t>
        </is>
      </c>
      <c r="K1155" s="3" t="inlineStr">
        <is>
          <t>****9568</t>
        </is>
      </c>
      <c r="L1155" s="3" t="n"/>
      <c r="M1155" s="3" t="inlineStr">
        <is>
          <t>***** 物流中心5樓</t>
        </is>
      </c>
      <c r="N1155" s="3" t="inlineStr">
        <is>
          <t>北区</t>
        </is>
      </c>
      <c r="O1155" s="3" t="inlineStr">
        <is>
          <t>香港</t>
        </is>
      </c>
      <c r="P1155" s="3" t="inlineStr">
        <is>
          <t>香港特别行政区</t>
        </is>
      </c>
      <c r="Q1155" s="3" t="n">
        <v>583155</v>
      </c>
      <c r="R1155" s="3" t="inlineStr">
        <is>
          <t>麥當勞(彩明)McDonalds</t>
        </is>
      </c>
      <c r="S1155" s="3" t="inlineStr">
        <is>
          <t>****34095352</t>
        </is>
      </c>
      <c r="T1155" s="3" t="inlineStr">
        <is>
          <t>****34095352</t>
        </is>
      </c>
      <c r="U1155" s="3" t="inlineStr">
        <is>
          <t>***** 272 號舖</t>
        </is>
      </c>
      <c r="V1155" s="3" t="inlineStr">
        <is>
          <t>香港</t>
        </is>
      </c>
      <c r="W1155" s="3" t="inlineStr">
        <is>
          <t>纸袋【通版】/ 箱出</t>
        </is>
      </c>
      <c r="X1155" s="3" t="inlineStr">
        <is>
          <t>ESS-SFTS-OTMS</t>
        </is>
      </c>
      <c r="Y1155" s="3" t="n"/>
      <c r="Z1155" s="3" t="inlineStr"/>
      <c r="AA1155" s="3" t="inlineStr">
        <is>
          <t>寄付月結</t>
        </is>
      </c>
      <c r="AB1155">
        <f>IFERROR(VLOOKUP(Q1155&amp;"",對照表!$A:$B,1,FALSE),"")</f>
        <v/>
      </c>
      <c r="AC1155">
        <f>IFERROR(VLOOKUP(Q1155&amp;"",對照表!$A:$B,2,FALSE),"")</f>
        <v/>
      </c>
    </row>
    <row r="1156">
      <c r="A1156" s="3" t="inlineStr">
        <is>
          <t>SF5113427653464</t>
        </is>
      </c>
      <c r="B1156" s="3" t="n">
        <v>58435485663313</v>
      </c>
      <c r="C1156" s="3" t="inlineStr">
        <is>
          <t>已簽收</t>
        </is>
      </c>
      <c r="D1156" s="3" t="inlineStr">
        <is>
          <t>2026-07-06 16:11:10</t>
        </is>
      </c>
      <c r="E1156" s="3" t="inlineStr">
        <is>
          <t>2026-07-07 11:40</t>
        </is>
      </c>
      <c r="F1156" s="3" t="n">
        <v>29</v>
      </c>
      <c r="G1156" s="3" t="n">
        <v>2</v>
      </c>
      <c r="H1156" s="3" t="n"/>
      <c r="I1156" s="3" t="inlineStr"/>
      <c r="J1156" s="3" t="inlineStr">
        <is>
          <t>Keeta</t>
        </is>
      </c>
      <c r="K1156" s="3" t="inlineStr">
        <is>
          <t>****9568</t>
        </is>
      </c>
      <c r="L1156" s="3" t="n"/>
      <c r="M1156" s="3" t="inlineStr">
        <is>
          <t>***** 物流中心5樓</t>
        </is>
      </c>
      <c r="N1156" s="3" t="inlineStr">
        <is>
          <t>北区</t>
        </is>
      </c>
      <c r="O1156" s="3" t="inlineStr">
        <is>
          <t>香港</t>
        </is>
      </c>
      <c r="P1156" s="3" t="inlineStr">
        <is>
          <t>香港特别行政区</t>
        </is>
      </c>
      <c r="Q1156" s="3" t="n">
        <v>721532396</v>
      </c>
      <c r="R1156" s="3" t="inlineStr">
        <is>
          <t>麥當勞(何文田廣場)McDonalds</t>
        </is>
      </c>
      <c r="S1156" s="3" t="inlineStr">
        <is>
          <t>****22420462</t>
        </is>
      </c>
      <c r="T1156" s="3" t="inlineStr">
        <is>
          <t>****22420462</t>
        </is>
      </c>
      <c r="U1156" s="3" t="inlineStr">
        <is>
          <t>***** 樓319號舖</t>
        </is>
      </c>
      <c r="V1156" s="3" t="inlineStr">
        <is>
          <t>香港</t>
        </is>
      </c>
      <c r="W1156" s="3" t="inlineStr">
        <is>
          <t>纸袋【通版】/ 箱出</t>
        </is>
      </c>
      <c r="X1156" s="3" t="inlineStr">
        <is>
          <t>ESS-SFTS-OTMS</t>
        </is>
      </c>
      <c r="Y1156" s="3" t="n"/>
      <c r="Z1156" s="3" t="inlineStr"/>
      <c r="AA1156" s="3" t="inlineStr">
        <is>
          <t>寄付月結</t>
        </is>
      </c>
      <c r="AB1156">
        <f>IFERROR(VLOOKUP(Q1156&amp;"",對照表!$A:$B,1,FALSE),"")</f>
        <v/>
      </c>
      <c r="AC1156">
        <f>IFERROR(VLOOKUP(Q1156&amp;"",對照表!$A:$B,2,FALSE),"")</f>
        <v/>
      </c>
    </row>
    <row r="1157">
      <c r="A1157" s="3" t="inlineStr">
        <is>
          <t>SF5113427653561</t>
        </is>
      </c>
      <c r="B1157" s="3" t="n">
        <v>58435485663334</v>
      </c>
      <c r="C1157" s="3" t="inlineStr">
        <is>
          <t>已簽收</t>
        </is>
      </c>
      <c r="D1157" s="3" t="inlineStr">
        <is>
          <t>2026-07-06 17:33:16</t>
        </is>
      </c>
      <c r="E1157" s="3" t="inlineStr">
        <is>
          <t>2026-07-07 11:43</t>
        </is>
      </c>
      <c r="F1157" s="3" t="n">
        <v>43.5</v>
      </c>
      <c r="G1157" s="3" t="n">
        <v>3</v>
      </c>
      <c r="H1157" s="3" t="n"/>
      <c r="I1157" s="3" t="inlineStr"/>
      <c r="J1157" s="3" t="inlineStr">
        <is>
          <t>Keeta</t>
        </is>
      </c>
      <c r="K1157" s="3" t="inlineStr">
        <is>
          <t>****9568</t>
        </is>
      </c>
      <c r="L1157" s="3" t="n"/>
      <c r="M1157" s="3" t="inlineStr">
        <is>
          <t>***** 物流中心5樓</t>
        </is>
      </c>
      <c r="N1157" s="3" t="inlineStr">
        <is>
          <t>北区</t>
        </is>
      </c>
      <c r="O1157" s="3" t="inlineStr">
        <is>
          <t>香港</t>
        </is>
      </c>
      <c r="P1157" s="3" t="inlineStr">
        <is>
          <t>香港特别行政区</t>
        </is>
      </c>
      <c r="Q1157" s="3" t="n">
        <v>392451</v>
      </c>
      <c r="R1157" s="3" t="inlineStr">
        <is>
          <t>麥當勞（西洋菜）McDonalds</t>
        </is>
      </c>
      <c r="S1157" s="3" t="inlineStr">
        <is>
          <t>****23842728</t>
        </is>
      </c>
      <c r="T1157" s="3" t="inlineStr">
        <is>
          <t>****23842728</t>
        </is>
      </c>
      <c r="U1157" s="3" t="inlineStr">
        <is>
          <t>***** owloon</t>
        </is>
      </c>
      <c r="V1157" s="3" t="inlineStr">
        <is>
          <t>香港</t>
        </is>
      </c>
      <c r="W1157" s="3" t="inlineStr">
        <is>
          <t>纸袋【通版】/ 箱出</t>
        </is>
      </c>
      <c r="X1157" s="3" t="inlineStr">
        <is>
          <t>ESS-SFTS-OTMS</t>
        </is>
      </c>
      <c r="Y1157" s="3" t="n"/>
      <c r="Z1157" s="3" t="inlineStr"/>
      <c r="AA1157" s="3" t="inlineStr">
        <is>
          <t>寄付月結</t>
        </is>
      </c>
      <c r="AB1157">
        <f>IFERROR(VLOOKUP(Q1157&amp;"",對照表!$A:$B,1,FALSE),"")</f>
        <v/>
      </c>
      <c r="AC1157">
        <f>IFERROR(VLOOKUP(Q1157&amp;"",對照表!$A:$B,2,FALSE),"")</f>
        <v/>
      </c>
    </row>
    <row r="1158">
      <c r="A1158" s="3" t="inlineStr">
        <is>
          <t>SF5113427653746</t>
        </is>
      </c>
      <c r="B1158" s="3" t="n">
        <v>58435485663428</v>
      </c>
      <c r="C1158" s="3" t="inlineStr">
        <is>
          <t>已簽收</t>
        </is>
      </c>
      <c r="D1158" s="3" t="inlineStr">
        <is>
          <t>2026-07-06 16:15:34</t>
        </is>
      </c>
      <c r="E1158" s="3" t="inlineStr">
        <is>
          <t>2026-07-07 13:51</t>
        </is>
      </c>
      <c r="F1158" s="3" t="n">
        <v>4.45</v>
      </c>
      <c r="G1158" s="3" t="n">
        <v>1</v>
      </c>
      <c r="H1158" s="3" t="n"/>
      <c r="I1158" s="3" t="inlineStr"/>
      <c r="J1158" s="3" t="inlineStr">
        <is>
          <t>Keeta</t>
        </is>
      </c>
      <c r="K1158" s="3" t="inlineStr">
        <is>
          <t>****9568</t>
        </is>
      </c>
      <c r="L1158" s="3" t="n"/>
      <c r="M1158" s="3" t="inlineStr">
        <is>
          <t>***** 物流中心5樓</t>
        </is>
      </c>
      <c r="N1158" s="3" t="inlineStr">
        <is>
          <t>北区</t>
        </is>
      </c>
      <c r="O1158" s="3" t="inlineStr">
        <is>
          <t>香港</t>
        </is>
      </c>
      <c r="P1158" s="3" t="inlineStr">
        <is>
          <t>香港特别行政区</t>
        </is>
      </c>
      <c r="Q1158" s="3" t="n">
        <v>721452295</v>
      </c>
      <c r="R1158" s="3" t="inlineStr">
        <is>
          <t>HungryKorean(青衣城）</t>
        </is>
      </c>
      <c r="S1158" s="3" t="inlineStr">
        <is>
          <t>****91955723</t>
        </is>
      </c>
      <c r="T1158" s="3" t="inlineStr">
        <is>
          <t>****91955723</t>
        </is>
      </c>
      <c r="U1158" s="3" t="inlineStr">
        <is>
          <t>***** 樓226號鋪</t>
        </is>
      </c>
      <c r="V1158" s="3" t="inlineStr">
        <is>
          <t>香港</t>
        </is>
      </c>
      <c r="W1158" s="3" t="inlineStr">
        <is>
          <t>机纸/小票纸 / 包出</t>
        </is>
      </c>
      <c r="X1158" s="3" t="inlineStr">
        <is>
          <t>ESS-SFTS-OTMS</t>
        </is>
      </c>
      <c r="Y1158" s="3" t="n"/>
      <c r="Z1158" s="3" t="inlineStr"/>
      <c r="AA1158" s="3" t="inlineStr">
        <is>
          <t>寄付月結</t>
        </is>
      </c>
      <c r="AB1158">
        <f>IFERROR(VLOOKUP(Q1158&amp;"",對照表!$A:$B,1,FALSE),"")</f>
        <v/>
      </c>
      <c r="AC1158">
        <f>IFERROR(VLOOKUP(Q1158&amp;"",對照表!$A:$B,2,FALSE),"")</f>
        <v/>
      </c>
    </row>
    <row r="1159">
      <c r="A1159" s="3" t="inlineStr">
        <is>
          <t>SF5113427653719</t>
        </is>
      </c>
      <c r="B1159" s="3" t="n">
        <v>58435485663421</v>
      </c>
      <c r="C1159" s="3" t="inlineStr">
        <is>
          <t>已簽收</t>
        </is>
      </c>
      <c r="D1159" s="3" t="inlineStr">
        <is>
          <t>2026-07-06 17:33:12</t>
        </is>
      </c>
      <c r="E1159" s="3" t="inlineStr">
        <is>
          <t>2026-07-07 13:35</t>
        </is>
      </c>
      <c r="F1159" s="3" t="n">
        <v>43.5</v>
      </c>
      <c r="G1159" s="3" t="n">
        <v>3</v>
      </c>
      <c r="H1159" s="3" t="n"/>
      <c r="I1159" s="3" t="inlineStr"/>
      <c r="J1159" s="3" t="inlineStr">
        <is>
          <t>Keeta</t>
        </is>
      </c>
      <c r="K1159" s="3" t="inlineStr">
        <is>
          <t>****9568</t>
        </is>
      </c>
      <c r="L1159" s="3" t="n"/>
      <c r="M1159" s="3" t="inlineStr">
        <is>
          <t>***** 物流中心5樓</t>
        </is>
      </c>
      <c r="N1159" s="3" t="inlineStr">
        <is>
          <t>北区</t>
        </is>
      </c>
      <c r="O1159" s="3" t="inlineStr">
        <is>
          <t>香港</t>
        </is>
      </c>
      <c r="P1159" s="3" t="inlineStr">
        <is>
          <t>香港特别行政区</t>
        </is>
      </c>
      <c r="Q1159" s="3" t="n">
        <v>721542374</v>
      </c>
      <c r="R1159" s="3" t="inlineStr">
        <is>
          <t>麥當勞(水泉澳)McDonalds</t>
        </is>
      </c>
      <c r="S1159" s="3" t="inlineStr">
        <is>
          <t>****27902526</t>
        </is>
      </c>
      <c r="T1159" s="3" t="inlineStr">
        <is>
          <t>****27902526</t>
        </is>
      </c>
      <c r="U1159" s="3" t="inlineStr">
        <is>
          <t>***** 場G12號舖</t>
        </is>
      </c>
      <c r="V1159" s="3" t="inlineStr">
        <is>
          <t>香港</t>
        </is>
      </c>
      <c r="W1159" s="3" t="inlineStr">
        <is>
          <t>纸袋【通版】/ 箱出</t>
        </is>
      </c>
      <c r="X1159" s="3" t="inlineStr">
        <is>
          <t>ESS-SFTS-OTMS</t>
        </is>
      </c>
      <c r="Y1159" s="3" t="n"/>
      <c r="Z1159" s="3" t="inlineStr"/>
      <c r="AA1159" s="3" t="inlineStr">
        <is>
          <t>寄付月結</t>
        </is>
      </c>
      <c r="AB1159">
        <f>IFERROR(VLOOKUP(Q1159&amp;"",對照表!$A:$B,1,FALSE),"")</f>
        <v/>
      </c>
      <c r="AC1159">
        <f>IFERROR(VLOOKUP(Q1159&amp;"",對照表!$A:$B,2,FALSE),"")</f>
        <v/>
      </c>
    </row>
    <row r="1160">
      <c r="A1160" s="3" t="inlineStr">
        <is>
          <t>SF5113427653807</t>
        </is>
      </c>
      <c r="B1160" s="3" t="n">
        <v>58435485663444</v>
      </c>
      <c r="C1160" s="3" t="inlineStr">
        <is>
          <t>已簽收</t>
        </is>
      </c>
      <c r="D1160" s="3" t="inlineStr">
        <is>
          <t>2026-07-06 16:44:29</t>
        </is>
      </c>
      <c r="E1160" s="3" t="inlineStr">
        <is>
          <t>2026-07-07 13:35</t>
        </is>
      </c>
      <c r="F1160" s="3" t="n">
        <v>0.67</v>
      </c>
      <c r="G1160" s="3" t="n">
        <v>1</v>
      </c>
      <c r="H1160" s="3" t="n"/>
      <c r="I1160" s="3" t="inlineStr"/>
      <c r="J1160" s="3" t="inlineStr">
        <is>
          <t>Keeta</t>
        </is>
      </c>
      <c r="K1160" s="3" t="inlineStr">
        <is>
          <t>****9568</t>
        </is>
      </c>
      <c r="L1160" s="3" t="n"/>
      <c r="M1160" s="3" t="inlineStr">
        <is>
          <t>***** 物流中心5樓</t>
        </is>
      </c>
      <c r="N1160" s="3" t="inlineStr">
        <is>
          <t>北区</t>
        </is>
      </c>
      <c r="O1160" s="3" t="inlineStr">
        <is>
          <t>香港</t>
        </is>
      </c>
      <c r="P1160" s="3" t="inlineStr">
        <is>
          <t>香港特别行政区</t>
        </is>
      </c>
      <c r="Q1160" s="3" t="n">
        <v>597166</v>
      </c>
      <c r="R1160" s="3" t="inlineStr">
        <is>
          <t>山葵日本料理（獅子石道）</t>
        </is>
      </c>
      <c r="S1160" s="3" t="inlineStr">
        <is>
          <t>****23882801</t>
        </is>
      </c>
      <c r="T1160" s="3" t="inlineStr">
        <is>
          <t>****23882801</t>
        </is>
      </c>
      <c r="U1160" s="3" t="inlineStr">
        <is>
          <t>***** 道26號地下</t>
        </is>
      </c>
      <c r="V1160" s="3" t="inlineStr">
        <is>
          <t>香港</t>
        </is>
      </c>
      <c r="W1160" s="3" t="inlineStr">
        <is>
          <t>机纸/小票纸 / 包出</t>
        </is>
      </c>
      <c r="X1160" s="3" t="inlineStr">
        <is>
          <t>ESS-SFTS-OTMS</t>
        </is>
      </c>
      <c r="Y1160" s="3" t="n"/>
      <c r="Z1160" s="3" t="inlineStr"/>
      <c r="AA1160" s="3" t="inlineStr">
        <is>
          <t>寄付月結</t>
        </is>
      </c>
      <c r="AB1160">
        <f>IFERROR(VLOOKUP(Q1160&amp;"",對照表!$A:$B,1,FALSE),"")</f>
        <v/>
      </c>
      <c r="AC1160">
        <f>IFERROR(VLOOKUP(Q1160&amp;"",對照表!$A:$B,2,FALSE),"")</f>
        <v/>
      </c>
    </row>
    <row r="1161">
      <c r="A1161" s="3" t="inlineStr">
        <is>
          <t>SF5113427653782</t>
        </is>
      </c>
      <c r="B1161" s="3" t="n">
        <v>58435485663440</v>
      </c>
      <c r="C1161" s="3" t="inlineStr">
        <is>
          <t>已簽收</t>
        </is>
      </c>
      <c r="D1161" s="3" t="inlineStr">
        <is>
          <t>2026-07-06 16:52:22</t>
        </is>
      </c>
      <c r="E1161" s="3" t="inlineStr">
        <is>
          <t>2026-07-07 10:35</t>
        </is>
      </c>
      <c r="F1161" s="3" t="n">
        <v>1.9</v>
      </c>
      <c r="G1161" s="3" t="n">
        <v>1</v>
      </c>
      <c r="H1161" s="3" t="n"/>
      <c r="I1161" s="3" t="inlineStr"/>
      <c r="J1161" s="3" t="inlineStr">
        <is>
          <t>Keeta</t>
        </is>
      </c>
      <c r="K1161" s="3" t="inlineStr">
        <is>
          <t>****9568</t>
        </is>
      </c>
      <c r="L1161" s="3" t="n"/>
      <c r="M1161" s="3" t="inlineStr">
        <is>
          <t>***** 物流中心5樓</t>
        </is>
      </c>
      <c r="N1161" s="3" t="inlineStr">
        <is>
          <t>北区</t>
        </is>
      </c>
      <c r="O1161" s="3" t="inlineStr">
        <is>
          <t>香港</t>
        </is>
      </c>
      <c r="P1161" s="3" t="inlineStr">
        <is>
          <t>香港特别行政区</t>
        </is>
      </c>
      <c r="Q1161" s="3" t="n">
        <v>463602</v>
      </c>
      <c r="R1161" s="3" t="inlineStr">
        <is>
          <t>BrassSpoon(灣仔店)米芝蓮推介越南河</t>
        </is>
      </c>
      <c r="S1161" s="3" t="inlineStr">
        <is>
          <t>****28770898</t>
        </is>
      </c>
      <c r="T1161" s="3" t="inlineStr">
        <is>
          <t>****28770898</t>
        </is>
      </c>
      <c r="U1161" s="3" t="inlineStr">
        <is>
          <t>***** 1號地下B舖</t>
        </is>
      </c>
      <c r="V1161" s="3" t="inlineStr">
        <is>
          <t>香港</t>
        </is>
      </c>
      <c r="W1161" s="3" t="inlineStr">
        <is>
          <t>机纸/小票纸 / 包出</t>
        </is>
      </c>
      <c r="X1161" s="3" t="inlineStr">
        <is>
          <t>ESS-SFTS-OTMS</t>
        </is>
      </c>
      <c r="Y1161" s="3" t="n"/>
      <c r="Z1161" s="3" t="inlineStr"/>
      <c r="AA1161" s="3" t="inlineStr">
        <is>
          <t>寄付月結</t>
        </is>
      </c>
      <c r="AB1161">
        <f>IFERROR(VLOOKUP(Q1161&amp;"",對照表!$A:$B,1,FALSE),"")</f>
        <v/>
      </c>
      <c r="AC1161">
        <f>IFERROR(VLOOKUP(Q1161&amp;"",對照表!$A:$B,2,FALSE),"")</f>
        <v/>
      </c>
    </row>
    <row r="1162">
      <c r="A1162" s="3" t="inlineStr">
        <is>
          <t>SF5113427653589</t>
        </is>
      </c>
      <c r="B1162" s="3" t="n">
        <v>58435485663338</v>
      </c>
      <c r="C1162" s="3" t="inlineStr">
        <is>
          <t>已簽收</t>
        </is>
      </c>
      <c r="D1162" s="3" t="inlineStr">
        <is>
          <t>2026-07-06 16:51:41</t>
        </is>
      </c>
      <c r="E1162" s="3" t="inlineStr">
        <is>
          <t>2026-07-07 13:37</t>
        </is>
      </c>
      <c r="F1162" s="3" t="n">
        <v>1.5</v>
      </c>
      <c r="G1162" s="3" t="n">
        <v>1</v>
      </c>
      <c r="H1162" s="3" t="n"/>
      <c r="I1162" s="3" t="inlineStr"/>
      <c r="J1162" s="3" t="inlineStr">
        <is>
          <t>Keeta</t>
        </is>
      </c>
      <c r="K1162" s="3" t="inlineStr">
        <is>
          <t>****9568</t>
        </is>
      </c>
      <c r="L1162" s="3" t="n"/>
      <c r="M1162" s="3" t="inlineStr">
        <is>
          <t>***** 物流中心5樓</t>
        </is>
      </c>
      <c r="N1162" s="3" t="inlineStr">
        <is>
          <t>北区</t>
        </is>
      </c>
      <c r="O1162" s="3" t="inlineStr">
        <is>
          <t>香港</t>
        </is>
      </c>
      <c r="P1162" s="3" t="inlineStr">
        <is>
          <t>香港特别行政区</t>
        </is>
      </c>
      <c r="Q1162" s="3" t="n">
        <v>469818</v>
      </c>
      <c r="R1162" s="3" t="inlineStr">
        <is>
          <t>大自然素食(荃灣店)19年老字號你的健康之選</t>
        </is>
      </c>
      <c r="S1162" s="3" t="inlineStr">
        <is>
          <t>****21481819</t>
        </is>
      </c>
      <c r="T1162" s="3" t="inlineStr">
        <is>
          <t>****21481819</t>
        </is>
      </c>
      <c r="U1162" s="3" t="inlineStr">
        <is>
          <t>***** 樓433號舖</t>
        </is>
      </c>
      <c r="V1162" s="3" t="inlineStr">
        <is>
          <t>香港</t>
        </is>
      </c>
      <c r="W1162" s="3" t="inlineStr">
        <is>
          <t>机纸/小票纸 / 包出</t>
        </is>
      </c>
      <c r="X1162" s="3" t="inlineStr">
        <is>
          <t>ESS-SFTS-OTMS</t>
        </is>
      </c>
      <c r="Y1162" s="3" t="n"/>
      <c r="Z1162" s="3" t="inlineStr"/>
      <c r="AA1162" s="3" t="inlineStr">
        <is>
          <t>寄付月結</t>
        </is>
      </c>
      <c r="AB1162">
        <f>IFERROR(VLOOKUP(Q1162&amp;"",對照表!$A:$B,1,FALSE),"")</f>
        <v/>
      </c>
      <c r="AC1162">
        <f>IFERROR(VLOOKUP(Q1162&amp;"",對照表!$A:$B,2,FALSE),"")</f>
        <v/>
      </c>
    </row>
    <row r="1163">
      <c r="A1163" s="3" t="inlineStr">
        <is>
          <t>SF5113427653322</t>
        </is>
      </c>
      <c r="B1163" s="3" t="n">
        <v>58435485663282</v>
      </c>
      <c r="C1163" s="3" t="inlineStr">
        <is>
          <t>已簽收</t>
        </is>
      </c>
      <c r="D1163" s="3" t="inlineStr">
        <is>
          <t>2026-07-06 15:28:32</t>
        </is>
      </c>
      <c r="E1163" s="3" t="inlineStr">
        <is>
          <t>2026-07-07 12:34</t>
        </is>
      </c>
      <c r="F1163" s="3" t="n">
        <v>145</v>
      </c>
      <c r="G1163" s="3" t="n">
        <v>10</v>
      </c>
      <c r="H1163" s="3" t="n"/>
      <c r="I1163" s="3" t="inlineStr"/>
      <c r="J1163" s="3" t="inlineStr">
        <is>
          <t>Keeta</t>
        </is>
      </c>
      <c r="K1163" s="3" t="inlineStr">
        <is>
          <t>****9568</t>
        </is>
      </c>
      <c r="L1163" s="3" t="n"/>
      <c r="M1163" s="3" t="inlineStr">
        <is>
          <t>***** 物流中心5樓</t>
        </is>
      </c>
      <c r="N1163" s="3" t="inlineStr">
        <is>
          <t>北区</t>
        </is>
      </c>
      <c r="O1163" s="3" t="inlineStr">
        <is>
          <t>香港</t>
        </is>
      </c>
      <c r="P1163" s="3" t="inlineStr">
        <is>
          <t>香港特别行政区</t>
        </is>
      </c>
      <c r="Q1163" s="3" t="n">
        <v>576565</v>
      </c>
      <c r="R1163" s="3" t="inlineStr">
        <is>
          <t>麥當勞(衛城道)McDonalds</t>
        </is>
      </c>
      <c r="S1163" s="3" t="inlineStr">
        <is>
          <t>****29152623</t>
        </is>
      </c>
      <c r="T1163" s="3" t="inlineStr">
        <is>
          <t>****29152623</t>
        </is>
      </c>
      <c r="U1163" s="3" t="inlineStr">
        <is>
          <t>***** 號A地下下層</t>
        </is>
      </c>
      <c r="V1163" s="3" t="inlineStr">
        <is>
          <t>香港</t>
        </is>
      </c>
      <c r="W1163" s="3" t="inlineStr">
        <is>
          <t>纸袋【通版】/ 箱出</t>
        </is>
      </c>
      <c r="X1163" s="3" t="inlineStr">
        <is>
          <t>ESS-SFTS-OTMS</t>
        </is>
      </c>
      <c r="Y1163" s="3" t="n"/>
      <c r="Z1163" s="3" t="inlineStr"/>
      <c r="AA1163" s="3" t="inlineStr">
        <is>
          <t>寄付月結</t>
        </is>
      </c>
      <c r="AB1163">
        <f>IFERROR(VLOOKUP(Q1163&amp;"",對照表!$A:$B,1,FALSE),"")</f>
        <v/>
      </c>
      <c r="AC1163">
        <f>IFERROR(VLOOKUP(Q1163&amp;"",對照表!$A:$B,2,FALSE),"")</f>
        <v/>
      </c>
    </row>
    <row r="1164">
      <c r="A1164" s="3" t="inlineStr">
        <is>
          <t>SF5113427653631</t>
        </is>
      </c>
      <c r="B1164" s="3" t="n">
        <v>58435485663350</v>
      </c>
      <c r="C1164" s="3" t="inlineStr">
        <is>
          <t>已簽收</t>
        </is>
      </c>
      <c r="D1164" s="3" t="inlineStr">
        <is>
          <t>2026-07-06 16:51:41</t>
        </is>
      </c>
      <c r="E1164" s="3" t="inlineStr">
        <is>
          <t>2026-07-07 14:37</t>
        </is>
      </c>
      <c r="F1164" s="3" t="n">
        <v>1.5</v>
      </c>
      <c r="G1164" s="3" t="n">
        <v>1</v>
      </c>
      <c r="H1164" s="3" t="n"/>
      <c r="I1164" s="3" t="inlineStr"/>
      <c r="J1164" s="3" t="inlineStr">
        <is>
          <t>Keeta</t>
        </is>
      </c>
      <c r="K1164" s="3" t="inlineStr">
        <is>
          <t>****9568</t>
        </is>
      </c>
      <c r="L1164" s="3" t="n"/>
      <c r="M1164" s="3" t="inlineStr">
        <is>
          <t>***** 物流中心5樓</t>
        </is>
      </c>
      <c r="N1164" s="3" t="inlineStr">
        <is>
          <t>北区</t>
        </is>
      </c>
      <c r="O1164" s="3" t="inlineStr">
        <is>
          <t>香港</t>
        </is>
      </c>
      <c r="P1164" s="3" t="inlineStr">
        <is>
          <t>香港特别行政区</t>
        </is>
      </c>
      <c r="Q1164" s="3" t="n">
        <v>600658</v>
      </c>
      <c r="R1164" s="3" t="inlineStr">
        <is>
          <t>霧鮮(首創開心豆腐)</t>
        </is>
      </c>
      <c r="S1164" s="3" t="inlineStr">
        <is>
          <t>****91355398</t>
        </is>
      </c>
      <c r="T1164" s="3" t="inlineStr">
        <is>
          <t>****91355398</t>
        </is>
      </c>
      <c r="U1164" s="3" t="inlineStr">
        <is>
          <t>***** SB03號舖</t>
        </is>
      </c>
      <c r="V1164" s="3" t="inlineStr">
        <is>
          <t>香港</t>
        </is>
      </c>
      <c r="W1164" s="3" t="inlineStr">
        <is>
          <t>机纸/小票纸 / 包出</t>
        </is>
      </c>
      <c r="X1164" s="3" t="inlineStr">
        <is>
          <t>ESS-SFTS-OTMS</t>
        </is>
      </c>
      <c r="Y1164" s="3" t="n"/>
      <c r="Z1164" s="3" t="inlineStr"/>
      <c r="AA1164" s="3" t="inlineStr">
        <is>
          <t>寄付月結</t>
        </is>
      </c>
      <c r="AB1164">
        <f>IFERROR(VLOOKUP(Q1164&amp;"",對照表!$A:$B,1,FALSE),"")</f>
        <v/>
      </c>
      <c r="AC1164">
        <f>IFERROR(VLOOKUP(Q1164&amp;"",對照表!$A:$B,2,FALSE),"")</f>
        <v/>
      </c>
    </row>
    <row r="1165">
      <c r="A1165" s="3" t="inlineStr">
        <is>
          <t>SF5113427653755</t>
        </is>
      </c>
      <c r="B1165" s="3" t="n">
        <v>58435485663432</v>
      </c>
      <c r="C1165" s="3" t="inlineStr">
        <is>
          <t>已簽收</t>
        </is>
      </c>
      <c r="D1165" s="3" t="inlineStr">
        <is>
          <t>2026-07-06 17:08:23</t>
        </is>
      </c>
      <c r="E1165" s="3" t="inlineStr">
        <is>
          <t>2026-07-07 11:40</t>
        </is>
      </c>
      <c r="F1165" s="3" t="n">
        <v>3.8</v>
      </c>
      <c r="G1165" s="3" t="n">
        <v>1</v>
      </c>
      <c r="H1165" s="3" t="n"/>
      <c r="I1165" s="3" t="inlineStr"/>
      <c r="J1165" s="3" t="inlineStr">
        <is>
          <t>Keeta</t>
        </is>
      </c>
      <c r="K1165" s="3" t="inlineStr">
        <is>
          <t>****9568</t>
        </is>
      </c>
      <c r="L1165" s="3" t="n"/>
      <c r="M1165" s="3" t="inlineStr">
        <is>
          <t>***** 物流中心5樓</t>
        </is>
      </c>
      <c r="N1165" s="3" t="inlineStr">
        <is>
          <t>北区</t>
        </is>
      </c>
      <c r="O1165" s="3" t="inlineStr">
        <is>
          <t>香港</t>
        </is>
      </c>
      <c r="P1165" s="3" t="inlineStr">
        <is>
          <t>香港特别行政区</t>
        </is>
      </c>
      <c r="Q1165" s="3" t="n">
        <v>721536386</v>
      </c>
      <c r="R1165" s="3" t="inlineStr">
        <is>
          <t>沙縣小吃</t>
        </is>
      </c>
      <c r="S1165" s="3" t="inlineStr">
        <is>
          <t>****69290062</t>
        </is>
      </c>
      <c r="T1165" s="3" t="inlineStr">
        <is>
          <t>****69290062</t>
        </is>
      </c>
      <c r="U1165" s="3" t="inlineStr">
        <is>
          <t>***** 地下13B號</t>
        </is>
      </c>
      <c r="V1165" s="3" t="inlineStr">
        <is>
          <t>香港</t>
        </is>
      </c>
      <c r="W1165" s="3" t="inlineStr">
        <is>
          <t>封签【通版】/ 扎出</t>
        </is>
      </c>
      <c r="X1165" s="3" t="inlineStr">
        <is>
          <t>ESS-SFTS-OTMS</t>
        </is>
      </c>
      <c r="Y1165" s="3" t="n"/>
      <c r="Z1165" s="3" t="inlineStr"/>
      <c r="AA1165" s="3" t="inlineStr">
        <is>
          <t>寄付月結</t>
        </is>
      </c>
      <c r="AB1165">
        <f>IFERROR(VLOOKUP(Q1165&amp;"",對照表!$A:$B,1,FALSE),"")</f>
        <v/>
      </c>
      <c r="AC1165">
        <f>IFERROR(VLOOKUP(Q1165&amp;"",對照表!$A:$B,2,FALSE),"")</f>
        <v/>
      </c>
    </row>
    <row r="1166">
      <c r="A1166" s="3" t="inlineStr">
        <is>
          <t>SF5113427653700</t>
        </is>
      </c>
      <c r="B1166" s="3" t="n">
        <v>58435485663377</v>
      </c>
      <c r="C1166" s="3" t="inlineStr">
        <is>
          <t>已簽收</t>
        </is>
      </c>
      <c r="D1166" s="3" t="inlineStr">
        <is>
          <t>2026-07-06 17:04:52</t>
        </is>
      </c>
      <c r="E1166" s="3" t="inlineStr">
        <is>
          <t>2026-07-07 12:14</t>
        </is>
      </c>
      <c r="F1166" s="3" t="n">
        <v>2.36</v>
      </c>
      <c r="G1166" s="3" t="n">
        <v>1</v>
      </c>
      <c r="H1166" s="3" t="n"/>
      <c r="I1166" s="3" t="inlineStr"/>
      <c r="J1166" s="3" t="inlineStr">
        <is>
          <t>Keeta</t>
        </is>
      </c>
      <c r="K1166" s="3" t="inlineStr">
        <is>
          <t>****9568</t>
        </is>
      </c>
      <c r="L1166" s="3" t="n"/>
      <c r="M1166" s="3" t="inlineStr">
        <is>
          <t>***** 物流中心5樓</t>
        </is>
      </c>
      <c r="N1166" s="3" t="inlineStr">
        <is>
          <t>北区</t>
        </is>
      </c>
      <c r="O1166" s="3" t="inlineStr">
        <is>
          <t>香港</t>
        </is>
      </c>
      <c r="P1166" s="3" t="inlineStr">
        <is>
          <t>香港特别行政区</t>
        </is>
      </c>
      <c r="Q1166" s="3" t="n">
        <v>478097</v>
      </c>
      <c r="R1166" s="3" t="inlineStr">
        <is>
          <t>泰味屋銅鑼灣爆款泰奶椰汁冰</t>
        </is>
      </c>
      <c r="S1166" s="3" t="inlineStr">
        <is>
          <t>****92914730</t>
        </is>
      </c>
      <c r="T1166" s="3" t="inlineStr">
        <is>
          <t>****92914730</t>
        </is>
      </c>
      <c r="U1166" s="3" t="inlineStr">
        <is>
          <t>***** 灣道140號</t>
        </is>
      </c>
      <c r="V1166" s="3" t="inlineStr">
        <is>
          <t>香港</t>
        </is>
      </c>
      <c r="W1166" s="3" t="inlineStr">
        <is>
          <t>机纸/小票纸 / 包出</t>
        </is>
      </c>
      <c r="X1166" s="3" t="inlineStr">
        <is>
          <t>ESS-SFTS-OTMS</t>
        </is>
      </c>
      <c r="Y1166" s="3" t="n"/>
      <c r="Z1166" s="3" t="inlineStr"/>
      <c r="AA1166" s="3" t="inlineStr">
        <is>
          <t>寄付月結</t>
        </is>
      </c>
      <c r="AB1166">
        <f>IFERROR(VLOOKUP(Q1166&amp;"",對照表!$A:$B,1,FALSE),"")</f>
        <v/>
      </c>
      <c r="AC1166">
        <f>IFERROR(VLOOKUP(Q1166&amp;"",對照表!$A:$B,2,FALSE),"")</f>
        <v/>
      </c>
    </row>
    <row r="1167">
      <c r="A1167" s="3" t="inlineStr">
        <is>
          <t>SF5113427653225</t>
        </is>
      </c>
      <c r="B1167" s="3" t="n">
        <v>58435485663264</v>
      </c>
      <c r="C1167" s="3" t="inlineStr">
        <is>
          <t>已簽收</t>
        </is>
      </c>
      <c r="D1167" s="3" t="inlineStr">
        <is>
          <t>2026-07-06 16:07:12</t>
        </is>
      </c>
      <c r="E1167" s="3" t="inlineStr">
        <is>
          <t>2026-07-07 15:22</t>
        </is>
      </c>
      <c r="F1167" s="3" t="n">
        <v>4.45</v>
      </c>
      <c r="G1167" s="3" t="n">
        <v>1</v>
      </c>
      <c r="H1167" s="3" t="n"/>
      <c r="I1167" s="3" t="inlineStr"/>
      <c r="J1167" s="3" t="inlineStr">
        <is>
          <t>Keeta</t>
        </is>
      </c>
      <c r="K1167" s="3" t="inlineStr">
        <is>
          <t>****9568</t>
        </is>
      </c>
      <c r="L1167" s="3" t="n"/>
      <c r="M1167" s="3" t="inlineStr">
        <is>
          <t>***** 物流中心5樓</t>
        </is>
      </c>
      <c r="N1167" s="3" t="inlineStr">
        <is>
          <t>北区</t>
        </is>
      </c>
      <c r="O1167" s="3" t="inlineStr">
        <is>
          <t>香港</t>
        </is>
      </c>
      <c r="P1167" s="3" t="inlineStr">
        <is>
          <t>香港特别行政区</t>
        </is>
      </c>
      <c r="Q1167" s="3" t="n">
        <v>721442305</v>
      </c>
      <c r="R1167" s="3" t="inlineStr">
        <is>
          <t>林記串燒坊(安泰)麻辣燙串燒專門店</t>
        </is>
      </c>
      <c r="S1167" s="3" t="inlineStr">
        <is>
          <t>****98832265</t>
        </is>
      </c>
      <c r="T1167" s="3" t="inlineStr">
        <is>
          <t>****98832265</t>
        </is>
      </c>
      <c r="U1167" s="3" t="inlineStr">
        <is>
          <t>***** 下低層14號</t>
        </is>
      </c>
      <c r="V1167" s="3" t="inlineStr">
        <is>
          <t>香港</t>
        </is>
      </c>
      <c r="W1167" s="3" t="inlineStr">
        <is>
          <t>机纸/小票纸 / 包出</t>
        </is>
      </c>
      <c r="X1167" s="3" t="inlineStr">
        <is>
          <t>ESS-SFTS-OTMS</t>
        </is>
      </c>
      <c r="Y1167" s="3" t="n"/>
      <c r="Z1167" s="3" t="inlineStr"/>
      <c r="AA1167" s="3" t="inlineStr">
        <is>
          <t>寄付月結</t>
        </is>
      </c>
      <c r="AB1167">
        <f>IFERROR(VLOOKUP(Q1167&amp;"",對照表!$A:$B,1,FALSE),"")</f>
        <v/>
      </c>
      <c r="AC1167">
        <f>IFERROR(VLOOKUP(Q1167&amp;"",對照表!$A:$B,2,FALSE),"")</f>
        <v/>
      </c>
    </row>
    <row r="1168">
      <c r="A1168" s="3" t="inlineStr">
        <is>
          <t>SF5113427653155</t>
        </is>
      </c>
      <c r="B1168" s="3" t="n">
        <v>58435485663242</v>
      </c>
      <c r="C1168" s="3" t="inlineStr">
        <is>
          <t>已簽收</t>
        </is>
      </c>
      <c r="D1168" s="3" t="inlineStr">
        <is>
          <t>2026-07-06 16:07:09</t>
        </is>
      </c>
      <c r="E1168" s="3" t="inlineStr">
        <is>
          <t>2026-07-07 10:48</t>
        </is>
      </c>
      <c r="F1168" s="3" t="n">
        <v>4.45</v>
      </c>
      <c r="G1168" s="3" t="n">
        <v>1</v>
      </c>
      <c r="H1168" s="3" t="n"/>
      <c r="I1168" s="3" t="inlineStr"/>
      <c r="J1168" s="3" t="inlineStr">
        <is>
          <t>Keeta</t>
        </is>
      </c>
      <c r="K1168" s="3" t="inlineStr">
        <is>
          <t>****9568</t>
        </is>
      </c>
      <c r="L1168" s="3" t="n"/>
      <c r="M1168" s="3" t="inlineStr">
        <is>
          <t>***** 物流中心5樓</t>
        </is>
      </c>
      <c r="N1168" s="3" t="inlineStr">
        <is>
          <t>北区</t>
        </is>
      </c>
      <c r="O1168" s="3" t="inlineStr">
        <is>
          <t>香港</t>
        </is>
      </c>
      <c r="P1168" s="3" t="inlineStr">
        <is>
          <t>香港特别行政区</t>
        </is>
      </c>
      <c r="Q1168" s="3" t="n">
        <v>468273</v>
      </c>
      <c r="R1168" s="3" t="inlineStr">
        <is>
          <t>高山滷水打冷小廚</t>
        </is>
      </c>
      <c r="S1168" s="3" t="inlineStr">
        <is>
          <t>****55425987</t>
        </is>
      </c>
      <c r="T1168" s="3" t="inlineStr">
        <is>
          <t>****55425987</t>
        </is>
      </c>
      <c r="U1168" s="3" t="inlineStr">
        <is>
          <t>***** 樓101地鋪</t>
        </is>
      </c>
      <c r="V1168" s="3" t="inlineStr">
        <is>
          <t>香港</t>
        </is>
      </c>
      <c r="W1168" s="3" t="inlineStr">
        <is>
          <t>机纸/小票纸 / 包出</t>
        </is>
      </c>
      <c r="X1168" s="3" t="inlineStr">
        <is>
          <t>ESS-SFTS-OTMS</t>
        </is>
      </c>
      <c r="Y1168" s="3" t="n"/>
      <c r="Z1168" s="3" t="inlineStr"/>
      <c r="AA1168" s="3" t="inlineStr">
        <is>
          <t>寄付月結</t>
        </is>
      </c>
      <c r="AB1168">
        <f>IFERROR(VLOOKUP(Q1168&amp;"",對照表!$A:$B,1,FALSE),"")</f>
        <v/>
      </c>
      <c r="AC1168">
        <f>IFERROR(VLOOKUP(Q1168&amp;"",對照表!$A:$B,2,FALSE),"")</f>
        <v/>
      </c>
    </row>
    <row r="1169">
      <c r="A1169" s="3" t="inlineStr">
        <is>
          <t>SF5113427653146</t>
        </is>
      </c>
      <c r="B1169" s="3" t="n">
        <v>58435485663240</v>
      </c>
      <c r="C1169" s="3" t="inlineStr">
        <is>
          <t>已簽收</t>
        </is>
      </c>
      <c r="D1169" s="3" t="inlineStr">
        <is>
          <t>2026-07-06 16:10:28</t>
        </is>
      </c>
      <c r="E1169" s="3" t="inlineStr">
        <is>
          <t>2026-07-07 11:11</t>
        </is>
      </c>
      <c r="F1169" s="3" t="n">
        <v>58</v>
      </c>
      <c r="G1169" s="3" t="n">
        <v>4</v>
      </c>
      <c r="H1169" s="3" t="n"/>
      <c r="I1169" s="3" t="inlineStr"/>
      <c r="J1169" s="3" t="inlineStr">
        <is>
          <t>Keeta</t>
        </is>
      </c>
      <c r="K1169" s="3" t="inlineStr">
        <is>
          <t>****9568</t>
        </is>
      </c>
      <c r="L1169" s="3" t="n"/>
      <c r="M1169" s="3" t="inlineStr">
        <is>
          <t>***** 物流中心5樓</t>
        </is>
      </c>
      <c r="N1169" s="3" t="inlineStr">
        <is>
          <t>北区</t>
        </is>
      </c>
      <c r="O1169" s="3" t="inlineStr">
        <is>
          <t>香港</t>
        </is>
      </c>
      <c r="P1169" s="3" t="inlineStr">
        <is>
          <t>香港特别行政区</t>
        </is>
      </c>
      <c r="Q1169" s="3" t="n">
        <v>465489</v>
      </c>
      <c r="R1169" s="3" t="inlineStr">
        <is>
          <t>麥當勞(般咸道)McDonalds</t>
        </is>
      </c>
      <c r="S1169" s="3" t="inlineStr">
        <is>
          <t>****25461671</t>
        </is>
      </c>
      <c r="T1169" s="3" t="inlineStr">
        <is>
          <t>****25461671</t>
        </is>
      </c>
      <c r="U1169" s="3" t="inlineStr">
        <is>
          <t>***** C及低層地下</t>
        </is>
      </c>
      <c r="V1169" s="3" t="inlineStr">
        <is>
          <t>香港</t>
        </is>
      </c>
      <c r="W1169" s="3" t="inlineStr">
        <is>
          <t>纸袋【通版】/ 箱出</t>
        </is>
      </c>
      <c r="X1169" s="3" t="inlineStr">
        <is>
          <t>ESS-SFTS-OTMS</t>
        </is>
      </c>
      <c r="Y1169" s="3" t="n"/>
      <c r="Z1169" s="3" t="inlineStr"/>
      <c r="AA1169" s="3" t="inlineStr">
        <is>
          <t>寄付月結</t>
        </is>
      </c>
      <c r="AB1169">
        <f>IFERROR(VLOOKUP(Q1169&amp;"",對照表!$A:$B,1,FALSE),"")</f>
        <v/>
      </c>
      <c r="AC1169">
        <f>IFERROR(VLOOKUP(Q1169&amp;"",對照表!$A:$B,2,FALSE),"")</f>
        <v/>
      </c>
    </row>
    <row r="1170">
      <c r="A1170" s="3" t="inlineStr">
        <is>
          <t>SF5113427653331</t>
        </is>
      </c>
      <c r="B1170" s="3" t="n">
        <v>58435485663284</v>
      </c>
      <c r="C1170" s="3" t="inlineStr">
        <is>
          <t>已簽收</t>
        </is>
      </c>
      <c r="D1170" s="3" t="inlineStr">
        <is>
          <t>2026-07-06 15:35:46</t>
        </is>
      </c>
      <c r="E1170" s="3" t="inlineStr">
        <is>
          <t>2026-07-07 12:06</t>
        </is>
      </c>
      <c r="F1170" s="3" t="n">
        <v>87</v>
      </c>
      <c r="G1170" s="3" t="n">
        <v>6</v>
      </c>
      <c r="H1170" s="3" t="n"/>
      <c r="I1170" s="3" t="inlineStr"/>
      <c r="J1170" s="3" t="inlineStr">
        <is>
          <t>Keeta</t>
        </is>
      </c>
      <c r="K1170" s="3" t="inlineStr">
        <is>
          <t>****9568</t>
        </is>
      </c>
      <c r="L1170" s="3" t="n"/>
      <c r="M1170" s="3" t="inlineStr">
        <is>
          <t>***** 物流中心5樓</t>
        </is>
      </c>
      <c r="N1170" s="3" t="inlineStr">
        <is>
          <t>北区</t>
        </is>
      </c>
      <c r="O1170" s="3" t="inlineStr">
        <is>
          <t>香港</t>
        </is>
      </c>
      <c r="P1170" s="3" t="inlineStr">
        <is>
          <t>香港特别行政区</t>
        </is>
      </c>
      <c r="Q1170" s="3" t="n">
        <v>465351</v>
      </c>
      <c r="R1170" s="3" t="inlineStr">
        <is>
          <t>麥當勞(馬頭圍)McDonalds</t>
        </is>
      </c>
      <c r="S1170" s="3" t="inlineStr">
        <is>
          <t>****22468290</t>
        </is>
      </c>
      <c r="T1170" s="3" t="inlineStr">
        <is>
          <t>****22468290</t>
        </is>
      </c>
      <c r="U1170" s="3" t="inlineStr">
        <is>
          <t>***** 場地下1號舖</t>
        </is>
      </c>
      <c r="V1170" s="3" t="inlineStr">
        <is>
          <t>香港</t>
        </is>
      </c>
      <c r="W1170" s="3" t="inlineStr">
        <is>
          <t>纸袋【通版】/ 箱出</t>
        </is>
      </c>
      <c r="X1170" s="3" t="inlineStr">
        <is>
          <t>ESS-SFTS-OTMS</t>
        </is>
      </c>
      <c r="Y1170" s="3" t="n"/>
      <c r="Z1170" s="3" t="inlineStr"/>
      <c r="AA1170" s="3" t="inlineStr">
        <is>
          <t>寄付月結</t>
        </is>
      </c>
      <c r="AB1170">
        <f>IFERROR(VLOOKUP(Q1170&amp;"",對照表!$A:$B,1,FALSE),"")</f>
        <v/>
      </c>
      <c r="AC1170">
        <f>IFERROR(VLOOKUP(Q1170&amp;"",對照表!$A:$B,2,FALSE),"")</f>
        <v/>
      </c>
    </row>
    <row r="1171">
      <c r="A1171" s="3" t="inlineStr">
        <is>
          <t>SF5113427653659</t>
        </is>
      </c>
      <c r="B1171" s="3" t="n">
        <v>58435485663354</v>
      </c>
      <c r="C1171" s="3" t="inlineStr">
        <is>
          <t>已簽收</t>
        </is>
      </c>
      <c r="D1171" s="3" t="inlineStr">
        <is>
          <t>2026-07-06 16:15:25</t>
        </is>
      </c>
      <c r="E1171" s="3" t="inlineStr">
        <is>
          <t>2026-07-07 11:01</t>
        </is>
      </c>
      <c r="F1171" s="3" t="n">
        <v>4.45</v>
      </c>
      <c r="G1171" s="3" t="n">
        <v>1</v>
      </c>
      <c r="H1171" s="3" t="n"/>
      <c r="I1171" s="3" t="inlineStr"/>
      <c r="J1171" s="3" t="inlineStr">
        <is>
          <t>Keeta</t>
        </is>
      </c>
      <c r="K1171" s="3" t="inlineStr">
        <is>
          <t>****9568</t>
        </is>
      </c>
      <c r="L1171" s="3" t="n"/>
      <c r="M1171" s="3" t="inlineStr">
        <is>
          <t>***** 物流中心5樓</t>
        </is>
      </c>
      <c r="N1171" s="3" t="inlineStr">
        <is>
          <t>北区</t>
        </is>
      </c>
      <c r="O1171" s="3" t="inlineStr">
        <is>
          <t>香港</t>
        </is>
      </c>
      <c r="P1171" s="3" t="inlineStr">
        <is>
          <t>香港特别行政区</t>
        </is>
      </c>
      <c r="Q1171" s="3" t="n">
        <v>721448340</v>
      </c>
      <c r="R1171" s="3" t="inlineStr">
        <is>
          <t>馬得里餐廳(荔枝角)</t>
        </is>
      </c>
      <c r="S1171" s="3" t="inlineStr">
        <is>
          <t>****36191159</t>
        </is>
      </c>
      <c r="T1171" s="3" t="inlineStr">
        <is>
          <t>****36191159</t>
        </is>
      </c>
      <c r="U1171" s="3" t="inlineStr">
        <is>
          <t>***** G09C號舖</t>
        </is>
      </c>
      <c r="V1171" s="3" t="inlineStr">
        <is>
          <t>香港</t>
        </is>
      </c>
      <c r="W1171" s="3" t="inlineStr">
        <is>
          <t>机纸/小票纸 / 包出</t>
        </is>
      </c>
      <c r="X1171" s="3" t="inlineStr">
        <is>
          <t>ESS-SFTS-OTMS</t>
        </is>
      </c>
      <c r="Y1171" s="3" t="n"/>
      <c r="Z1171" s="3" t="inlineStr"/>
      <c r="AA1171" s="3" t="inlineStr">
        <is>
          <t>寄付月結</t>
        </is>
      </c>
      <c r="AB1171">
        <f>IFERROR(VLOOKUP(Q1171&amp;"",對照表!$A:$B,1,FALSE),"")</f>
        <v/>
      </c>
      <c r="AC1171">
        <f>IFERROR(VLOOKUP(Q1171&amp;"",對照表!$A:$B,2,FALSE),"")</f>
        <v/>
      </c>
    </row>
    <row r="1172">
      <c r="A1172" s="3" t="inlineStr">
        <is>
          <t>SF5113427653737</t>
        </is>
      </c>
      <c r="B1172" s="3" t="n">
        <v>58435485663426</v>
      </c>
      <c r="C1172" s="3" t="inlineStr">
        <is>
          <t>已簽收</t>
        </is>
      </c>
      <c r="D1172" s="3" t="inlineStr">
        <is>
          <t>2026-07-06 17:11:15</t>
        </is>
      </c>
      <c r="E1172" s="3" t="inlineStr">
        <is>
          <t>2026-07-07 11:55</t>
        </is>
      </c>
      <c r="F1172" s="3" t="n">
        <v>2.8</v>
      </c>
      <c r="G1172" s="3" t="n">
        <v>1</v>
      </c>
      <c r="H1172" s="3" t="n"/>
      <c r="I1172" s="3" t="inlineStr"/>
      <c r="J1172" s="3" t="inlineStr">
        <is>
          <t>Keeta</t>
        </is>
      </c>
      <c r="K1172" s="3" t="inlineStr">
        <is>
          <t>****9568</t>
        </is>
      </c>
      <c r="L1172" s="3" t="n"/>
      <c r="M1172" s="3" t="inlineStr">
        <is>
          <t>***** 物流中心5樓</t>
        </is>
      </c>
      <c r="N1172" s="3" t="inlineStr">
        <is>
          <t>北区</t>
        </is>
      </c>
      <c r="O1172" s="3" t="inlineStr">
        <is>
          <t>香港</t>
        </is>
      </c>
      <c r="P1172" s="3" t="inlineStr">
        <is>
          <t>香港特别行政区</t>
        </is>
      </c>
      <c r="Q1172" s="3" t="n">
        <v>489442</v>
      </c>
      <c r="R1172" s="3" t="inlineStr">
        <is>
          <t>星燒味超值美味燒味</t>
        </is>
      </c>
      <c r="S1172" s="3" t="inlineStr">
        <is>
          <t>****51999686</t>
        </is>
      </c>
      <c r="T1172" s="3" t="inlineStr">
        <is>
          <t>****51999686</t>
        </is>
      </c>
      <c r="U1172" s="3" t="inlineStr">
        <is>
          <t>***** 寶發大廈地舖</t>
        </is>
      </c>
      <c r="V1172" s="3" t="inlineStr">
        <is>
          <t>香港</t>
        </is>
      </c>
      <c r="W1172" s="3" t="inlineStr">
        <is>
          <t>机纸/小票纸 / 包出</t>
        </is>
      </c>
      <c r="X1172" s="3" t="inlineStr">
        <is>
          <t>ESS-SFTS-OTMS</t>
        </is>
      </c>
      <c r="Y1172" s="3" t="n"/>
      <c r="Z1172" s="3" t="inlineStr"/>
      <c r="AA1172" s="3" t="inlineStr">
        <is>
          <t>寄付月結</t>
        </is>
      </c>
      <c r="AB1172">
        <f>IFERROR(VLOOKUP(Q1172&amp;"",對照表!$A:$B,1,FALSE),"")</f>
        <v/>
      </c>
      <c r="AC1172">
        <f>IFERROR(VLOOKUP(Q1172&amp;"",對照表!$A:$B,2,FALSE),"")</f>
        <v/>
      </c>
    </row>
    <row r="1173">
      <c r="A1173" s="3" t="inlineStr">
        <is>
          <t>SF5113427653507</t>
        </is>
      </c>
      <c r="B1173" s="3" t="n">
        <v>58435485663322</v>
      </c>
      <c r="C1173" s="3" t="inlineStr">
        <is>
          <t>派送中</t>
        </is>
      </c>
      <c r="D1173" s="3" t="inlineStr">
        <is>
          <t>2026-07-06 15:19:21</t>
        </is>
      </c>
      <c r="E1173" s="3" t="n"/>
      <c r="F1173" s="3" t="n">
        <v>14.5</v>
      </c>
      <c r="G1173" s="3" t="n">
        <v>1</v>
      </c>
      <c r="H1173" s="3" t="n"/>
      <c r="I1173" s="3" t="inlineStr"/>
      <c r="J1173" s="3" t="inlineStr">
        <is>
          <t>Keeta</t>
        </is>
      </c>
      <c r="K1173" s="3" t="inlineStr">
        <is>
          <t>****9568</t>
        </is>
      </c>
      <c r="L1173" s="3" t="n"/>
      <c r="M1173" s="3" t="inlineStr">
        <is>
          <t>***** 物流中心5樓</t>
        </is>
      </c>
      <c r="N1173" s="3" t="inlineStr">
        <is>
          <t>北区</t>
        </is>
      </c>
      <c r="O1173" s="3" t="inlineStr">
        <is>
          <t>香港</t>
        </is>
      </c>
      <c r="P1173" s="3" t="inlineStr">
        <is>
          <t>香港特别行政区</t>
        </is>
      </c>
      <c r="Q1173" s="3" t="n">
        <v>721522396</v>
      </c>
      <c r="R1173" s="3" t="inlineStr">
        <is>
          <t>小店Copacabana</t>
        </is>
      </c>
      <c r="S1173" s="3" t="inlineStr">
        <is>
          <t>****98559289</t>
        </is>
      </c>
      <c r="T1173" s="3" t="inlineStr">
        <is>
          <t>****98559289</t>
        </is>
      </c>
      <c r="U1173" s="3" t="inlineStr">
        <is>
          <t>***** 道37號地舖</t>
        </is>
      </c>
      <c r="V1173" s="3" t="inlineStr">
        <is>
          <t>香港</t>
        </is>
      </c>
      <c r="W1173" s="3" t="inlineStr">
        <is>
          <t>纸袋【通版】/ 箱出</t>
        </is>
      </c>
      <c r="X1173" s="3" t="inlineStr">
        <is>
          <t>ESS-SFTS-OTMS</t>
        </is>
      </c>
      <c r="Y1173" s="3" t="n"/>
      <c r="Z1173" s="3" t="inlineStr"/>
      <c r="AA1173" s="3" t="inlineStr">
        <is>
          <t>寄付月結</t>
        </is>
      </c>
      <c r="AB1173">
        <f>IFERROR(VLOOKUP(Q1173&amp;"",對照表!$A:$B,1,FALSE),"")</f>
        <v/>
      </c>
      <c r="AC1173">
        <f>IFERROR(VLOOKUP(Q1173&amp;"",對照表!$A:$B,2,FALSE),"")</f>
        <v/>
      </c>
    </row>
    <row r="1174">
      <c r="A1174" s="3" t="inlineStr">
        <is>
          <t>SF5113427653543</t>
        </is>
      </c>
      <c r="B1174" s="3" t="n">
        <v>58435485663331</v>
      </c>
      <c r="C1174" s="3" t="inlineStr">
        <is>
          <t>已簽收</t>
        </is>
      </c>
      <c r="D1174" s="3" t="inlineStr">
        <is>
          <t>2026-07-06 17:50:07</t>
        </is>
      </c>
      <c r="E1174" s="3" t="inlineStr">
        <is>
          <t>2026-07-07 12:17</t>
        </is>
      </c>
      <c r="F1174" s="3" t="n">
        <v>23.18</v>
      </c>
      <c r="G1174" s="3" t="n">
        <v>2</v>
      </c>
      <c r="H1174" s="3" t="n"/>
      <c r="I1174" s="3" t="inlineStr"/>
      <c r="J1174" s="3" t="inlineStr">
        <is>
          <t>Keeta</t>
        </is>
      </c>
      <c r="K1174" s="3" t="inlineStr">
        <is>
          <t>****9568</t>
        </is>
      </c>
      <c r="L1174" s="3" t="n"/>
      <c r="M1174" s="3" t="inlineStr">
        <is>
          <t>***** 物流中心5樓</t>
        </is>
      </c>
      <c r="N1174" s="3" t="inlineStr">
        <is>
          <t>北区</t>
        </is>
      </c>
      <c r="O1174" s="3" t="inlineStr">
        <is>
          <t>香港</t>
        </is>
      </c>
      <c r="P1174" s="3" t="inlineStr">
        <is>
          <t>香港特别行政区</t>
        </is>
      </c>
      <c r="Q1174" s="3" t="n">
        <v>455146</v>
      </c>
      <c r="R1174" s="3" t="inlineStr">
        <is>
          <t>越蘆越南牛肉粉(上環)招牌越南粉</t>
        </is>
      </c>
      <c r="S1174" s="3" t="inlineStr">
        <is>
          <t>****27827999</t>
        </is>
      </c>
      <c r="T1174" s="3" t="inlineStr">
        <is>
          <t>****27827999</t>
        </is>
      </c>
      <c r="U1174" s="3" t="inlineStr">
        <is>
          <t>***** 心地下B號舖</t>
        </is>
      </c>
      <c r="V1174" s="3" t="inlineStr">
        <is>
          <t>香港</t>
        </is>
      </c>
      <c r="W1174" s="3" t="inlineStr">
        <is>
          <t>无纺布【规格四大号】/ 箱出</t>
        </is>
      </c>
      <c r="X1174" s="3" t="inlineStr">
        <is>
          <t>ESS-SFTS-OTMS</t>
        </is>
      </c>
      <c r="Y1174" s="3" t="n"/>
      <c r="Z1174" s="3" t="inlineStr"/>
      <c r="AA1174" s="3" t="inlineStr">
        <is>
          <t>寄付月結</t>
        </is>
      </c>
      <c r="AB1174">
        <f>IFERROR(VLOOKUP(Q1174&amp;"",對照表!$A:$B,1,FALSE),"")</f>
        <v/>
      </c>
      <c r="AC1174">
        <f>IFERROR(VLOOKUP(Q1174&amp;"",對照表!$A:$B,2,FALSE),"")</f>
        <v/>
      </c>
    </row>
    <row r="1175">
      <c r="A1175" s="3" t="inlineStr">
        <is>
          <t>SF5113427653728</t>
        </is>
      </c>
      <c r="B1175" s="3" t="n">
        <v>58435485663424</v>
      </c>
      <c r="C1175" s="3" t="inlineStr">
        <is>
          <t>已簽收</t>
        </is>
      </c>
      <c r="D1175" s="3" t="inlineStr">
        <is>
          <t>2026-07-06 17:10:43</t>
        </is>
      </c>
      <c r="E1175" s="3" t="inlineStr">
        <is>
          <t>2026-07-07 11:46</t>
        </is>
      </c>
      <c r="F1175" s="3" t="n">
        <v>2.8</v>
      </c>
      <c r="G1175" s="3" t="n">
        <v>1</v>
      </c>
      <c r="H1175" s="3" t="n"/>
      <c r="I1175" s="3" t="inlineStr"/>
      <c r="J1175" s="3" t="inlineStr">
        <is>
          <t>Keeta</t>
        </is>
      </c>
      <c r="K1175" s="3" t="inlineStr">
        <is>
          <t>****9568</t>
        </is>
      </c>
      <c r="L1175" s="3" t="n"/>
      <c r="M1175" s="3" t="inlineStr">
        <is>
          <t>***** 物流中心5樓</t>
        </is>
      </c>
      <c r="N1175" s="3" t="inlineStr">
        <is>
          <t>北区</t>
        </is>
      </c>
      <c r="O1175" s="3" t="inlineStr">
        <is>
          <t>香港</t>
        </is>
      </c>
      <c r="P1175" s="3" t="inlineStr">
        <is>
          <t>香港特别行政区</t>
        </is>
      </c>
      <c r="Q1175" s="3" t="n">
        <v>487883</v>
      </c>
      <c r="R1175" s="3" t="inlineStr">
        <is>
          <t>象茶(紅磡)EleTea</t>
        </is>
      </c>
      <c r="S1175" s="3" t="inlineStr">
        <is>
          <t>****60609629</t>
        </is>
      </c>
      <c r="T1175" s="3" t="inlineStr">
        <is>
          <t>****60609629</t>
        </is>
      </c>
      <c r="U1175" s="3" t="inlineStr">
        <is>
          <t>***** 廈地下4號舖</t>
        </is>
      </c>
      <c r="V1175" s="3" t="inlineStr">
        <is>
          <t>香港</t>
        </is>
      </c>
      <c r="W1175" s="3" t="inlineStr">
        <is>
          <t>机纸/小票纸 / 包出</t>
        </is>
      </c>
      <c r="X1175" s="3" t="inlineStr">
        <is>
          <t>ESS-SFTS-OTMS</t>
        </is>
      </c>
      <c r="Y1175" s="3" t="n"/>
      <c r="Z1175" s="3" t="inlineStr"/>
      <c r="AA1175" s="3" t="inlineStr">
        <is>
          <t>寄付月結</t>
        </is>
      </c>
      <c r="AB1175">
        <f>IFERROR(VLOOKUP(Q1175&amp;"",對照表!$A:$B,1,FALSE),"")</f>
        <v/>
      </c>
      <c r="AC1175">
        <f>IFERROR(VLOOKUP(Q1175&amp;"",對照表!$A:$B,2,FALSE),"")</f>
        <v/>
      </c>
    </row>
    <row r="1176">
      <c r="A1176" s="3" t="inlineStr">
        <is>
          <t>SF5113427653940</t>
        </is>
      </c>
      <c r="B1176" s="3" t="n">
        <v>58435485696017</v>
      </c>
      <c r="C1176" s="3" t="inlineStr">
        <is>
          <t>已簽收</t>
        </is>
      </c>
      <c r="D1176" s="3" t="inlineStr">
        <is>
          <t>2026-07-06 16:36:42</t>
        </is>
      </c>
      <c r="E1176" s="3" t="inlineStr">
        <is>
          <t>2026-07-07 11:15</t>
        </is>
      </c>
      <c r="F1176" s="3" t="n">
        <v>4.45</v>
      </c>
      <c r="G1176" s="3" t="n">
        <v>1</v>
      </c>
      <c r="H1176" s="3" t="n"/>
      <c r="I1176" s="3" t="inlineStr"/>
      <c r="J1176" s="3" t="inlineStr">
        <is>
          <t>Keeta</t>
        </is>
      </c>
      <c r="K1176" s="3" t="inlineStr">
        <is>
          <t>****9568</t>
        </is>
      </c>
      <c r="L1176" s="3" t="n"/>
      <c r="M1176" s="3" t="inlineStr">
        <is>
          <t>***** 物流中心5樓</t>
        </is>
      </c>
      <c r="N1176" s="3" t="inlineStr">
        <is>
          <t>北区</t>
        </is>
      </c>
      <c r="O1176" s="3" t="inlineStr">
        <is>
          <t>香港</t>
        </is>
      </c>
      <c r="P1176" s="3" t="inlineStr">
        <is>
          <t>香港特别行政区</t>
        </is>
      </c>
      <c r="Q1176" s="3" t="n">
        <v>428603</v>
      </c>
      <c r="R1176" s="3" t="inlineStr">
        <is>
          <t>九爺牛腩</t>
        </is>
      </c>
      <c r="S1176" s="3" t="inlineStr">
        <is>
          <t>****26222138</t>
        </is>
      </c>
      <c r="T1176" s="3" t="inlineStr">
        <is>
          <t>****26222138</t>
        </is>
      </c>
      <c r="U1176" s="3" t="inlineStr">
        <is>
          <t>***** 下F及G號舖</t>
        </is>
      </c>
      <c r="V1176" s="3" t="inlineStr">
        <is>
          <t>香港</t>
        </is>
      </c>
      <c r="W1176" s="3" t="inlineStr">
        <is>
          <t>机纸/小票纸 / 包出</t>
        </is>
      </c>
      <c r="X1176" s="3" t="inlineStr">
        <is>
          <t>ESS-SFTS-OTMS</t>
        </is>
      </c>
      <c r="Y1176" s="3" t="n"/>
      <c r="Z1176" s="3" t="inlineStr"/>
      <c r="AA1176" s="3" t="inlineStr">
        <is>
          <t>寄付月結</t>
        </is>
      </c>
      <c r="AB1176">
        <f>IFERROR(VLOOKUP(Q1176&amp;"",對照表!$A:$B,1,FALSE),"")</f>
        <v/>
      </c>
      <c r="AC1176">
        <f>IFERROR(VLOOKUP(Q1176&amp;"",對照表!$A:$B,2,FALSE),"")</f>
        <v/>
      </c>
    </row>
    <row r="1177">
      <c r="A1177" s="3" t="inlineStr">
        <is>
          <t>SF5113427653677</t>
        </is>
      </c>
      <c r="B1177" s="3" t="n">
        <v>58435485663361</v>
      </c>
      <c r="C1177" s="3" t="inlineStr">
        <is>
          <t>已簽收</t>
        </is>
      </c>
      <c r="D1177" s="3" t="inlineStr">
        <is>
          <t>2026-07-06 15:19:27</t>
        </is>
      </c>
      <c r="E1177" s="3" t="inlineStr">
        <is>
          <t>2026-07-07 11:30</t>
        </is>
      </c>
      <c r="F1177" s="3" t="n">
        <v>14.5</v>
      </c>
      <c r="G1177" s="3" t="n">
        <v>1</v>
      </c>
      <c r="H1177" s="3" t="n"/>
      <c r="I1177" s="3" t="inlineStr"/>
      <c r="J1177" s="3" t="inlineStr">
        <is>
          <t>Keeta</t>
        </is>
      </c>
      <c r="K1177" s="3" t="inlineStr">
        <is>
          <t>****9568</t>
        </is>
      </c>
      <c r="L1177" s="3" t="n"/>
      <c r="M1177" s="3" t="inlineStr">
        <is>
          <t>***** 物流中心5樓</t>
        </is>
      </c>
      <c r="N1177" s="3" t="inlineStr">
        <is>
          <t>北区</t>
        </is>
      </c>
      <c r="O1177" s="3" t="inlineStr">
        <is>
          <t>香港</t>
        </is>
      </c>
      <c r="P1177" s="3" t="inlineStr">
        <is>
          <t>香港特别行政区</t>
        </is>
      </c>
      <c r="Q1177" s="3" t="n">
        <v>721514403</v>
      </c>
      <c r="R1177" s="3" t="inlineStr">
        <is>
          <t>卡蒂炸雞灣仔（士林）</t>
        </is>
      </c>
      <c r="S1177" s="3" t="inlineStr">
        <is>
          <t>****7213774</t>
        </is>
      </c>
      <c r="T1177" s="3" t="inlineStr">
        <is>
          <t>****7213774</t>
        </is>
      </c>
      <c r="U1177" s="3" t="inlineStr">
        <is>
          <t>***** 亭A 1部分</t>
        </is>
      </c>
      <c r="V1177" s="3" t="inlineStr">
        <is>
          <t>香港</t>
        </is>
      </c>
      <c r="W1177" s="3" t="inlineStr">
        <is>
          <t>纸袋【通版】/ 箱出</t>
        </is>
      </c>
      <c r="X1177" s="3" t="inlineStr">
        <is>
          <t>ESS-SFTS-OTMS</t>
        </is>
      </c>
      <c r="Y1177" s="3" t="n"/>
      <c r="Z1177" s="3" t="inlineStr"/>
      <c r="AA1177" s="3" t="inlineStr">
        <is>
          <t>寄付月結</t>
        </is>
      </c>
      <c r="AB1177">
        <f>IFERROR(VLOOKUP(Q1177&amp;"",對照表!$A:$B,1,FALSE),"")</f>
        <v/>
      </c>
      <c r="AC1177">
        <f>IFERROR(VLOOKUP(Q1177&amp;"",對照表!$A:$B,2,FALSE),"")</f>
        <v/>
      </c>
    </row>
    <row r="1178">
      <c r="A1178" s="3" t="inlineStr">
        <is>
          <t>SF5113427653816</t>
        </is>
      </c>
      <c r="B1178" s="3" t="n">
        <v>58435485663447</v>
      </c>
      <c r="C1178" s="3" t="inlineStr">
        <is>
          <t>已簽收</t>
        </is>
      </c>
      <c r="D1178" s="3" t="inlineStr">
        <is>
          <t>2026-07-06 16:51:45</t>
        </is>
      </c>
      <c r="E1178" s="3" t="inlineStr">
        <is>
          <t>2026-07-07 12:05</t>
        </is>
      </c>
      <c r="F1178" s="3" t="n">
        <v>1.9</v>
      </c>
      <c r="G1178" s="3" t="n">
        <v>1</v>
      </c>
      <c r="H1178" s="3" t="n"/>
      <c r="I1178" s="3" t="inlineStr"/>
      <c r="J1178" s="3" t="inlineStr">
        <is>
          <t>Keeta</t>
        </is>
      </c>
      <c r="K1178" s="3" t="inlineStr">
        <is>
          <t>****9568</t>
        </is>
      </c>
      <c r="L1178" s="3" t="n"/>
      <c r="M1178" s="3" t="inlineStr">
        <is>
          <t>***** 物流中心5樓</t>
        </is>
      </c>
      <c r="N1178" s="3" t="inlineStr">
        <is>
          <t>北区</t>
        </is>
      </c>
      <c r="O1178" s="3" t="inlineStr">
        <is>
          <t>香港</t>
        </is>
      </c>
      <c r="P1178" s="3" t="inlineStr">
        <is>
          <t>香港特别行政区</t>
        </is>
      </c>
      <c r="Q1178" s="3" t="n">
        <v>481397</v>
      </c>
      <c r="R1178" s="3" t="inlineStr">
        <is>
          <t>新興車仔麵(曉麗苑)</t>
        </is>
      </c>
      <c r="S1178" s="3" t="inlineStr">
        <is>
          <t>****68780077</t>
        </is>
      </c>
      <c r="T1178" s="3" t="inlineStr">
        <is>
          <t>****68780077</t>
        </is>
      </c>
      <c r="U1178" s="3" t="inlineStr">
        <is>
          <t>***** 209A號鋪</t>
        </is>
      </c>
      <c r="V1178" s="3" t="inlineStr">
        <is>
          <t>香港</t>
        </is>
      </c>
      <c r="W1178" s="3" t="inlineStr">
        <is>
          <t>机纸/小票纸 / 包出</t>
        </is>
      </c>
      <c r="X1178" s="3" t="inlineStr">
        <is>
          <t>ESS-SFTS-OTMS</t>
        </is>
      </c>
      <c r="Y1178" s="3" t="n"/>
      <c r="Z1178" s="3" t="inlineStr"/>
      <c r="AA1178" s="3" t="inlineStr">
        <is>
          <t>寄付月結</t>
        </is>
      </c>
      <c r="AB1178">
        <f>IFERROR(VLOOKUP(Q1178&amp;"",對照表!$A:$B,1,FALSE),"")</f>
        <v/>
      </c>
      <c r="AC1178">
        <f>IFERROR(VLOOKUP(Q1178&amp;"",對照表!$A:$B,2,FALSE),"")</f>
        <v/>
      </c>
    </row>
    <row r="1179">
      <c r="A1179" s="3" t="inlineStr">
        <is>
          <t>SF5113427654034</t>
        </is>
      </c>
      <c r="B1179" s="3" t="n">
        <v>58435485696035</v>
      </c>
      <c r="C1179" s="3" t="inlineStr">
        <is>
          <t>已簽收</t>
        </is>
      </c>
      <c r="D1179" s="3" t="inlineStr">
        <is>
          <t>2026-07-06 16:36:47</t>
        </is>
      </c>
      <c r="E1179" s="3" t="inlineStr">
        <is>
          <t>2026-07-07 10:25</t>
        </is>
      </c>
      <c r="F1179" s="3" t="n">
        <v>4.45</v>
      </c>
      <c r="G1179" s="3" t="n">
        <v>1</v>
      </c>
      <c r="H1179" s="3" t="n"/>
      <c r="I1179" s="3" t="inlineStr"/>
      <c r="J1179" s="3" t="inlineStr">
        <is>
          <t>Keeta</t>
        </is>
      </c>
      <c r="K1179" s="3" t="inlineStr">
        <is>
          <t>****9568</t>
        </is>
      </c>
      <c r="L1179" s="3" t="n"/>
      <c r="M1179" s="3" t="inlineStr">
        <is>
          <t>***** 物流中心5樓</t>
        </is>
      </c>
      <c r="N1179" s="3" t="inlineStr">
        <is>
          <t>北区</t>
        </is>
      </c>
      <c r="O1179" s="3" t="inlineStr">
        <is>
          <t>香港</t>
        </is>
      </c>
      <c r="P1179" s="3" t="inlineStr">
        <is>
          <t>香港特别行政区</t>
        </is>
      </c>
      <c r="Q1179" s="3" t="n">
        <v>721525397</v>
      </c>
      <c r="R1179" s="3" t="inlineStr">
        <is>
          <t>火桶X O’taste</t>
        </is>
      </c>
      <c r="S1179" s="3" t="inlineStr">
        <is>
          <t>****0777</t>
        </is>
      </c>
      <c r="T1179" s="3" t="inlineStr">
        <is>
          <t>****0777</t>
        </is>
      </c>
      <c r="U1179" s="3" t="inlineStr">
        <is>
          <t>*****  G02號鋪</t>
        </is>
      </c>
      <c r="V1179" s="3" t="inlineStr">
        <is>
          <t>香港</t>
        </is>
      </c>
      <c r="W1179" s="3" t="inlineStr">
        <is>
          <t>机纸/小票纸 / 包出</t>
        </is>
      </c>
      <c r="X1179" s="3" t="inlineStr">
        <is>
          <t>ESS-SFTS-OTMS</t>
        </is>
      </c>
      <c r="Y1179" s="3" t="n"/>
      <c r="Z1179" s="3" t="inlineStr"/>
      <c r="AA1179" s="3" t="inlineStr">
        <is>
          <t>寄付月結</t>
        </is>
      </c>
      <c r="AB1179">
        <f>IFERROR(VLOOKUP(Q1179&amp;"",對照表!$A:$B,1,FALSE),"")</f>
        <v/>
      </c>
      <c r="AC1179">
        <f>IFERROR(VLOOKUP(Q1179&amp;"",對照表!$A:$B,2,FALSE),"")</f>
        <v/>
      </c>
    </row>
    <row r="1180">
      <c r="A1180" s="3" t="inlineStr">
        <is>
          <t>SF5113427653898</t>
        </is>
      </c>
      <c r="B1180" s="3" t="n">
        <v>58435485696002</v>
      </c>
      <c r="C1180" s="3" t="inlineStr">
        <is>
          <t>已簽收</t>
        </is>
      </c>
      <c r="D1180" s="3" t="inlineStr">
        <is>
          <t>2026-07-06 16:36:37</t>
        </is>
      </c>
      <c r="E1180" s="3" t="inlineStr">
        <is>
          <t>2026-07-07 11:45</t>
        </is>
      </c>
      <c r="F1180" s="3" t="n">
        <v>4.45</v>
      </c>
      <c r="G1180" s="3" t="n">
        <v>1</v>
      </c>
      <c r="H1180" s="3" t="n"/>
      <c r="I1180" s="3" t="inlineStr"/>
      <c r="J1180" s="3" t="inlineStr">
        <is>
          <t>Keeta</t>
        </is>
      </c>
      <c r="K1180" s="3" t="inlineStr">
        <is>
          <t>****9568</t>
        </is>
      </c>
      <c r="L1180" s="3" t="n"/>
      <c r="M1180" s="3" t="inlineStr">
        <is>
          <t>***** 物流中心5樓</t>
        </is>
      </c>
      <c r="N1180" s="3" t="inlineStr">
        <is>
          <t>北区</t>
        </is>
      </c>
      <c r="O1180" s="3" t="inlineStr">
        <is>
          <t>香港</t>
        </is>
      </c>
      <c r="P1180" s="3" t="inlineStr">
        <is>
          <t>香港特别行政区</t>
        </is>
      </c>
      <c r="Q1180" s="3" t="n">
        <v>486521</v>
      </c>
      <c r="R1180" s="3" t="inlineStr">
        <is>
          <t>金鳳大餐廳(金鳳樓總店)GoldenPhoenixRestaurant(KamFungBuilding)</t>
        </is>
      </c>
      <c r="S1180" s="3" t="inlineStr">
        <is>
          <t>****23936054</t>
        </is>
      </c>
      <c r="T1180" s="3" t="inlineStr">
        <is>
          <t>****23936054</t>
        </is>
      </c>
      <c r="U1180" s="3" t="inlineStr">
        <is>
          <t>***** 號金鳳樓地下</t>
        </is>
      </c>
      <c r="V1180" s="3" t="inlineStr">
        <is>
          <t>香港</t>
        </is>
      </c>
      <c r="W1180" s="3" t="inlineStr">
        <is>
          <t>机纸/小票纸 / 包出</t>
        </is>
      </c>
      <c r="X1180" s="3" t="inlineStr">
        <is>
          <t>ESS-SFTS-OTMS</t>
        </is>
      </c>
      <c r="Y1180" s="3" t="n"/>
      <c r="Z1180" s="3" t="inlineStr"/>
      <c r="AA1180" s="3" t="inlineStr">
        <is>
          <t>寄付月結</t>
        </is>
      </c>
      <c r="AB1180">
        <f>IFERROR(VLOOKUP(Q1180&amp;"",對照表!$A:$B,1,FALSE),"")</f>
        <v/>
      </c>
      <c r="AC1180">
        <f>IFERROR(VLOOKUP(Q1180&amp;"",對照表!$A:$B,2,FALSE),"")</f>
        <v/>
      </c>
    </row>
    <row r="1181">
      <c r="A1181" s="3" t="inlineStr">
        <is>
          <t>SF5113427653870</t>
        </is>
      </c>
      <c r="B1181" s="3" t="n">
        <v>58435485663461</v>
      </c>
      <c r="C1181" s="3" t="inlineStr">
        <is>
          <t>已簽收</t>
        </is>
      </c>
      <c r="D1181" s="3" t="inlineStr">
        <is>
          <t>2026-07-06 16:36:45</t>
        </is>
      </c>
      <c r="E1181" s="3" t="inlineStr">
        <is>
          <t>2026-07-07 19:47</t>
        </is>
      </c>
      <c r="F1181" s="3" t="n">
        <v>4.45</v>
      </c>
      <c r="G1181" s="3" t="n">
        <v>1</v>
      </c>
      <c r="H1181" s="3" t="n"/>
      <c r="I1181" s="3" t="inlineStr"/>
      <c r="J1181" s="3" t="inlineStr">
        <is>
          <t>Keeta</t>
        </is>
      </c>
      <c r="K1181" s="3" t="inlineStr">
        <is>
          <t>****9568</t>
        </is>
      </c>
      <c r="L1181" s="3" t="n"/>
      <c r="M1181" s="3" t="inlineStr">
        <is>
          <t>***** 物流中心5樓</t>
        </is>
      </c>
      <c r="N1181" s="3" t="inlineStr">
        <is>
          <t>北区</t>
        </is>
      </c>
      <c r="O1181" s="3" t="inlineStr">
        <is>
          <t>香港</t>
        </is>
      </c>
      <c r="P1181" s="3" t="inlineStr">
        <is>
          <t>香港特别行政区</t>
        </is>
      </c>
      <c r="Q1181" s="3" t="n">
        <v>438440</v>
      </c>
      <c r="R1181" s="3" t="inlineStr">
        <is>
          <t>明廚（旺角）MingsKitchen</t>
        </is>
      </c>
      <c r="S1181" s="3" t="inlineStr">
        <is>
          <t>****28712391</t>
        </is>
      </c>
      <c r="T1181" s="3" t="inlineStr">
        <is>
          <t>****28712391</t>
        </is>
      </c>
      <c r="U1181" s="3" t="inlineStr">
        <is>
          <t>***** 519號地下</t>
        </is>
      </c>
      <c r="V1181" s="3" t="inlineStr">
        <is>
          <t>香港</t>
        </is>
      </c>
      <c r="W1181" s="3" t="inlineStr">
        <is>
          <t>机纸/小票纸 / 包出</t>
        </is>
      </c>
      <c r="X1181" s="3" t="inlineStr">
        <is>
          <t>ESS-SFTS-OTMS</t>
        </is>
      </c>
      <c r="Y1181" s="3" t="n"/>
      <c r="Z1181" s="3" t="inlineStr"/>
      <c r="AA1181" s="3" t="inlineStr">
        <is>
          <t>寄付月結</t>
        </is>
      </c>
      <c r="AB1181">
        <f>IFERROR(VLOOKUP(Q1181&amp;"",對照表!$A:$B,1,FALSE),"")</f>
        <v/>
      </c>
      <c r="AC1181">
        <f>IFERROR(VLOOKUP(Q1181&amp;"",對照表!$A:$B,2,FALSE),"")</f>
        <v/>
      </c>
    </row>
    <row r="1182">
      <c r="A1182" s="3" t="inlineStr">
        <is>
          <t>SF5113427653791</t>
        </is>
      </c>
      <c r="B1182" s="3" t="n">
        <v>58435485663443</v>
      </c>
      <c r="C1182" s="3" t="inlineStr">
        <is>
          <t>已簽收</t>
        </is>
      </c>
      <c r="D1182" s="3" t="inlineStr">
        <is>
          <t>2026-07-06 16:15:32</t>
        </is>
      </c>
      <c r="E1182" s="3" t="inlineStr">
        <is>
          <t>2026-07-07 12:30</t>
        </is>
      </c>
      <c r="F1182" s="3" t="n">
        <v>4.45</v>
      </c>
      <c r="G1182" s="3" t="n">
        <v>1</v>
      </c>
      <c r="H1182" s="3" t="n"/>
      <c r="I1182" s="3" t="inlineStr"/>
      <c r="J1182" s="3" t="inlineStr">
        <is>
          <t>Keeta</t>
        </is>
      </c>
      <c r="K1182" s="3" t="inlineStr">
        <is>
          <t>****9568</t>
        </is>
      </c>
      <c r="L1182" s="3" t="n"/>
      <c r="M1182" s="3" t="inlineStr">
        <is>
          <t>***** 物流中心5樓</t>
        </is>
      </c>
      <c r="N1182" s="3" t="inlineStr">
        <is>
          <t>北区</t>
        </is>
      </c>
      <c r="O1182" s="3" t="inlineStr">
        <is>
          <t>香港</t>
        </is>
      </c>
      <c r="P1182" s="3" t="inlineStr">
        <is>
          <t>香港特别行政区</t>
        </is>
      </c>
      <c r="Q1182" s="3" t="n">
        <v>471639</v>
      </c>
      <c r="R1182" s="3" t="inlineStr">
        <is>
          <t>譚仔三哥米線（小西灣富欣花園）</t>
        </is>
      </c>
      <c r="S1182" s="3" t="inlineStr">
        <is>
          <t>****28278288</t>
        </is>
      </c>
      <c r="T1182" s="3" t="inlineStr">
        <is>
          <t>****28278288</t>
        </is>
      </c>
      <c r="U1182" s="3" t="inlineStr">
        <is>
          <t>***** 園地下6號舗</t>
        </is>
      </c>
      <c r="V1182" s="3" t="inlineStr">
        <is>
          <t>香港</t>
        </is>
      </c>
      <c r="W1182" s="3" t="inlineStr">
        <is>
          <t>机纸/小票纸 / 包出</t>
        </is>
      </c>
      <c r="X1182" s="3" t="inlineStr">
        <is>
          <t>ESS-SFTS-OTMS</t>
        </is>
      </c>
      <c r="Y1182" s="3" t="n"/>
      <c r="Z1182" s="3" t="inlineStr"/>
      <c r="AA1182" s="3" t="inlineStr">
        <is>
          <t>寄付月結</t>
        </is>
      </c>
      <c r="AB1182">
        <f>IFERROR(VLOOKUP(Q1182&amp;"",對照表!$A:$B,1,FALSE),"")</f>
        <v/>
      </c>
      <c r="AC1182">
        <f>IFERROR(VLOOKUP(Q1182&amp;"",對照表!$A:$B,2,FALSE),"")</f>
        <v/>
      </c>
    </row>
    <row r="1183">
      <c r="A1183" s="3" t="inlineStr">
        <is>
          <t>SF5113427653986</t>
        </is>
      </c>
      <c r="B1183" s="3" t="n">
        <v>58435485696024</v>
      </c>
      <c r="C1183" s="3" t="inlineStr">
        <is>
          <t>已簽收</t>
        </is>
      </c>
      <c r="D1183" s="3" t="inlineStr">
        <is>
          <t>2026-07-06 16:44:20</t>
        </is>
      </c>
      <c r="E1183" s="3" t="inlineStr">
        <is>
          <t>2026-07-07 12:56</t>
        </is>
      </c>
      <c r="F1183" s="3" t="n">
        <v>4.45</v>
      </c>
      <c r="G1183" s="3" t="n">
        <v>1</v>
      </c>
      <c r="H1183" s="3" t="n"/>
      <c r="I1183" s="3" t="inlineStr"/>
      <c r="J1183" s="3" t="inlineStr">
        <is>
          <t>Keeta</t>
        </is>
      </c>
      <c r="K1183" s="3" t="inlineStr">
        <is>
          <t>****9568</t>
        </is>
      </c>
      <c r="L1183" s="3" t="n"/>
      <c r="M1183" s="3" t="inlineStr">
        <is>
          <t>***** 物流中心5樓</t>
        </is>
      </c>
      <c r="N1183" s="3" t="inlineStr">
        <is>
          <t>北区</t>
        </is>
      </c>
      <c r="O1183" s="3" t="inlineStr">
        <is>
          <t>香港</t>
        </is>
      </c>
      <c r="P1183" s="3" t="inlineStr">
        <is>
          <t>香港特别行政区</t>
        </is>
      </c>
      <c r="Q1183" s="3" t="n">
        <v>463072</v>
      </c>
      <c r="R1183" s="3" t="inlineStr">
        <is>
          <t>農耕記湖南土菜(北角)</t>
        </is>
      </c>
      <c r="S1183" s="3" t="inlineStr">
        <is>
          <t>****35963964</t>
        </is>
      </c>
      <c r="T1183" s="3" t="inlineStr">
        <is>
          <t>****35963964</t>
        </is>
      </c>
      <c r="U1183" s="3" t="inlineStr">
        <is>
          <t>***** 下6-10鋪</t>
        </is>
      </c>
      <c r="V1183" s="3" t="inlineStr">
        <is>
          <t>香港</t>
        </is>
      </c>
      <c r="W1183" s="3" t="inlineStr">
        <is>
          <t>机纸/小票纸 / 包出</t>
        </is>
      </c>
      <c r="X1183" s="3" t="inlineStr">
        <is>
          <t>ESS-SFTS-OTMS</t>
        </is>
      </c>
      <c r="Y1183" s="3" t="n"/>
      <c r="Z1183" s="3" t="inlineStr"/>
      <c r="AA1183" s="3" t="inlineStr">
        <is>
          <t>寄付月結</t>
        </is>
      </c>
      <c r="AB1183">
        <f>IFERROR(VLOOKUP(Q1183&amp;"",對照表!$A:$B,1,FALSE),"")</f>
        <v/>
      </c>
      <c r="AC1183">
        <f>IFERROR(VLOOKUP(Q1183&amp;"",對照表!$A:$B,2,FALSE),"")</f>
        <v/>
      </c>
    </row>
    <row r="1184">
      <c r="A1184" s="3" t="inlineStr">
        <is>
          <t>SF5113427653931</t>
        </is>
      </c>
      <c r="B1184" s="3" t="n">
        <v>58435485696015</v>
      </c>
      <c r="C1184" s="3" t="inlineStr">
        <is>
          <t>已簽收</t>
        </is>
      </c>
      <c r="D1184" s="3" t="inlineStr">
        <is>
          <t>2026-07-06 16:48:57</t>
        </is>
      </c>
      <c r="E1184" s="3" t="inlineStr">
        <is>
          <t>2026-07-07 11:44</t>
        </is>
      </c>
      <c r="F1184" s="3" t="n">
        <v>1.1</v>
      </c>
      <c r="G1184" s="3" t="n">
        <v>1</v>
      </c>
      <c r="H1184" s="3" t="n"/>
      <c r="I1184" s="3" t="inlineStr"/>
      <c r="J1184" s="3" t="inlineStr">
        <is>
          <t>Keeta</t>
        </is>
      </c>
      <c r="K1184" s="3" t="inlineStr">
        <is>
          <t>****9568</t>
        </is>
      </c>
      <c r="L1184" s="3" t="n"/>
      <c r="M1184" s="3" t="inlineStr">
        <is>
          <t>***** 物流中心5樓</t>
        </is>
      </c>
      <c r="N1184" s="3" t="inlineStr">
        <is>
          <t>北区</t>
        </is>
      </c>
      <c r="O1184" s="3" t="inlineStr">
        <is>
          <t>香港</t>
        </is>
      </c>
      <c r="P1184" s="3" t="inlineStr">
        <is>
          <t>香港特别行政区</t>
        </is>
      </c>
      <c r="Q1184" s="3" t="n">
        <v>721529388</v>
      </c>
      <c r="R1184" s="3" t="inlineStr">
        <is>
          <t>OMG緊張咖喱麵馬來西亞總店古早秘方</t>
        </is>
      </c>
      <c r="S1184" s="3" t="inlineStr">
        <is>
          <t>****51834404</t>
        </is>
      </c>
      <c r="T1184" s="3" t="inlineStr">
        <is>
          <t>****51834404</t>
        </is>
      </c>
      <c r="U1184" s="3" t="inlineStr">
        <is>
          <t>***** 128號地下</t>
        </is>
      </c>
      <c r="V1184" s="3" t="inlineStr">
        <is>
          <t>香港</t>
        </is>
      </c>
      <c r="W1184" s="3" t="inlineStr">
        <is>
          <t>机纸/小票纸 / 包出</t>
        </is>
      </c>
      <c r="X1184" s="3" t="inlineStr">
        <is>
          <t>ESS-SFTS-OTMS</t>
        </is>
      </c>
      <c r="Y1184" s="3" t="n"/>
      <c r="Z1184" s="3" t="inlineStr"/>
      <c r="AA1184" s="3" t="inlineStr">
        <is>
          <t>寄付月結</t>
        </is>
      </c>
      <c r="AB1184">
        <f>IFERROR(VLOOKUP(Q1184&amp;"",對照表!$A:$B,1,FALSE),"")</f>
        <v/>
      </c>
      <c r="AC1184">
        <f>IFERROR(VLOOKUP(Q1184&amp;"",對照表!$A:$B,2,FALSE),"")</f>
        <v/>
      </c>
    </row>
    <row r="1185">
      <c r="A1185" s="3" t="inlineStr">
        <is>
          <t>SF5113427654016</t>
        </is>
      </c>
      <c r="B1185" s="3" t="n">
        <v>58435485696030</v>
      </c>
      <c r="C1185" s="3" t="inlineStr">
        <is>
          <t>已簽收</t>
        </is>
      </c>
      <c r="D1185" s="3" t="inlineStr">
        <is>
          <t>2026-07-06 16:36:46</t>
        </is>
      </c>
      <c r="E1185" s="3" t="inlineStr">
        <is>
          <t>2026-07-07 11:46</t>
        </is>
      </c>
      <c r="F1185" s="3" t="n">
        <v>4.45</v>
      </c>
      <c r="G1185" s="3" t="n">
        <v>1</v>
      </c>
      <c r="H1185" s="3" t="n"/>
      <c r="I1185" s="3" t="inlineStr"/>
      <c r="J1185" s="3" t="inlineStr">
        <is>
          <t>Keeta</t>
        </is>
      </c>
      <c r="K1185" s="3" t="inlineStr">
        <is>
          <t>****9568</t>
        </is>
      </c>
      <c r="L1185" s="3" t="n"/>
      <c r="M1185" s="3" t="inlineStr">
        <is>
          <t>***** 物流中心5樓</t>
        </is>
      </c>
      <c r="N1185" s="3" t="inlineStr">
        <is>
          <t>北区</t>
        </is>
      </c>
      <c r="O1185" s="3" t="inlineStr">
        <is>
          <t>香港</t>
        </is>
      </c>
      <c r="P1185" s="3" t="inlineStr">
        <is>
          <t>香港特别行政区</t>
        </is>
      </c>
      <c r="Q1185" s="3" t="n">
        <v>721533402</v>
      </c>
      <c r="R1185" s="3" t="inlineStr">
        <is>
          <t>雞大叔</t>
        </is>
      </c>
      <c r="S1185" s="3" t="inlineStr">
        <is>
          <t>****98291263</t>
        </is>
      </c>
      <c r="T1185" s="3" t="inlineStr">
        <is>
          <t>****98291263</t>
        </is>
      </c>
      <c r="U1185" s="3" t="inlineStr">
        <is>
          <t>***** 下115號鋪</t>
        </is>
      </c>
      <c r="V1185" s="3" t="inlineStr">
        <is>
          <t>香港</t>
        </is>
      </c>
      <c r="W1185" s="3" t="inlineStr">
        <is>
          <t>机纸/小票纸 / 包出</t>
        </is>
      </c>
      <c r="X1185" s="3" t="inlineStr">
        <is>
          <t>ESS-SFTS-OTMS</t>
        </is>
      </c>
      <c r="Y1185" s="3" t="n"/>
      <c r="Z1185" s="3" t="inlineStr"/>
      <c r="AA1185" s="3" t="inlineStr">
        <is>
          <t>寄付月結</t>
        </is>
      </c>
      <c r="AB1185">
        <f>IFERROR(VLOOKUP(Q1185&amp;"",對照表!$A:$B,1,FALSE),"")</f>
        <v/>
      </c>
      <c r="AC1185">
        <f>IFERROR(VLOOKUP(Q1185&amp;"",對照表!$A:$B,2,FALSE),"")</f>
        <v/>
      </c>
    </row>
    <row r="1186">
      <c r="A1186" s="3" t="inlineStr">
        <is>
          <t>SF5113427653922</t>
        </is>
      </c>
      <c r="B1186" s="3" t="n">
        <v>58435485696012</v>
      </c>
      <c r="C1186" s="3" t="inlineStr">
        <is>
          <t>派送中</t>
        </is>
      </c>
      <c r="D1186" s="3" t="inlineStr">
        <is>
          <t>2026-07-06 16:36:33</t>
        </is>
      </c>
      <c r="E1186" s="3" t="n"/>
      <c r="F1186" s="3" t="n">
        <v>4.45</v>
      </c>
      <c r="G1186" s="3" t="n">
        <v>1</v>
      </c>
      <c r="H1186" s="3" t="n"/>
      <c r="I1186" s="3" t="inlineStr"/>
      <c r="J1186" s="3" t="inlineStr">
        <is>
          <t>Keeta</t>
        </is>
      </c>
      <c r="K1186" s="3" t="inlineStr">
        <is>
          <t>****9568</t>
        </is>
      </c>
      <c r="L1186" s="3" t="n"/>
      <c r="M1186" s="3" t="inlineStr">
        <is>
          <t>***** 物流中心5樓</t>
        </is>
      </c>
      <c r="N1186" s="3" t="inlineStr">
        <is>
          <t>北区</t>
        </is>
      </c>
      <c r="O1186" s="3" t="inlineStr">
        <is>
          <t>香港</t>
        </is>
      </c>
      <c r="P1186" s="3" t="inlineStr">
        <is>
          <t>香港特别行政区</t>
        </is>
      </c>
      <c r="Q1186" s="3" t="n">
        <v>721539323</v>
      </c>
      <c r="R1186" s="3" t="inlineStr">
        <is>
          <t>ButterBabe新店惹味焗薯多款獨家秘製醬汁</t>
        </is>
      </c>
      <c r="S1186" s="3" t="inlineStr">
        <is>
          <t>****61143910</t>
        </is>
      </c>
      <c r="T1186" s="3" t="inlineStr">
        <is>
          <t>****61143910</t>
        </is>
      </c>
      <c r="U1186" s="3" t="inlineStr">
        <is>
          <t>***** 歌賦街16號</t>
        </is>
      </c>
      <c r="V1186" s="3" t="inlineStr">
        <is>
          <t>香港</t>
        </is>
      </c>
      <c r="W1186" s="3" t="inlineStr">
        <is>
          <t>机纸/小票纸 / 包出</t>
        </is>
      </c>
      <c r="X1186" s="3" t="inlineStr">
        <is>
          <t>ESS-SFTS-OTMS</t>
        </is>
      </c>
      <c r="Y1186" s="3" t="n"/>
      <c r="Z1186" s="3" t="inlineStr"/>
      <c r="AA1186" s="3" t="inlineStr">
        <is>
          <t>寄付月結</t>
        </is>
      </c>
      <c r="AB1186">
        <f>IFERROR(VLOOKUP(Q1186&amp;"",對照表!$A:$B,1,FALSE),"")</f>
        <v/>
      </c>
      <c r="AC1186">
        <f>IFERROR(VLOOKUP(Q1186&amp;"",對照表!$A:$B,2,FALSE),"")</f>
        <v/>
      </c>
    </row>
    <row r="1187">
      <c r="A1187" s="3" t="inlineStr">
        <is>
          <t>SF5113427653852</t>
        </is>
      </c>
      <c r="B1187" s="3" t="n">
        <v>58435485663456</v>
      </c>
      <c r="C1187" s="3" t="inlineStr">
        <is>
          <t>已簽收</t>
        </is>
      </c>
      <c r="D1187" s="3" t="inlineStr">
        <is>
          <t>2026-07-06 16:27:50</t>
        </is>
      </c>
      <c r="E1187" s="3" t="inlineStr">
        <is>
          <t>2026-07-07 12:49</t>
        </is>
      </c>
      <c r="F1187" s="3" t="n">
        <v>29</v>
      </c>
      <c r="G1187" s="3" t="n">
        <v>2</v>
      </c>
      <c r="H1187" s="3" t="n"/>
      <c r="I1187" s="3" t="inlineStr"/>
      <c r="J1187" s="3" t="inlineStr">
        <is>
          <t>Keeta</t>
        </is>
      </c>
      <c r="K1187" s="3" t="inlineStr">
        <is>
          <t>****9568</t>
        </is>
      </c>
      <c r="L1187" s="3" t="n"/>
      <c r="M1187" s="3" t="inlineStr">
        <is>
          <t>***** 物流中心5樓</t>
        </is>
      </c>
      <c r="N1187" s="3" t="inlineStr">
        <is>
          <t>北区</t>
        </is>
      </c>
      <c r="O1187" s="3" t="inlineStr">
        <is>
          <t>香港</t>
        </is>
      </c>
      <c r="P1187" s="3" t="inlineStr">
        <is>
          <t>香港特别行政区</t>
        </is>
      </c>
      <c r="Q1187" s="3" t="n">
        <v>724456</v>
      </c>
      <c r="R1187" s="3" t="inlineStr">
        <is>
          <t>ThePizzaPig(將軍澳)</t>
        </is>
      </c>
      <c r="S1187" s="3" t="inlineStr">
        <is>
          <t>****26119791</t>
        </is>
      </c>
      <c r="T1187" s="3" t="inlineStr">
        <is>
          <t>****26119791</t>
        </is>
      </c>
      <c r="U1187" s="3" t="inlineStr">
        <is>
          <t>***** 0-11號舖</t>
        </is>
      </c>
      <c r="V1187" s="3" t="inlineStr">
        <is>
          <t>香港</t>
        </is>
      </c>
      <c r="W1187" s="3" t="inlineStr">
        <is>
          <t>纸袋【通版】/ 箱出</t>
        </is>
      </c>
      <c r="X1187" s="3" t="inlineStr">
        <is>
          <t>ESS-SFTS-OTMS</t>
        </is>
      </c>
      <c r="Y1187" s="3" t="n"/>
      <c r="Z1187" s="3" t="inlineStr"/>
      <c r="AA1187" s="3" t="inlineStr">
        <is>
          <t>寄付月結</t>
        </is>
      </c>
      <c r="AB1187">
        <f>IFERROR(VLOOKUP(Q1187&amp;"",對照表!$A:$B,1,FALSE),"")</f>
        <v/>
      </c>
      <c r="AC1187">
        <f>IFERROR(VLOOKUP(Q1187&amp;"",對照表!$A:$B,2,FALSE),"")</f>
        <v/>
      </c>
    </row>
    <row r="1188">
      <c r="A1188" s="3" t="inlineStr">
        <is>
          <t>SF5113427654238</t>
        </is>
      </c>
      <c r="B1188" s="3" t="n">
        <v>58435485696078</v>
      </c>
      <c r="C1188" s="3" t="inlineStr">
        <is>
          <t>已簽收</t>
        </is>
      </c>
      <c r="D1188" s="3" t="inlineStr">
        <is>
          <t>2026-07-06 17:35:41</t>
        </is>
      </c>
      <c r="E1188" s="3" t="inlineStr">
        <is>
          <t>2026-07-07 11:43</t>
        </is>
      </c>
      <c r="F1188" s="3" t="n">
        <v>3.78</v>
      </c>
      <c r="G1188" s="3" t="n">
        <v>1</v>
      </c>
      <c r="H1188" s="3" t="n"/>
      <c r="I1188" s="3" t="inlineStr"/>
      <c r="J1188" s="3" t="inlineStr">
        <is>
          <t>Keeta</t>
        </is>
      </c>
      <c r="K1188" s="3" t="inlineStr">
        <is>
          <t>****9568</t>
        </is>
      </c>
      <c r="L1188" s="3" t="n"/>
      <c r="M1188" s="3" t="inlineStr">
        <is>
          <t>***** 物流中心5樓</t>
        </is>
      </c>
      <c r="N1188" s="3" t="inlineStr">
        <is>
          <t>北区</t>
        </is>
      </c>
      <c r="O1188" s="3" t="inlineStr">
        <is>
          <t>香港</t>
        </is>
      </c>
      <c r="P1188" s="3" t="inlineStr">
        <is>
          <t>香港特别行政区</t>
        </is>
      </c>
      <c r="Q1188" s="3" t="n">
        <v>721536291</v>
      </c>
      <c r="R1188" s="3" t="inlineStr">
        <is>
          <t>東煌燒味人氣新店明爐燒味</t>
        </is>
      </c>
      <c r="S1188" s="3" t="inlineStr">
        <is>
          <t>****68963628</t>
        </is>
      </c>
      <c r="T1188" s="3" t="inlineStr">
        <is>
          <t>****68963628</t>
        </is>
      </c>
      <c r="U1188" s="3" t="inlineStr">
        <is>
          <t>***** 下sm1號店</t>
        </is>
      </c>
      <c r="V1188" s="3" t="inlineStr">
        <is>
          <t>香港</t>
        </is>
      </c>
      <c r="W1188" s="3" t="inlineStr">
        <is>
          <t>塑料袋【小】/ 扎出, 封签【通版】/ 扎出, 机纸/小票纸 / 包出</t>
        </is>
      </c>
      <c r="X1188" s="3" t="inlineStr">
        <is>
          <t>ESS-SFTS-OTMS</t>
        </is>
      </c>
      <c r="Y1188" s="3" t="n"/>
      <c r="Z1188" s="3" t="inlineStr"/>
      <c r="AA1188" s="3" t="inlineStr">
        <is>
          <t>寄付月結</t>
        </is>
      </c>
      <c r="AB1188">
        <f>IFERROR(VLOOKUP(Q1188&amp;"",對照表!$A:$B,1,FALSE),"")</f>
        <v/>
      </c>
      <c r="AC1188">
        <f>IFERROR(VLOOKUP(Q1188&amp;"",對照表!$A:$B,2,FALSE),"")</f>
        <v/>
      </c>
    </row>
    <row r="1189">
      <c r="A1189" s="3" t="inlineStr">
        <is>
          <t>SF5113427654089</t>
        </is>
      </c>
      <c r="B1189" s="3" t="n">
        <v>58435485696045</v>
      </c>
      <c r="C1189" s="3" t="inlineStr">
        <is>
          <t>已簽收</t>
        </is>
      </c>
      <c r="D1189" s="3" t="inlineStr">
        <is>
          <t>2026-07-06 16:44:31</t>
        </is>
      </c>
      <c r="E1189" s="3" t="inlineStr">
        <is>
          <t>2026-07-07 15:45</t>
        </is>
      </c>
      <c r="F1189" s="3" t="n">
        <v>0.67</v>
      </c>
      <c r="G1189" s="3" t="n">
        <v>1</v>
      </c>
      <c r="H1189" s="3" t="n"/>
      <c r="I1189" s="3" t="inlineStr"/>
      <c r="J1189" s="3" t="inlineStr">
        <is>
          <t>Keeta</t>
        </is>
      </c>
      <c r="K1189" s="3" t="inlineStr">
        <is>
          <t>****9568</t>
        </is>
      </c>
      <c r="L1189" s="3" t="n"/>
      <c r="M1189" s="3" t="inlineStr">
        <is>
          <t>***** 物流中心5樓</t>
        </is>
      </c>
      <c r="N1189" s="3" t="inlineStr">
        <is>
          <t>北区</t>
        </is>
      </c>
      <c r="O1189" s="3" t="inlineStr">
        <is>
          <t>香港</t>
        </is>
      </c>
      <c r="P1189" s="3" t="inlineStr">
        <is>
          <t>香港特别行政区</t>
        </is>
      </c>
      <c r="Q1189" s="3" t="n">
        <v>488178</v>
      </c>
      <c r="R1189" s="3" t="inlineStr">
        <is>
          <t>星巴克(圍方)StarbucksCoffee</t>
        </is>
      </c>
      <c r="S1189" s="3" t="inlineStr">
        <is>
          <t>****26897002</t>
        </is>
      </c>
      <c r="T1189" s="3" t="inlineStr">
        <is>
          <t>****26897002</t>
        </is>
      </c>
      <c r="U1189" s="3" t="inlineStr">
        <is>
          <t>***** 樓319號舖</t>
        </is>
      </c>
      <c r="V1189" s="3" t="inlineStr">
        <is>
          <t>香港</t>
        </is>
      </c>
      <c r="W1189" s="3" t="inlineStr">
        <is>
          <t>机纸/小票纸 / 包出</t>
        </is>
      </c>
      <c r="X1189" s="3" t="inlineStr">
        <is>
          <t>ESS-SFTS-OTMS</t>
        </is>
      </c>
      <c r="Y1189" s="3" t="n"/>
      <c r="Z1189" s="3" t="inlineStr"/>
      <c r="AA1189" s="3" t="inlineStr">
        <is>
          <t>寄付月結</t>
        </is>
      </c>
      <c r="AB1189">
        <f>IFERROR(VLOOKUP(Q1189&amp;"",對照表!$A:$B,1,FALSE),"")</f>
        <v/>
      </c>
      <c r="AC1189">
        <f>IFERROR(VLOOKUP(Q1189&amp;"",對照表!$A:$B,2,FALSE),"")</f>
        <v/>
      </c>
    </row>
    <row r="1190">
      <c r="A1190" s="3" t="inlineStr">
        <is>
          <t>SF5113427654104</t>
        </is>
      </c>
      <c r="B1190" s="3" t="n">
        <v>58435485696051</v>
      </c>
      <c r="C1190" s="3" t="inlineStr">
        <is>
          <t>已簽收</t>
        </is>
      </c>
      <c r="D1190" s="3" t="inlineStr">
        <is>
          <t>2026-07-06 17:05:46</t>
        </is>
      </c>
      <c r="E1190" s="3" t="inlineStr">
        <is>
          <t>2026-07-07 11:46</t>
        </is>
      </c>
      <c r="F1190" s="3" t="n">
        <v>2.36</v>
      </c>
      <c r="G1190" s="3" t="n">
        <v>1</v>
      </c>
      <c r="H1190" s="3" t="n"/>
      <c r="I1190" s="3" t="inlineStr"/>
      <c r="J1190" s="3" t="inlineStr">
        <is>
          <t>Keeta</t>
        </is>
      </c>
      <c r="K1190" s="3" t="inlineStr">
        <is>
          <t>****9568</t>
        </is>
      </c>
      <c r="L1190" s="3" t="n"/>
      <c r="M1190" s="3" t="inlineStr">
        <is>
          <t>***** 物流中心5樓</t>
        </is>
      </c>
      <c r="N1190" s="3" t="inlineStr">
        <is>
          <t>北区</t>
        </is>
      </c>
      <c r="O1190" s="3" t="inlineStr">
        <is>
          <t>香港</t>
        </is>
      </c>
      <c r="P1190" s="3" t="inlineStr">
        <is>
          <t>香港特别行政区</t>
        </is>
      </c>
      <c r="Q1190" s="3" t="n">
        <v>721489292</v>
      </c>
      <c r="R1190" s="3" t="inlineStr">
        <is>
          <t>PokeGreen(觀塘)</t>
        </is>
      </c>
      <c r="S1190" s="3" t="inlineStr">
        <is>
          <t>****91745355</t>
        </is>
      </c>
      <c r="T1190" s="3" t="inlineStr">
        <is>
          <t>****91745355</t>
        </is>
      </c>
      <c r="U1190" s="3" t="inlineStr">
        <is>
          <t>***** 樓803號舖</t>
        </is>
      </c>
      <c r="V1190" s="3" t="inlineStr">
        <is>
          <t>香港</t>
        </is>
      </c>
      <c r="W1190" s="3" t="inlineStr">
        <is>
          <t>机纸/小票纸 / 包出</t>
        </is>
      </c>
      <c r="X1190" s="3" t="inlineStr">
        <is>
          <t>ESS-SFTS-OTMS</t>
        </is>
      </c>
      <c r="Y1190" s="3" t="n"/>
      <c r="Z1190" s="3" t="inlineStr"/>
      <c r="AA1190" s="3" t="inlineStr">
        <is>
          <t>寄付月結</t>
        </is>
      </c>
      <c r="AB1190">
        <f>IFERROR(VLOOKUP(Q1190&amp;"",對照表!$A:$B,1,FALSE),"")</f>
        <v/>
      </c>
      <c r="AC1190">
        <f>IFERROR(VLOOKUP(Q1190&amp;"",對照表!$A:$B,2,FALSE),"")</f>
        <v/>
      </c>
    </row>
    <row r="1191">
      <c r="A1191" s="3" t="inlineStr">
        <is>
          <t>SF5113427653904</t>
        </is>
      </c>
      <c r="B1191" s="3" t="n">
        <v>58435485696004</v>
      </c>
      <c r="C1191" s="3" t="inlineStr">
        <is>
          <t>已簽收</t>
        </is>
      </c>
      <c r="D1191" s="3" t="inlineStr">
        <is>
          <t>2026-07-06 16:44:44</t>
        </is>
      </c>
      <c r="E1191" s="3" t="inlineStr">
        <is>
          <t>2026-07-07 13:56</t>
        </is>
      </c>
      <c r="F1191" s="3" t="n">
        <v>0.67</v>
      </c>
      <c r="G1191" s="3" t="n">
        <v>1</v>
      </c>
      <c r="H1191" s="3" t="n"/>
      <c r="I1191" s="3" t="inlineStr"/>
      <c r="J1191" s="3" t="inlineStr">
        <is>
          <t>Keeta</t>
        </is>
      </c>
      <c r="K1191" s="3" t="inlineStr">
        <is>
          <t>****9568</t>
        </is>
      </c>
      <c r="L1191" s="3" t="n"/>
      <c r="M1191" s="3" t="inlineStr">
        <is>
          <t>***** 物流中心5樓</t>
        </is>
      </c>
      <c r="N1191" s="3" t="inlineStr">
        <is>
          <t>北区</t>
        </is>
      </c>
      <c r="O1191" s="3" t="inlineStr">
        <is>
          <t>香港</t>
        </is>
      </c>
      <c r="P1191" s="3" t="inlineStr">
        <is>
          <t>香港特别行政区</t>
        </is>
      </c>
      <c r="Q1191" s="3" t="n">
        <v>721519366</v>
      </c>
      <c r="R1191" s="3" t="inlineStr">
        <is>
          <t>明燊粉麵(用心制造每一碗麵)</t>
        </is>
      </c>
      <c r="S1191" s="3" t="inlineStr">
        <is>
          <t>****60866233</t>
        </is>
      </c>
      <c r="T1191" s="3" t="inlineStr">
        <is>
          <t>****60866233</t>
        </is>
      </c>
      <c r="U1191" s="3" t="inlineStr">
        <is>
          <t>***** 華街114號</t>
        </is>
      </c>
      <c r="V1191" s="3" t="inlineStr">
        <is>
          <t>香港</t>
        </is>
      </c>
      <c r="W1191" s="3" t="inlineStr">
        <is>
          <t>机纸/小票纸 / 包出</t>
        </is>
      </c>
      <c r="X1191" s="3" t="inlineStr">
        <is>
          <t>ESS-SFTS-OTMS</t>
        </is>
      </c>
      <c r="Y1191" s="3" t="n"/>
      <c r="Z1191" s="3" t="inlineStr"/>
      <c r="AA1191" s="3" t="inlineStr">
        <is>
          <t>寄付月結</t>
        </is>
      </c>
      <c r="AB1191">
        <f>IFERROR(VLOOKUP(Q1191&amp;"",對照表!$A:$B,1,FALSE),"")</f>
        <v/>
      </c>
      <c r="AC1191">
        <f>IFERROR(VLOOKUP(Q1191&amp;"",對照表!$A:$B,2,FALSE),"")</f>
        <v/>
      </c>
    </row>
    <row r="1192">
      <c r="A1192" s="3" t="inlineStr">
        <is>
          <t>SF5113427654131</t>
        </is>
      </c>
      <c r="B1192" s="3" t="n">
        <v>58435485696054</v>
      </c>
      <c r="C1192" s="3" t="inlineStr">
        <is>
          <t>已簽收</t>
        </is>
      </c>
      <c r="D1192" s="3" t="inlineStr">
        <is>
          <t>2026-07-06 16:27:57</t>
        </is>
      </c>
      <c r="E1192" s="3" t="inlineStr">
        <is>
          <t>2026-07-07 13:38</t>
        </is>
      </c>
      <c r="F1192" s="3" t="n">
        <v>29</v>
      </c>
      <c r="G1192" s="3" t="n">
        <v>2</v>
      </c>
      <c r="H1192" s="3" t="n"/>
      <c r="I1192" s="3" t="inlineStr"/>
      <c r="J1192" s="3" t="inlineStr">
        <is>
          <t>Keeta</t>
        </is>
      </c>
      <c r="K1192" s="3" t="inlineStr">
        <is>
          <t>****9568</t>
        </is>
      </c>
      <c r="L1192" s="3" t="n"/>
      <c r="M1192" s="3" t="inlineStr">
        <is>
          <t>***** 物流中心5樓</t>
        </is>
      </c>
      <c r="N1192" s="3" t="inlineStr">
        <is>
          <t>北区</t>
        </is>
      </c>
      <c r="O1192" s="3" t="inlineStr">
        <is>
          <t>香港</t>
        </is>
      </c>
      <c r="P1192" s="3" t="inlineStr">
        <is>
          <t>香港特别行政区</t>
        </is>
      </c>
      <c r="Q1192" s="3" t="n">
        <v>721517369</v>
      </c>
      <c r="R1192" s="3" t="inlineStr">
        <is>
          <t>麥當勞(宏開道)McDonalds</t>
        </is>
      </c>
      <c r="S1192" s="3" t="inlineStr">
        <is>
          <t>****27117892</t>
        </is>
      </c>
      <c r="T1192" s="3" t="inlineStr">
        <is>
          <t>****27117892</t>
        </is>
      </c>
      <c r="U1192" s="3" t="inlineStr">
        <is>
          <t>***** 下1及2號舖</t>
        </is>
      </c>
      <c r="V1192" s="3" t="inlineStr">
        <is>
          <t>香港</t>
        </is>
      </c>
      <c r="W1192" s="3" t="inlineStr">
        <is>
          <t>纸袋【通版】/ 箱出</t>
        </is>
      </c>
      <c r="X1192" s="3" t="inlineStr">
        <is>
          <t>ESS-SFTS-OTMS</t>
        </is>
      </c>
      <c r="Y1192" s="3" t="n"/>
      <c r="Z1192" s="3" t="inlineStr"/>
      <c r="AA1192" s="3" t="inlineStr">
        <is>
          <t>寄付月結</t>
        </is>
      </c>
      <c r="AB1192">
        <f>IFERROR(VLOOKUP(Q1192&amp;"",對照表!$A:$B,1,FALSE),"")</f>
        <v/>
      </c>
      <c r="AC1192">
        <f>IFERROR(VLOOKUP(Q1192&amp;"",對照表!$A:$B,2,FALSE),"")</f>
        <v/>
      </c>
    </row>
    <row r="1193">
      <c r="A1193" s="3" t="inlineStr">
        <is>
          <t>SF5113427654061</t>
        </is>
      </c>
      <c r="B1193" s="3" t="n">
        <v>58435485696041</v>
      </c>
      <c r="C1193" s="3" t="inlineStr">
        <is>
          <t>已簽收</t>
        </is>
      </c>
      <c r="D1193" s="3" t="inlineStr">
        <is>
          <t>2026-07-06 17:47:40</t>
        </is>
      </c>
      <c r="E1193" s="3" t="inlineStr">
        <is>
          <t>2026-07-07 20:44</t>
        </is>
      </c>
      <c r="F1193" s="3" t="n">
        <v>45</v>
      </c>
      <c r="G1193" s="3" t="n">
        <v>4</v>
      </c>
      <c r="H1193" s="3" t="n"/>
      <c r="I1193" s="3" t="inlineStr"/>
      <c r="J1193" s="3" t="inlineStr">
        <is>
          <t>Keeta</t>
        </is>
      </c>
      <c r="K1193" s="3" t="inlineStr">
        <is>
          <t>****9568</t>
        </is>
      </c>
      <c r="L1193" s="3" t="n"/>
      <c r="M1193" s="3" t="inlineStr">
        <is>
          <t>***** 物流中心5樓</t>
        </is>
      </c>
      <c r="N1193" s="3" t="inlineStr">
        <is>
          <t>北区</t>
        </is>
      </c>
      <c r="O1193" s="3" t="inlineStr">
        <is>
          <t>香港</t>
        </is>
      </c>
      <c r="P1193" s="3" t="inlineStr">
        <is>
          <t>香港特别行政区</t>
        </is>
      </c>
      <c r="Q1193" s="3" t="n">
        <v>484577</v>
      </c>
      <c r="R1193" s="3" t="inlineStr">
        <is>
          <t>麥當勞(駿發花園)McDonalds</t>
        </is>
      </c>
      <c r="S1193" s="3" t="inlineStr">
        <is>
          <t>****27809361</t>
        </is>
      </c>
      <c r="T1193" s="3" t="inlineStr">
        <is>
          <t>****27809361</t>
        </is>
      </c>
      <c r="U1193" s="3" t="inlineStr">
        <is>
          <t>***** 地下G2號舖</t>
        </is>
      </c>
      <c r="V1193" s="3" t="inlineStr">
        <is>
          <t>香港</t>
        </is>
      </c>
      <c r="W1193" s="3" t="inlineStr">
        <is>
          <t>机纸/小票纸 / 包出, 纸袋【通版】/ 箱出</t>
        </is>
      </c>
      <c r="X1193" s="3" t="inlineStr">
        <is>
          <t>ESS-SFTS-OTMS</t>
        </is>
      </c>
      <c r="Y1193" s="3" t="n"/>
      <c r="Z1193" s="3" t="inlineStr"/>
      <c r="AA1193" s="3" t="inlineStr">
        <is>
          <t>寄付月結</t>
        </is>
      </c>
      <c r="AB1193">
        <f>IFERROR(VLOOKUP(Q1193&amp;"",對照表!$A:$B,1,FALSE),"")</f>
        <v/>
      </c>
      <c r="AC1193">
        <f>IFERROR(VLOOKUP(Q1193&amp;"",對照表!$A:$B,2,FALSE),"")</f>
        <v/>
      </c>
    </row>
    <row r="1194">
      <c r="A1194" s="3" t="inlineStr">
        <is>
          <t>SF5113427653968</t>
        </is>
      </c>
      <c r="B1194" s="3" t="n">
        <v>58435485696021</v>
      </c>
      <c r="C1194" s="3" t="inlineStr">
        <is>
          <t>已簽收</t>
        </is>
      </c>
      <c r="D1194" s="3" t="inlineStr">
        <is>
          <t>2026-07-06 16:27:55</t>
        </is>
      </c>
      <c r="E1194" s="3" t="inlineStr">
        <is>
          <t>2026-07-07 16:16</t>
        </is>
      </c>
      <c r="F1194" s="3" t="n">
        <v>29</v>
      </c>
      <c r="G1194" s="3" t="n">
        <v>2</v>
      </c>
      <c r="H1194" s="3" t="n"/>
      <c r="I1194" s="3" t="inlineStr"/>
      <c r="J1194" s="3" t="inlineStr">
        <is>
          <t>Keeta</t>
        </is>
      </c>
      <c r="K1194" s="3" t="inlineStr">
        <is>
          <t>****9568</t>
        </is>
      </c>
      <c r="L1194" s="3" t="n"/>
      <c r="M1194" s="3" t="inlineStr">
        <is>
          <t>***** 物流中心5樓</t>
        </is>
      </c>
      <c r="N1194" s="3" t="inlineStr">
        <is>
          <t>北区</t>
        </is>
      </c>
      <c r="O1194" s="3" t="inlineStr">
        <is>
          <t>香港</t>
        </is>
      </c>
      <c r="P1194" s="3" t="inlineStr">
        <is>
          <t>香港特别行政区</t>
        </is>
      </c>
      <c r="Q1194" s="3" t="n">
        <v>408882</v>
      </c>
      <c r="R1194" s="3" t="inlineStr">
        <is>
          <t>麥當勞(奧海城二期II)McDonalds</t>
        </is>
      </c>
      <c r="S1194" s="3" t="inlineStr">
        <is>
          <t>****27404145</t>
        </is>
      </c>
      <c r="T1194" s="3" t="inlineStr">
        <is>
          <t>****27404145</t>
        </is>
      </c>
      <c r="U1194" s="3" t="inlineStr">
        <is>
          <t>***** G42 號舖</t>
        </is>
      </c>
      <c r="V1194" s="3" t="inlineStr">
        <is>
          <t>香港</t>
        </is>
      </c>
      <c r="W1194" s="3" t="inlineStr">
        <is>
          <t>纸袋【通版】/ 箱出</t>
        </is>
      </c>
      <c r="X1194" s="3" t="inlineStr">
        <is>
          <t>ESS-SFTS-OTMS</t>
        </is>
      </c>
      <c r="Y1194" s="3" t="n"/>
      <c r="Z1194" s="3" t="inlineStr"/>
      <c r="AA1194" s="3" t="inlineStr">
        <is>
          <t>寄付月結</t>
        </is>
      </c>
      <c r="AB1194">
        <f>IFERROR(VLOOKUP(Q1194&amp;"",對照表!$A:$B,1,FALSE),"")</f>
        <v/>
      </c>
      <c r="AC1194">
        <f>IFERROR(VLOOKUP(Q1194&amp;"",對照表!$A:$B,2,FALSE),"")</f>
        <v/>
      </c>
    </row>
    <row r="1195">
      <c r="A1195" s="3" t="inlineStr">
        <is>
          <t>SF5113427653764</t>
        </is>
      </c>
      <c r="B1195" s="3" t="n">
        <v>58435485663435</v>
      </c>
      <c r="C1195" s="3" t="inlineStr">
        <is>
          <t>已簽收</t>
        </is>
      </c>
      <c r="D1195" s="3" t="inlineStr">
        <is>
          <t>2026-07-06 15:29:23</t>
        </is>
      </c>
      <c r="E1195" s="3" t="inlineStr">
        <is>
          <t>2026-07-07 17:17</t>
        </is>
      </c>
      <c r="F1195" s="3" t="n">
        <v>116</v>
      </c>
      <c r="G1195" s="3" t="n">
        <v>8</v>
      </c>
      <c r="H1195" s="3" t="n"/>
      <c r="I1195" s="3" t="inlineStr"/>
      <c r="J1195" s="3" t="inlineStr">
        <is>
          <t>Keeta</t>
        </is>
      </c>
      <c r="K1195" s="3" t="inlineStr">
        <is>
          <t>****9568</t>
        </is>
      </c>
      <c r="L1195" s="3" t="n"/>
      <c r="M1195" s="3" t="inlineStr">
        <is>
          <t>***** 物流中心5樓</t>
        </is>
      </c>
      <c r="N1195" s="3" t="inlineStr">
        <is>
          <t>北区</t>
        </is>
      </c>
      <c r="O1195" s="3" t="inlineStr">
        <is>
          <t>香港</t>
        </is>
      </c>
      <c r="P1195" s="3" t="inlineStr">
        <is>
          <t>香港特别行政区</t>
        </is>
      </c>
      <c r="Q1195" s="3" t="n">
        <v>481762</v>
      </c>
      <c r="R1195" s="3" t="inlineStr">
        <is>
          <t>麥當勞(天耀II)McDonalds</t>
        </is>
      </c>
      <c r="S1195" s="3" t="inlineStr">
        <is>
          <t>****24460375</t>
        </is>
      </c>
      <c r="T1195" s="3" t="inlineStr">
        <is>
          <t>****24460375</t>
        </is>
      </c>
      <c r="U1195" s="3" t="inlineStr">
        <is>
          <t>***** L011號舖</t>
        </is>
      </c>
      <c r="V1195" s="3" t="inlineStr">
        <is>
          <t>香港</t>
        </is>
      </c>
      <c r="W1195" s="3" t="inlineStr">
        <is>
          <t>纸袋【通版】/ 箱出</t>
        </is>
      </c>
      <c r="X1195" s="3" t="inlineStr">
        <is>
          <t>ESS-SFTS-OTMS</t>
        </is>
      </c>
      <c r="Y1195" s="3" t="n"/>
      <c r="Z1195" s="3" t="inlineStr"/>
      <c r="AA1195" s="3" t="inlineStr">
        <is>
          <t>寄付月結</t>
        </is>
      </c>
      <c r="AB1195">
        <f>IFERROR(VLOOKUP(Q1195&amp;"",對照表!$A:$B,1,FALSE),"")</f>
        <v/>
      </c>
      <c r="AC1195">
        <f>IFERROR(VLOOKUP(Q1195&amp;"",對照表!$A:$B,2,FALSE),"")</f>
        <v/>
      </c>
    </row>
    <row r="1196">
      <c r="A1196" s="3" t="inlineStr">
        <is>
          <t>SF5113427654168</t>
        </is>
      </c>
      <c r="B1196" s="3" t="n">
        <v>58435485696064</v>
      </c>
      <c r="C1196" s="3" t="inlineStr">
        <is>
          <t>已簽收</t>
        </is>
      </c>
      <c r="D1196" s="3" t="inlineStr">
        <is>
          <t>2026-07-06 17:05:06</t>
        </is>
      </c>
      <c r="E1196" s="3" t="inlineStr">
        <is>
          <t>2026-07-07 10:53</t>
        </is>
      </c>
      <c r="F1196" s="3" t="n">
        <v>2.36</v>
      </c>
      <c r="G1196" s="3" t="n">
        <v>1</v>
      </c>
      <c r="H1196" s="3" t="n"/>
      <c r="I1196" s="3" t="inlineStr"/>
      <c r="J1196" s="3" t="inlineStr">
        <is>
          <t>Keeta</t>
        </is>
      </c>
      <c r="K1196" s="3" t="inlineStr">
        <is>
          <t>****9568</t>
        </is>
      </c>
      <c r="L1196" s="3" t="n"/>
      <c r="M1196" s="3" t="inlineStr">
        <is>
          <t>***** 物流中心5樓</t>
        </is>
      </c>
      <c r="N1196" s="3" t="inlineStr">
        <is>
          <t>北区</t>
        </is>
      </c>
      <c r="O1196" s="3" t="inlineStr">
        <is>
          <t>香港</t>
        </is>
      </c>
      <c r="P1196" s="3" t="inlineStr">
        <is>
          <t>香港特别行政区</t>
        </is>
      </c>
      <c r="Q1196" s="3" t="n">
        <v>494495</v>
      </c>
      <c r="R1196" s="3" t="inlineStr">
        <is>
          <t>TroisCafe意粉輕食咖啡</t>
        </is>
      </c>
      <c r="S1196" s="3" t="inlineStr">
        <is>
          <t>****35496113</t>
        </is>
      </c>
      <c r="T1196" s="3" t="inlineStr">
        <is>
          <t>****35496113</t>
        </is>
      </c>
      <c r="U1196" s="3" t="inlineStr">
        <is>
          <t>***** 樓109號舖</t>
        </is>
      </c>
      <c r="V1196" s="3" t="inlineStr">
        <is>
          <t>香港</t>
        </is>
      </c>
      <c r="W1196" s="3" t="inlineStr">
        <is>
          <t>机纸/小票纸 / 包出</t>
        </is>
      </c>
      <c r="X1196" s="3" t="inlineStr">
        <is>
          <t>ESS-SFTS-OTMS</t>
        </is>
      </c>
      <c r="Y1196" s="3" t="n"/>
      <c r="Z1196" s="3" t="inlineStr"/>
      <c r="AA1196" s="3" t="inlineStr">
        <is>
          <t>寄付月結</t>
        </is>
      </c>
      <c r="AB1196">
        <f>IFERROR(VLOOKUP(Q1196&amp;"",對照表!$A:$B,1,FALSE),"")</f>
        <v/>
      </c>
      <c r="AC1196">
        <f>IFERROR(VLOOKUP(Q1196&amp;"",對照表!$A:$B,2,FALSE),"")</f>
        <v/>
      </c>
    </row>
    <row r="1197">
      <c r="A1197" s="3" t="inlineStr">
        <is>
          <t>SF5113427653889</t>
        </is>
      </c>
      <c r="B1197" s="3" t="n">
        <v>58435485663462</v>
      </c>
      <c r="C1197" s="3" t="inlineStr">
        <is>
          <t>已簽收</t>
        </is>
      </c>
      <c r="D1197" s="3" t="inlineStr">
        <is>
          <t>2026-07-06 15:19:29</t>
        </is>
      </c>
      <c r="E1197" s="3" t="inlineStr">
        <is>
          <t>2026-07-07 11:53</t>
        </is>
      </c>
      <c r="F1197" s="3" t="n">
        <v>14.5</v>
      </c>
      <c r="G1197" s="3" t="n">
        <v>1</v>
      </c>
      <c r="H1197" s="3" t="n"/>
      <c r="I1197" s="3" t="inlineStr"/>
      <c r="J1197" s="3" t="inlineStr">
        <is>
          <t>Keeta</t>
        </is>
      </c>
      <c r="K1197" s="3" t="inlineStr">
        <is>
          <t>****9568</t>
        </is>
      </c>
      <c r="L1197" s="3" t="n"/>
      <c r="M1197" s="3" t="inlineStr">
        <is>
          <t>***** 物流中心5樓</t>
        </is>
      </c>
      <c r="N1197" s="3" t="inlineStr">
        <is>
          <t>北区</t>
        </is>
      </c>
      <c r="O1197" s="3" t="inlineStr">
        <is>
          <t>香港</t>
        </is>
      </c>
      <c r="P1197" s="3" t="inlineStr">
        <is>
          <t>香港特别行政区</t>
        </is>
      </c>
      <c r="Q1197" s="3" t="n">
        <v>721521401</v>
      </c>
      <c r="R1197" s="3" t="inlineStr">
        <is>
          <t>煌記車仔麵。滷水</t>
        </is>
      </c>
      <c r="S1197" s="3" t="inlineStr">
        <is>
          <t>****2487675</t>
        </is>
      </c>
      <c r="T1197" s="3" t="inlineStr">
        <is>
          <t>****2487675</t>
        </is>
      </c>
      <c r="U1197" s="3" t="inlineStr">
        <is>
          <t>***** 座10樓Q室</t>
        </is>
      </c>
      <c r="V1197" s="3" t="inlineStr">
        <is>
          <t>香港</t>
        </is>
      </c>
      <c r="W1197" s="3" t="inlineStr">
        <is>
          <t>纸袋【通版】/ 箱出</t>
        </is>
      </c>
      <c r="X1197" s="3" t="inlineStr">
        <is>
          <t>ESS-SFTS-OTMS</t>
        </is>
      </c>
      <c r="Y1197" s="3" t="n"/>
      <c r="Z1197" s="3" t="inlineStr"/>
      <c r="AA1197" s="3" t="inlineStr">
        <is>
          <t>寄付月結</t>
        </is>
      </c>
      <c r="AB1197">
        <f>IFERROR(VLOOKUP(Q1197&amp;"",對照表!$A:$B,1,FALSE),"")</f>
        <v/>
      </c>
      <c r="AC1197">
        <f>IFERROR(VLOOKUP(Q1197&amp;"",對照表!$A:$B,2,FALSE),"")</f>
        <v/>
      </c>
    </row>
    <row r="1198">
      <c r="A1198" s="3" t="inlineStr">
        <is>
          <t>SF5113427653995</t>
        </is>
      </c>
      <c r="B1198" s="3" t="n">
        <v>58435485696029</v>
      </c>
      <c r="C1198" s="3" t="inlineStr">
        <is>
          <t>已簽收</t>
        </is>
      </c>
      <c r="D1198" s="3" t="inlineStr">
        <is>
          <t>2026-07-06 17:39:25</t>
        </is>
      </c>
      <c r="E1198" s="3" t="inlineStr">
        <is>
          <t>2026-07-07 12:42</t>
        </is>
      </c>
      <c r="F1198" s="3" t="n">
        <v>1.88</v>
      </c>
      <c r="G1198" s="3" t="n">
        <v>1</v>
      </c>
      <c r="H1198" s="3" t="n"/>
      <c r="I1198" s="3" t="inlineStr"/>
      <c r="J1198" s="3" t="inlineStr">
        <is>
          <t>Keeta</t>
        </is>
      </c>
      <c r="K1198" s="3" t="inlineStr">
        <is>
          <t>****9568</t>
        </is>
      </c>
      <c r="L1198" s="3" t="n"/>
      <c r="M1198" s="3" t="inlineStr">
        <is>
          <t>***** 物流中心5樓</t>
        </is>
      </c>
      <c r="N1198" s="3" t="inlineStr">
        <is>
          <t>北区</t>
        </is>
      </c>
      <c r="O1198" s="3" t="inlineStr">
        <is>
          <t>香港</t>
        </is>
      </c>
      <c r="P1198" s="3" t="inlineStr">
        <is>
          <t>香港特别行政区</t>
        </is>
      </c>
      <c r="Q1198" s="3" t="n">
        <v>472076</v>
      </c>
      <c r="R1198" s="3" t="inlineStr">
        <is>
          <t>薄餅專門店</t>
        </is>
      </c>
      <c r="S1198" s="3" t="inlineStr">
        <is>
          <t>****93849118</t>
        </is>
      </c>
      <c r="T1198" s="3" t="inlineStr">
        <is>
          <t>****93849118</t>
        </is>
      </c>
      <c r="U1198" s="3" t="inlineStr">
        <is>
          <t>***** 廈地下2號舖</t>
        </is>
      </c>
      <c r="V1198" s="3" t="inlineStr">
        <is>
          <t>香港</t>
        </is>
      </c>
      <c r="W1198" s="3" t="inlineStr">
        <is>
          <t>机纸/小票纸 / 包出, 封签【通版】/ 扎出</t>
        </is>
      </c>
      <c r="X1198" s="3" t="inlineStr">
        <is>
          <t>ESS-SFTS-OTMS</t>
        </is>
      </c>
      <c r="Y1198" s="3" t="n"/>
      <c r="Z1198" s="3" t="inlineStr"/>
      <c r="AA1198" s="3" t="inlineStr">
        <is>
          <t>寄付月結</t>
        </is>
      </c>
      <c r="AB1198">
        <f>IFERROR(VLOOKUP(Q1198&amp;"",對照表!$A:$B,1,FALSE),"")</f>
        <v/>
      </c>
      <c r="AC1198">
        <f>IFERROR(VLOOKUP(Q1198&amp;"",對照表!$A:$B,2,FALSE),"")</f>
        <v/>
      </c>
    </row>
    <row r="1199">
      <c r="A1199" s="3" t="inlineStr">
        <is>
          <t>SF5113427654256</t>
        </is>
      </c>
      <c r="B1199" s="3" t="n">
        <v>58435485696083</v>
      </c>
      <c r="C1199" s="3" t="inlineStr">
        <is>
          <t>派送中</t>
        </is>
      </c>
      <c r="D1199" s="3" t="inlineStr">
        <is>
          <t>2026-07-06 17:49:47</t>
        </is>
      </c>
      <c r="E1199" s="3" t="n"/>
      <c r="F1199" s="3" t="n">
        <v>19.8</v>
      </c>
      <c r="G1199" s="3" t="n">
        <v>2</v>
      </c>
      <c r="H1199" s="3" t="n"/>
      <c r="I1199" s="3" t="inlineStr"/>
      <c r="J1199" s="3" t="inlineStr">
        <is>
          <t>Keeta</t>
        </is>
      </c>
      <c r="K1199" s="3" t="inlineStr">
        <is>
          <t>****9568</t>
        </is>
      </c>
      <c r="L1199" s="3" t="n"/>
      <c r="M1199" s="3" t="inlineStr">
        <is>
          <t>***** 物流中心5樓</t>
        </is>
      </c>
      <c r="N1199" s="3" t="inlineStr">
        <is>
          <t>北区</t>
        </is>
      </c>
      <c r="O1199" s="3" t="inlineStr">
        <is>
          <t>香港</t>
        </is>
      </c>
      <c r="P1199" s="3" t="inlineStr">
        <is>
          <t>香港特别行政区</t>
        </is>
      </c>
      <c r="Q1199" s="3" t="n">
        <v>721530372</v>
      </c>
      <c r="R1199" s="3" t="inlineStr">
        <is>
          <t>肉餅專家一個養活兩代人的肉餅飯（新店開業糖水免費送）</t>
        </is>
      </c>
      <c r="S1199" s="3" t="inlineStr">
        <is>
          <t>****98852845</t>
        </is>
      </c>
      <c r="T1199" s="3" t="inlineStr">
        <is>
          <t>****98852845</t>
        </is>
      </c>
      <c r="U1199" s="3" t="inlineStr">
        <is>
          <t>***** 號铺2號廚房</t>
        </is>
      </c>
      <c r="V1199" s="3" t="inlineStr">
        <is>
          <t>香港</t>
        </is>
      </c>
      <c r="W1199" s="3" t="inlineStr">
        <is>
          <t>无纺布【规格三中号】/ 箱出</t>
        </is>
      </c>
      <c r="X1199" s="3" t="inlineStr">
        <is>
          <t>ESS-SFTS-OTMS</t>
        </is>
      </c>
      <c r="Y1199" s="3" t="n"/>
      <c r="Z1199" s="3" t="inlineStr"/>
      <c r="AA1199" s="3" t="inlineStr">
        <is>
          <t>寄付月結</t>
        </is>
      </c>
      <c r="AB1199">
        <f>IFERROR(VLOOKUP(Q1199&amp;"",對照表!$A:$B,1,FALSE),"")</f>
        <v/>
      </c>
      <c r="AC1199">
        <f>IFERROR(VLOOKUP(Q1199&amp;"",對照表!$A:$B,2,FALSE),"")</f>
        <v/>
      </c>
    </row>
    <row r="1200">
      <c r="A1200" s="3" t="inlineStr">
        <is>
          <t>SF5113427653825</t>
        </is>
      </c>
      <c r="B1200" s="3" t="n">
        <v>58435485663453</v>
      </c>
      <c r="C1200" s="3" t="inlineStr">
        <is>
          <t>已簽收</t>
        </is>
      </c>
      <c r="D1200" s="3" t="inlineStr">
        <is>
          <t>2026-07-06 16:36:48</t>
        </is>
      </c>
      <c r="E1200" s="3" t="inlineStr">
        <is>
          <t>2026-07-07 13:12</t>
        </is>
      </c>
      <c r="F1200" s="3" t="n">
        <v>4.45</v>
      </c>
      <c r="G1200" s="3" t="n">
        <v>1</v>
      </c>
      <c r="H1200" s="3" t="n"/>
      <c r="I1200" s="3" t="inlineStr"/>
      <c r="J1200" s="3" t="inlineStr">
        <is>
          <t>Keeta</t>
        </is>
      </c>
      <c r="K1200" s="3" t="inlineStr">
        <is>
          <t>****9568</t>
        </is>
      </c>
      <c r="L1200" s="3" t="n"/>
      <c r="M1200" s="3" t="inlineStr">
        <is>
          <t>***** 物流中心5樓</t>
        </is>
      </c>
      <c r="N1200" s="3" t="inlineStr">
        <is>
          <t>北区</t>
        </is>
      </c>
      <c r="O1200" s="3" t="inlineStr">
        <is>
          <t>香港</t>
        </is>
      </c>
      <c r="P1200" s="3" t="inlineStr">
        <is>
          <t>香港特别行政区</t>
        </is>
      </c>
      <c r="Q1200" s="3" t="n">
        <v>721423360</v>
      </c>
      <c r="R1200" s="3" t="inlineStr">
        <is>
          <t>荷里活冰室(杏花邨)</t>
        </is>
      </c>
      <c r="S1200" s="3" t="inlineStr">
        <is>
          <t>****23660089</t>
        </is>
      </c>
      <c r="T1200" s="3" t="inlineStr">
        <is>
          <t>****23660089</t>
        </is>
      </c>
      <c r="U1200" s="3" t="inlineStr">
        <is>
          <t>***** 及G36號鋪</t>
        </is>
      </c>
      <c r="V1200" s="3" t="inlineStr">
        <is>
          <t>香港</t>
        </is>
      </c>
      <c r="W1200" s="3" t="inlineStr">
        <is>
          <t>机纸/小票纸 / 包出</t>
        </is>
      </c>
      <c r="X1200" s="3" t="inlineStr">
        <is>
          <t>ESS-SFTS-OTMS</t>
        </is>
      </c>
      <c r="Y1200" s="3" t="n"/>
      <c r="Z1200" s="3" t="inlineStr"/>
      <c r="AA1200" s="3" t="inlineStr">
        <is>
          <t>寄付月結</t>
        </is>
      </c>
      <c r="AB1200">
        <f>IFERROR(VLOOKUP(Q1200&amp;"",對照表!$A:$B,1,FALSE),"")</f>
        <v/>
      </c>
      <c r="AC1200">
        <f>IFERROR(VLOOKUP(Q1200&amp;"",對照表!$A:$B,2,FALSE),"")</f>
        <v/>
      </c>
    </row>
    <row r="1201">
      <c r="A1201" s="3" t="inlineStr">
        <is>
          <t>SF5113427654201</t>
        </is>
      </c>
      <c r="B1201" s="3" t="n">
        <v>58435485696073</v>
      </c>
      <c r="C1201" s="3" t="inlineStr">
        <is>
          <t>已簽收</t>
        </is>
      </c>
      <c r="D1201" s="3" t="inlineStr">
        <is>
          <t>2026-07-06 17:06:34</t>
        </is>
      </c>
      <c r="E1201" s="3" t="inlineStr">
        <is>
          <t>2026-07-07 14:25</t>
        </is>
      </c>
      <c r="F1201" s="3" t="n">
        <v>1.66</v>
      </c>
      <c r="G1201" s="3" t="n">
        <v>1</v>
      </c>
      <c r="H1201" s="3" t="n"/>
      <c r="I1201" s="3" t="inlineStr"/>
      <c r="J1201" s="3" t="inlineStr">
        <is>
          <t>Keeta</t>
        </is>
      </c>
      <c r="K1201" s="3" t="inlineStr">
        <is>
          <t>****9568</t>
        </is>
      </c>
      <c r="L1201" s="3" t="n"/>
      <c r="M1201" s="3" t="inlineStr">
        <is>
          <t>***** 物流中心5樓</t>
        </is>
      </c>
      <c r="N1201" s="3" t="inlineStr">
        <is>
          <t>北区</t>
        </is>
      </c>
      <c r="O1201" s="3" t="inlineStr">
        <is>
          <t>香港</t>
        </is>
      </c>
      <c r="P1201" s="3" t="inlineStr">
        <is>
          <t>香港特别行政区</t>
        </is>
      </c>
      <c r="Q1201" s="3" t="n">
        <v>721525289</v>
      </c>
      <c r="R1201" s="3" t="inlineStr">
        <is>
          <t>LesCreations銷量王日式咖喱蛋包飯可追加甜品</t>
        </is>
      </c>
      <c r="S1201" s="3" t="inlineStr">
        <is>
          <t>****64894733</t>
        </is>
      </c>
      <c r="T1201" s="3" t="inlineStr">
        <is>
          <t>****64894733</t>
        </is>
      </c>
      <c r="U1201" s="3" t="inlineStr">
        <is>
          <t>***** 249號地下</t>
        </is>
      </c>
      <c r="V1201" s="3" t="inlineStr">
        <is>
          <t>香港</t>
        </is>
      </c>
      <c r="W1201" s="3" t="inlineStr">
        <is>
          <t>封签【通版】/ 扎出</t>
        </is>
      </c>
      <c r="X1201" s="3" t="inlineStr">
        <is>
          <t>ESS-SFTS-OTMS</t>
        </is>
      </c>
      <c r="Y1201" s="3" t="n"/>
      <c r="Z1201" s="3" t="inlineStr"/>
      <c r="AA1201" s="3" t="inlineStr">
        <is>
          <t>寄付月結</t>
        </is>
      </c>
      <c r="AB1201">
        <f>IFERROR(VLOOKUP(Q1201&amp;"",對照表!$A:$B,1,FALSE),"")</f>
        <v/>
      </c>
      <c r="AC1201">
        <f>IFERROR(VLOOKUP(Q1201&amp;"",對照表!$A:$B,2,FALSE),"")</f>
        <v/>
      </c>
    </row>
    <row r="1202">
      <c r="A1202" s="3" t="inlineStr">
        <is>
          <t>SF5113427654210</t>
        </is>
      </c>
      <c r="B1202" s="3" t="n">
        <v>58435485696074</v>
      </c>
      <c r="C1202" s="3" t="inlineStr">
        <is>
          <t>已簽收</t>
        </is>
      </c>
      <c r="D1202" s="3" t="inlineStr">
        <is>
          <t>2026-07-06 16:36:34</t>
        </is>
      </c>
      <c r="E1202" s="3" t="inlineStr">
        <is>
          <t>2026-07-07 11:29</t>
        </is>
      </c>
      <c r="F1202" s="3" t="n">
        <v>4.45</v>
      </c>
      <c r="G1202" s="3" t="n">
        <v>1</v>
      </c>
      <c r="H1202" s="3" t="n"/>
      <c r="I1202" s="3" t="inlineStr"/>
      <c r="J1202" s="3" t="inlineStr">
        <is>
          <t>Keeta</t>
        </is>
      </c>
      <c r="K1202" s="3" t="inlineStr">
        <is>
          <t>****9568</t>
        </is>
      </c>
      <c r="L1202" s="3" t="n"/>
      <c r="M1202" s="3" t="inlineStr">
        <is>
          <t>***** 物流中心5樓</t>
        </is>
      </c>
      <c r="N1202" s="3" t="inlineStr">
        <is>
          <t>北区</t>
        </is>
      </c>
      <c r="O1202" s="3" t="inlineStr">
        <is>
          <t>香港</t>
        </is>
      </c>
      <c r="P1202" s="3" t="inlineStr">
        <is>
          <t>香港特别行政区</t>
        </is>
      </c>
      <c r="Q1202" s="3" t="n">
        <v>471830</v>
      </c>
      <c r="R1202" s="3" t="inlineStr">
        <is>
          <t>雞仔去骨海南雞專門店(大角咀)</t>
        </is>
      </c>
      <c r="S1202" s="3" t="inlineStr">
        <is>
          <t>****54247222</t>
        </is>
      </c>
      <c r="T1202" s="3" t="inlineStr">
        <is>
          <t>****54247222</t>
        </is>
      </c>
      <c r="U1202" s="3" t="inlineStr">
        <is>
          <t>***** 地下5B號舖</t>
        </is>
      </c>
      <c r="V1202" s="3" t="inlineStr">
        <is>
          <t>香港</t>
        </is>
      </c>
      <c r="W1202" s="3" t="inlineStr">
        <is>
          <t>机纸/小票纸 / 包出</t>
        </is>
      </c>
      <c r="X1202" s="3" t="inlineStr">
        <is>
          <t>ESS-SFTS-OTMS</t>
        </is>
      </c>
      <c r="Y1202" s="3" t="n"/>
      <c r="Z1202" s="3" t="inlineStr"/>
      <c r="AA1202" s="3" t="inlineStr">
        <is>
          <t>寄付月結</t>
        </is>
      </c>
      <c r="AB1202">
        <f>IFERROR(VLOOKUP(Q1202&amp;"",對照表!$A:$B,1,FALSE),"")</f>
        <v/>
      </c>
      <c r="AC1202">
        <f>IFERROR(VLOOKUP(Q1202&amp;"",對照表!$A:$B,2,FALSE),"")</f>
        <v/>
      </c>
    </row>
    <row r="1203">
      <c r="A1203" s="3" t="inlineStr">
        <is>
          <t>SF5113427654070</t>
        </is>
      </c>
      <c r="B1203" s="3" t="n">
        <v>58435485696042</v>
      </c>
      <c r="C1203" s="3" t="inlineStr">
        <is>
          <t>已簽收</t>
        </is>
      </c>
      <c r="D1203" s="3" t="inlineStr">
        <is>
          <t>2026-07-06 16:44:33</t>
        </is>
      </c>
      <c r="E1203" s="3" t="inlineStr">
        <is>
          <t>2026-07-07 11:21</t>
        </is>
      </c>
      <c r="F1203" s="3" t="n">
        <v>0.67</v>
      </c>
      <c r="G1203" s="3" t="n">
        <v>1</v>
      </c>
      <c r="H1203" s="3" t="n"/>
      <c r="I1203" s="3" t="inlineStr"/>
      <c r="J1203" s="3" t="inlineStr">
        <is>
          <t>Keeta</t>
        </is>
      </c>
      <c r="K1203" s="3" t="inlineStr">
        <is>
          <t>****9568</t>
        </is>
      </c>
      <c r="L1203" s="3" t="n"/>
      <c r="M1203" s="3" t="inlineStr">
        <is>
          <t>***** 物流中心5樓</t>
        </is>
      </c>
      <c r="N1203" s="3" t="inlineStr">
        <is>
          <t>北区</t>
        </is>
      </c>
      <c r="O1203" s="3" t="inlineStr">
        <is>
          <t>香港</t>
        </is>
      </c>
      <c r="P1203" s="3" t="inlineStr">
        <is>
          <t>香港特别行政区</t>
        </is>
      </c>
      <c r="Q1203" s="3" t="n">
        <v>721515370</v>
      </c>
      <c r="R1203" s="3" t="inlineStr">
        <is>
          <t>麥當勞(麗港城)McDonalds</t>
        </is>
      </c>
      <c r="S1203" s="3" t="inlineStr">
        <is>
          <t>****23463285</t>
        </is>
      </c>
      <c r="T1203" s="3" t="inlineStr">
        <is>
          <t>****23463285</t>
        </is>
      </c>
      <c r="U1203" s="3" t="inlineStr">
        <is>
          <t>***** 下6-9號舖</t>
        </is>
      </c>
      <c r="V1203" s="3" t="inlineStr">
        <is>
          <t>香港</t>
        </is>
      </c>
      <c r="W1203" s="3" t="inlineStr">
        <is>
          <t>机纸/小票纸 / 包出</t>
        </is>
      </c>
      <c r="X1203" s="3" t="inlineStr">
        <is>
          <t>ESS-SFTS-OTMS</t>
        </is>
      </c>
      <c r="Y1203" s="3" t="n"/>
      <c r="Z1203" s="3" t="inlineStr"/>
      <c r="AA1203" s="3" t="inlineStr">
        <is>
          <t>寄付月結</t>
        </is>
      </c>
      <c r="AB1203">
        <f>IFERROR(VLOOKUP(Q1203&amp;"",對照表!$A:$B,1,FALSE),"")</f>
        <v/>
      </c>
      <c r="AC1203">
        <f>IFERROR(VLOOKUP(Q1203&amp;"",對照表!$A:$B,2,FALSE),"")</f>
        <v/>
      </c>
    </row>
    <row r="1204">
      <c r="A1204" s="3" t="inlineStr">
        <is>
          <t>SF5113427654195</t>
        </is>
      </c>
      <c r="B1204" s="3" t="n">
        <v>58435485696070</v>
      </c>
      <c r="C1204" s="3" t="inlineStr">
        <is>
          <t>已簽收</t>
        </is>
      </c>
      <c r="D1204" s="3" t="inlineStr">
        <is>
          <t>2026-07-06 17:51:02</t>
        </is>
      </c>
      <c r="E1204" s="3" t="inlineStr">
        <is>
          <t>2026-07-07 12:35</t>
        </is>
      </c>
      <c r="F1204" s="3" t="n">
        <v>11.59</v>
      </c>
      <c r="G1204" s="3" t="n">
        <v>1</v>
      </c>
      <c r="H1204" s="3" t="n"/>
      <c r="I1204" s="3" t="inlineStr"/>
      <c r="J1204" s="3" t="inlineStr">
        <is>
          <t>Keeta</t>
        </is>
      </c>
      <c r="K1204" s="3" t="inlineStr">
        <is>
          <t>****9568</t>
        </is>
      </c>
      <c r="L1204" s="3" t="n"/>
      <c r="M1204" s="3" t="inlineStr">
        <is>
          <t>***** 物流中心5樓</t>
        </is>
      </c>
      <c r="N1204" s="3" t="inlineStr">
        <is>
          <t>北区</t>
        </is>
      </c>
      <c r="O1204" s="3" t="inlineStr">
        <is>
          <t>香港</t>
        </is>
      </c>
      <c r="P1204" s="3" t="inlineStr">
        <is>
          <t>香港特别行政区</t>
        </is>
      </c>
      <c r="Q1204" s="3" t="n">
        <v>602874</v>
      </c>
      <c r="R1204" s="3" t="inlineStr">
        <is>
          <t>SULJIB</t>
        </is>
      </c>
      <c r="S1204" s="3" t="inlineStr">
        <is>
          <t>****35802798</t>
        </is>
      </c>
      <c r="T1204" s="3" t="inlineStr">
        <is>
          <t>****35802798</t>
        </is>
      </c>
      <c r="U1204" s="3" t="inlineStr">
        <is>
          <t>***** 1302號舖</t>
        </is>
      </c>
      <c r="V1204" s="3" t="inlineStr">
        <is>
          <t>香港</t>
        </is>
      </c>
      <c r="W1204" s="3" t="inlineStr">
        <is>
          <t>无纺布【规格四大号】/ 箱出</t>
        </is>
      </c>
      <c r="X1204" s="3" t="inlineStr">
        <is>
          <t>ESS-SFTS-OTMS</t>
        </is>
      </c>
      <c r="Y1204" s="3" t="n"/>
      <c r="Z1204" s="3" t="inlineStr"/>
      <c r="AA1204" s="3" t="inlineStr">
        <is>
          <t>寄付月結</t>
        </is>
      </c>
      <c r="AB1204">
        <f>IFERROR(VLOOKUP(Q1204&amp;"",對照表!$A:$B,1,FALSE),"")</f>
        <v/>
      </c>
      <c r="AC1204">
        <f>IFERROR(VLOOKUP(Q1204&amp;"",對照表!$A:$B,2,FALSE),"")</f>
        <v/>
      </c>
    </row>
    <row r="1205">
      <c r="A1205" s="3" t="inlineStr">
        <is>
          <t>SF5113427654159</t>
        </is>
      </c>
      <c r="B1205" s="3" t="n">
        <v>58435485696060</v>
      </c>
      <c r="C1205" s="3" t="inlineStr">
        <is>
          <t>已簽收</t>
        </is>
      </c>
      <c r="D1205" s="3" t="inlineStr">
        <is>
          <t>2026-07-06 16:36:35</t>
        </is>
      </c>
      <c r="E1205" s="3" t="inlineStr">
        <is>
          <t>2026-07-07 10:21</t>
        </is>
      </c>
      <c r="F1205" s="3" t="n">
        <v>4.45</v>
      </c>
      <c r="G1205" s="3" t="n">
        <v>1</v>
      </c>
      <c r="H1205" s="3" t="n"/>
      <c r="I1205" s="3" t="inlineStr"/>
      <c r="J1205" s="3" t="inlineStr">
        <is>
          <t>Keeta</t>
        </is>
      </c>
      <c r="K1205" s="3" t="inlineStr">
        <is>
          <t>****9568</t>
        </is>
      </c>
      <c r="L1205" s="3" t="n"/>
      <c r="M1205" s="3" t="inlineStr">
        <is>
          <t>***** 物流中心5樓</t>
        </is>
      </c>
      <c r="N1205" s="3" t="inlineStr">
        <is>
          <t>北区</t>
        </is>
      </c>
      <c r="O1205" s="3" t="inlineStr">
        <is>
          <t>香港</t>
        </is>
      </c>
      <c r="P1205" s="3" t="inlineStr">
        <is>
          <t>香港特别行政区</t>
        </is>
      </c>
      <c r="Q1205" s="3" t="n">
        <v>601024</v>
      </c>
      <c r="R1205" s="3" t="inlineStr">
        <is>
          <t>潮龍園（河畔花園）</t>
        </is>
      </c>
      <c r="S1205" s="3" t="inlineStr">
        <is>
          <t>****52368311</t>
        </is>
      </c>
      <c r="T1205" s="3" t="inlineStr">
        <is>
          <t>****52368311</t>
        </is>
      </c>
      <c r="U1205" s="3" t="inlineStr">
        <is>
          <t>***** 地下18號舖</t>
        </is>
      </c>
      <c r="V1205" s="3" t="inlineStr">
        <is>
          <t>香港</t>
        </is>
      </c>
      <c r="W1205" s="3" t="inlineStr">
        <is>
          <t>机纸/小票纸 / 包出</t>
        </is>
      </c>
      <c r="X1205" s="3" t="inlineStr">
        <is>
          <t>ESS-SFTS-OTMS</t>
        </is>
      </c>
      <c r="Y1205" s="3" t="n"/>
      <c r="Z1205" s="3" t="inlineStr"/>
      <c r="AA1205" s="3" t="inlineStr">
        <is>
          <t>寄付月結</t>
        </is>
      </c>
      <c r="AB1205">
        <f>IFERROR(VLOOKUP(Q1205&amp;"",對照表!$A:$B,1,FALSE),"")</f>
        <v/>
      </c>
      <c r="AC1205">
        <f>IFERROR(VLOOKUP(Q1205&amp;"",對照表!$A:$B,2,FALSE),"")</f>
        <v/>
      </c>
    </row>
    <row r="1206">
      <c r="A1206" s="3" t="inlineStr">
        <is>
          <t>SF5113427653843</t>
        </is>
      </c>
      <c r="B1206" s="3" t="n">
        <v>58435485663455</v>
      </c>
      <c r="C1206" s="3" t="inlineStr">
        <is>
          <t>已簽收</t>
        </is>
      </c>
      <c r="D1206" s="3" t="inlineStr">
        <is>
          <t>2026-07-06 17:11:16</t>
        </is>
      </c>
      <c r="E1206" s="3" t="inlineStr">
        <is>
          <t>2026-07-07 11:05</t>
        </is>
      </c>
      <c r="F1206" s="3" t="n">
        <v>2.8</v>
      </c>
      <c r="G1206" s="3" t="n">
        <v>1</v>
      </c>
      <c r="H1206" s="3" t="n"/>
      <c r="I1206" s="3" t="inlineStr"/>
      <c r="J1206" s="3" t="inlineStr">
        <is>
          <t>Keeta</t>
        </is>
      </c>
      <c r="K1206" s="3" t="inlineStr">
        <is>
          <t>****9568</t>
        </is>
      </c>
      <c r="L1206" s="3" t="n"/>
      <c r="M1206" s="3" t="inlineStr">
        <is>
          <t>***** 物流中心5樓</t>
        </is>
      </c>
      <c r="N1206" s="3" t="inlineStr">
        <is>
          <t>北区</t>
        </is>
      </c>
      <c r="O1206" s="3" t="inlineStr">
        <is>
          <t>香港</t>
        </is>
      </c>
      <c r="P1206" s="3" t="inlineStr">
        <is>
          <t>香港特别行政区</t>
        </is>
      </c>
      <c r="Q1206" s="3" t="n">
        <v>596246</v>
      </c>
      <c r="R1206" s="3" t="inlineStr">
        <is>
          <t>星君冰廳Singkwancafe</t>
        </is>
      </c>
      <c r="S1206" s="3" t="inlineStr">
        <is>
          <t>****31508030</t>
        </is>
      </c>
      <c r="T1206" s="3" t="inlineStr">
        <is>
          <t>****31508030</t>
        </is>
      </c>
      <c r="U1206" s="3" t="inlineStr">
        <is>
          <t>***** 地下11號舖</t>
        </is>
      </c>
      <c r="V1206" s="3" t="inlineStr">
        <is>
          <t>香港</t>
        </is>
      </c>
      <c r="W1206" s="3" t="inlineStr">
        <is>
          <t>机纸/小票纸 / 包出</t>
        </is>
      </c>
      <c r="X1206" s="3" t="inlineStr">
        <is>
          <t>ESS-SFTS-OTMS</t>
        </is>
      </c>
      <c r="Y1206" s="3" t="n"/>
      <c r="Z1206" s="3" t="inlineStr"/>
      <c r="AA1206" s="3" t="inlineStr">
        <is>
          <t>寄付月結</t>
        </is>
      </c>
      <c r="AB1206">
        <f>IFERROR(VLOOKUP(Q1206&amp;"",對照表!$A:$B,1,FALSE),"")</f>
        <v/>
      </c>
      <c r="AC1206">
        <f>IFERROR(VLOOKUP(Q1206&amp;"",對照表!$A:$B,2,FALSE),"")</f>
        <v/>
      </c>
    </row>
    <row r="1207">
      <c r="A1207" s="3" t="inlineStr">
        <is>
          <t>SF5113427653977</t>
        </is>
      </c>
      <c r="B1207" s="3" t="n">
        <v>58435485696023</v>
      </c>
      <c r="C1207" s="3" t="inlineStr">
        <is>
          <t>已簽收</t>
        </is>
      </c>
      <c r="D1207" s="3" t="inlineStr">
        <is>
          <t>2026-07-06 15:44:30</t>
        </is>
      </c>
      <c r="E1207" s="3" t="inlineStr">
        <is>
          <t>2026-07-07 13:56</t>
        </is>
      </c>
      <c r="F1207" s="3" t="n">
        <v>145</v>
      </c>
      <c r="G1207" s="3" t="n">
        <v>10</v>
      </c>
      <c r="H1207" s="3" t="n"/>
      <c r="I1207" s="3" t="inlineStr"/>
      <c r="J1207" s="3" t="inlineStr">
        <is>
          <t>Keeta</t>
        </is>
      </c>
      <c r="K1207" s="3" t="inlineStr">
        <is>
          <t>****9568</t>
        </is>
      </c>
      <c r="L1207" s="3" t="n"/>
      <c r="M1207" s="3" t="inlineStr">
        <is>
          <t>***** 物流中心5樓</t>
        </is>
      </c>
      <c r="N1207" s="3" t="inlineStr">
        <is>
          <t>北区</t>
        </is>
      </c>
      <c r="O1207" s="3" t="inlineStr">
        <is>
          <t>香港</t>
        </is>
      </c>
      <c r="P1207" s="3" t="inlineStr">
        <is>
          <t>香港特别行政区</t>
        </is>
      </c>
      <c r="Q1207" s="3" t="n">
        <v>462212</v>
      </c>
      <c r="R1207" s="3" t="inlineStr">
        <is>
          <t>麥當勞(太安樓)McDonalds</t>
        </is>
      </c>
      <c r="S1207" s="3" t="inlineStr">
        <is>
          <t>****29679830</t>
        </is>
      </c>
      <c r="T1207" s="3" t="inlineStr">
        <is>
          <t>****29679830</t>
        </is>
      </c>
      <c r="U1207" s="3" t="inlineStr">
        <is>
          <t>***** -G34號舖</t>
        </is>
      </c>
      <c r="V1207" s="3" t="inlineStr">
        <is>
          <t>香港</t>
        </is>
      </c>
      <c r="W1207" s="3" t="inlineStr">
        <is>
          <t>纸袋【通版】/ 箱出</t>
        </is>
      </c>
      <c r="X1207" s="3" t="inlineStr">
        <is>
          <t>ESS-SFTS-OTMS</t>
        </is>
      </c>
      <c r="Y1207" s="3" t="n"/>
      <c r="Z1207" s="3" t="inlineStr"/>
      <c r="AA1207" s="3" t="inlineStr">
        <is>
          <t>寄付月結</t>
        </is>
      </c>
      <c r="AB1207">
        <f>IFERROR(VLOOKUP(Q1207&amp;"",對照表!$A:$B,1,FALSE),"")</f>
        <v/>
      </c>
      <c r="AC1207">
        <f>IFERROR(VLOOKUP(Q1207&amp;"",對照表!$A:$B,2,FALSE),"")</f>
        <v/>
      </c>
    </row>
    <row r="1208">
      <c r="A1208" s="3" t="inlineStr">
        <is>
          <t>SF5113427654098</t>
        </is>
      </c>
      <c r="B1208" s="3" t="n">
        <v>58435485696047</v>
      </c>
      <c r="C1208" s="3" t="inlineStr">
        <is>
          <t>已簽收</t>
        </is>
      </c>
      <c r="D1208" s="3" t="inlineStr">
        <is>
          <t>2026-07-06 15:19:31</t>
        </is>
      </c>
      <c r="E1208" s="3" t="inlineStr">
        <is>
          <t>2026-07-07 11:57</t>
        </is>
      </c>
      <c r="F1208" s="3" t="n">
        <v>14.5</v>
      </c>
      <c r="G1208" s="3" t="n">
        <v>1</v>
      </c>
      <c r="H1208" s="3" t="n"/>
      <c r="I1208" s="3" t="inlineStr"/>
      <c r="J1208" s="3" t="inlineStr">
        <is>
          <t>Keeta</t>
        </is>
      </c>
      <c r="K1208" s="3" t="inlineStr">
        <is>
          <t>****9568</t>
        </is>
      </c>
      <c r="L1208" s="3" t="n"/>
      <c r="M1208" s="3" t="inlineStr">
        <is>
          <t>***** 物流中心5樓</t>
        </is>
      </c>
      <c r="N1208" s="3" t="inlineStr">
        <is>
          <t>北区</t>
        </is>
      </c>
      <c r="O1208" s="3" t="inlineStr">
        <is>
          <t>香港</t>
        </is>
      </c>
      <c r="P1208" s="3" t="inlineStr">
        <is>
          <t>香港特别行政区</t>
        </is>
      </c>
      <c r="Q1208" s="3" t="n">
        <v>721531395</v>
      </c>
      <c r="R1208" s="3" t="inlineStr">
        <is>
          <t>酸辣媽媽</t>
        </is>
      </c>
      <c r="S1208" s="3" t="inlineStr">
        <is>
          <t>****9933224</t>
        </is>
      </c>
      <c r="T1208" s="3" t="inlineStr">
        <is>
          <t>****9933224</t>
        </is>
      </c>
      <c r="U1208" s="3" t="inlineStr">
        <is>
          <t>***** 樓E門R5室</t>
        </is>
      </c>
      <c r="V1208" s="3" t="inlineStr">
        <is>
          <t>香港</t>
        </is>
      </c>
      <c r="W1208" s="3" t="inlineStr">
        <is>
          <t>纸袋【通版】/ 箱出</t>
        </is>
      </c>
      <c r="X1208" s="3" t="inlineStr">
        <is>
          <t>ESS-SFTS-OTMS</t>
        </is>
      </c>
      <c r="Y1208" s="3" t="n"/>
      <c r="Z1208" s="3" t="inlineStr"/>
      <c r="AA1208" s="3" t="inlineStr">
        <is>
          <t>寄付月結</t>
        </is>
      </c>
      <c r="AB1208">
        <f>IFERROR(VLOOKUP(Q1208&amp;"",對照表!$A:$B,1,FALSE),"")</f>
        <v/>
      </c>
      <c r="AC1208">
        <f>IFERROR(VLOOKUP(Q1208&amp;"",對照表!$A:$B,2,FALSE),"")</f>
        <v/>
      </c>
    </row>
    <row r="1209">
      <c r="A1209" s="3" t="inlineStr">
        <is>
          <t>SF5113427653959</t>
        </is>
      </c>
      <c r="B1209" s="3" t="n">
        <v>58435485696019</v>
      </c>
      <c r="C1209" s="3" t="inlineStr">
        <is>
          <t>已簽收</t>
        </is>
      </c>
      <c r="D1209" s="3" t="inlineStr">
        <is>
          <t>2026-07-06 16:27:53</t>
        </is>
      </c>
      <c r="E1209" s="3" t="inlineStr">
        <is>
          <t>2026-07-07 09:43</t>
        </is>
      </c>
      <c r="F1209" s="3" t="n">
        <v>29</v>
      </c>
      <c r="G1209" s="3" t="n">
        <v>2</v>
      </c>
      <c r="H1209" s="3" t="n"/>
      <c r="I1209" s="3" t="inlineStr"/>
      <c r="J1209" s="3" t="inlineStr">
        <is>
          <t>Keeta</t>
        </is>
      </c>
      <c r="K1209" s="3" t="inlineStr">
        <is>
          <t>****9568</t>
        </is>
      </c>
      <c r="L1209" s="3" t="n"/>
      <c r="M1209" s="3" t="inlineStr">
        <is>
          <t>***** 物流中心5樓</t>
        </is>
      </c>
      <c r="N1209" s="3" t="inlineStr">
        <is>
          <t>北区</t>
        </is>
      </c>
      <c r="O1209" s="3" t="inlineStr">
        <is>
          <t>香港</t>
        </is>
      </c>
      <c r="P1209" s="3" t="inlineStr">
        <is>
          <t>香港特别行政区</t>
        </is>
      </c>
      <c r="Q1209" s="3" t="n">
        <v>721534384</v>
      </c>
      <c r="R1209" s="3" t="inlineStr">
        <is>
          <t>麥當勞(大興)McDonalds</t>
        </is>
      </c>
      <c r="S1209" s="3" t="inlineStr">
        <is>
          <t>****22346011</t>
        </is>
      </c>
      <c r="T1209" s="3" t="inlineStr">
        <is>
          <t>****22346011</t>
        </is>
      </c>
      <c r="U1209" s="3" t="inlineStr">
        <is>
          <t>***** L101號舖</t>
        </is>
      </c>
      <c r="V1209" s="3" t="inlineStr">
        <is>
          <t>香港</t>
        </is>
      </c>
      <c r="W1209" s="3" t="inlineStr">
        <is>
          <t>纸袋【通版】/ 箱出</t>
        </is>
      </c>
      <c r="X1209" s="3" t="inlineStr">
        <is>
          <t>ESS-SFTS-OTMS</t>
        </is>
      </c>
      <c r="Y1209" s="3" t="n"/>
      <c r="Z1209" s="3" t="inlineStr"/>
      <c r="AA1209" s="3" t="inlineStr">
        <is>
          <t>寄付月結</t>
        </is>
      </c>
      <c r="AB1209">
        <f>IFERROR(VLOOKUP(Q1209&amp;"",對照表!$A:$B,1,FALSE),"")</f>
        <v/>
      </c>
      <c r="AC1209">
        <f>IFERROR(VLOOKUP(Q1209&amp;"",對照表!$A:$B,2,FALSE),"")</f>
        <v/>
      </c>
    </row>
    <row r="1210">
      <c r="A1210" s="3" t="inlineStr">
        <is>
          <t>SF5113427654186</t>
        </is>
      </c>
      <c r="B1210" s="3" t="n">
        <v>58435485696068</v>
      </c>
      <c r="C1210" s="3" t="inlineStr">
        <is>
          <t>已簽收</t>
        </is>
      </c>
      <c r="D1210" s="3" t="inlineStr">
        <is>
          <t>2026-07-06 15:19:32</t>
        </is>
      </c>
      <c r="E1210" s="3" t="inlineStr">
        <is>
          <t>2026-07-07 09:59</t>
        </is>
      </c>
      <c r="F1210" s="3" t="n">
        <v>14.5</v>
      </c>
      <c r="G1210" s="3" t="n">
        <v>1</v>
      </c>
      <c r="H1210" s="3" t="n"/>
      <c r="I1210" s="3" t="inlineStr"/>
      <c r="J1210" s="3" t="inlineStr">
        <is>
          <t>Keeta</t>
        </is>
      </c>
      <c r="K1210" s="3" t="inlineStr">
        <is>
          <t>****9568</t>
        </is>
      </c>
      <c r="L1210" s="3" t="n"/>
      <c r="M1210" s="3" t="inlineStr">
        <is>
          <t>***** 物流中心5樓</t>
        </is>
      </c>
      <c r="N1210" s="3" t="inlineStr">
        <is>
          <t>北区</t>
        </is>
      </c>
      <c r="O1210" s="3" t="inlineStr">
        <is>
          <t>香港</t>
        </is>
      </c>
      <c r="P1210" s="3" t="inlineStr">
        <is>
          <t>香港特别行政区</t>
        </is>
      </c>
      <c r="Q1210" s="3" t="n">
        <v>460960</v>
      </c>
      <c r="R1210" s="3" t="inlineStr">
        <is>
          <t>SOUTHLANE(ShekTongTsui)</t>
        </is>
      </c>
      <c r="S1210" s="3" t="inlineStr">
        <is>
          <t>****57448390</t>
        </is>
      </c>
      <c r="T1210" s="3" t="inlineStr">
        <is>
          <t>****57448390</t>
        </is>
      </c>
      <c r="U1210" s="3" t="inlineStr">
        <is>
          <t>***** 里14號地舖</t>
        </is>
      </c>
      <c r="V1210" s="3" t="inlineStr">
        <is>
          <t>香港</t>
        </is>
      </c>
      <c r="W1210" s="3" t="inlineStr">
        <is>
          <t>纸袋【通版】/ 箱出</t>
        </is>
      </c>
      <c r="X1210" s="3" t="inlineStr">
        <is>
          <t>ESS-SFTS-OTMS</t>
        </is>
      </c>
      <c r="Y1210" s="3" t="n"/>
      <c r="Z1210" s="3" t="inlineStr"/>
      <c r="AA1210" s="3" t="inlineStr">
        <is>
          <t>寄付月結</t>
        </is>
      </c>
      <c r="AB1210">
        <f>IFERROR(VLOOKUP(Q1210&amp;"",對照表!$A:$B,1,FALSE),"")</f>
        <v/>
      </c>
      <c r="AC1210">
        <f>IFERROR(VLOOKUP(Q1210&amp;"",對照表!$A:$B,2,FALSE),"")</f>
        <v/>
      </c>
    </row>
    <row r="1211">
      <c r="A1211" s="3" t="inlineStr">
        <is>
          <t>SF5113427654052</t>
        </is>
      </c>
      <c r="B1211" s="3" t="n">
        <v>58435485696039</v>
      </c>
      <c r="C1211" s="3" t="inlineStr">
        <is>
          <t>已簽收</t>
        </is>
      </c>
      <c r="D1211" s="3" t="inlineStr">
        <is>
          <t>2026-07-06 17:51:05</t>
        </is>
      </c>
      <c r="E1211" s="3" t="inlineStr">
        <is>
          <t>2026-07-07 12:08</t>
        </is>
      </c>
      <c r="F1211" s="3" t="n">
        <v>11.59</v>
      </c>
      <c r="G1211" s="3" t="n">
        <v>1</v>
      </c>
      <c r="H1211" s="3" t="n"/>
      <c r="I1211" s="3" t="inlineStr"/>
      <c r="J1211" s="3" t="inlineStr">
        <is>
          <t>Keeta</t>
        </is>
      </c>
      <c r="K1211" s="3" t="inlineStr">
        <is>
          <t>****9568</t>
        </is>
      </c>
      <c r="L1211" s="3" t="n"/>
      <c r="M1211" s="3" t="inlineStr">
        <is>
          <t>***** 物流中心5樓</t>
        </is>
      </c>
      <c r="N1211" s="3" t="inlineStr">
        <is>
          <t>北区</t>
        </is>
      </c>
      <c r="O1211" s="3" t="inlineStr">
        <is>
          <t>香港</t>
        </is>
      </c>
      <c r="P1211" s="3" t="inlineStr">
        <is>
          <t>香港特别行政区</t>
        </is>
      </c>
      <c r="Q1211" s="3" t="n">
        <v>462214</v>
      </c>
      <c r="R1211" s="3" t="inlineStr">
        <is>
          <t>手作功夫茶（西菁街順泰大廈店）</t>
        </is>
      </c>
      <c r="S1211" s="3" t="inlineStr">
        <is>
          <t>****55075220</t>
        </is>
      </c>
      <c r="T1211" s="3" t="inlineStr">
        <is>
          <t>****55075220</t>
        </is>
      </c>
      <c r="U1211" s="3" t="inlineStr">
        <is>
          <t>***** 地下2B號舖</t>
        </is>
      </c>
      <c r="V1211" s="3" t="inlineStr">
        <is>
          <t>香港</t>
        </is>
      </c>
      <c r="W1211" s="3" t="inlineStr">
        <is>
          <t>无纺布【规格四大号】/ 箱出</t>
        </is>
      </c>
      <c r="X1211" s="3" t="inlineStr">
        <is>
          <t>ESS-SFTS-OTMS</t>
        </is>
      </c>
      <c r="Y1211" s="3" t="n"/>
      <c r="Z1211" s="3" t="inlineStr"/>
      <c r="AA1211" s="3" t="inlineStr">
        <is>
          <t>寄付月結</t>
        </is>
      </c>
      <c r="AB1211">
        <f>IFERROR(VLOOKUP(Q1211&amp;"",對照表!$A:$B,1,FALSE),"")</f>
        <v/>
      </c>
      <c r="AC1211">
        <f>IFERROR(VLOOKUP(Q1211&amp;"",對照表!$A:$B,2,FALSE),"")</f>
        <v/>
      </c>
    </row>
    <row r="1212">
      <c r="A1212" s="3" t="inlineStr">
        <is>
          <t>SF5113427653834</t>
        </is>
      </c>
      <c r="B1212" s="3" t="n">
        <v>58435485663450</v>
      </c>
      <c r="C1212" s="3" t="inlineStr">
        <is>
          <t>已簽收</t>
        </is>
      </c>
      <c r="D1212" s="3" t="inlineStr">
        <is>
          <t>2026-07-06 16:28:31</t>
        </is>
      </c>
      <c r="E1212" s="3" t="inlineStr">
        <is>
          <t>2026-07-07 10:03</t>
        </is>
      </c>
      <c r="F1212" s="3" t="n">
        <v>58</v>
      </c>
      <c r="G1212" s="3" t="n">
        <v>4</v>
      </c>
      <c r="H1212" s="3" t="n"/>
      <c r="I1212" s="3" t="inlineStr"/>
      <c r="J1212" s="3" t="inlineStr">
        <is>
          <t>Keeta</t>
        </is>
      </c>
      <c r="K1212" s="3" t="inlineStr">
        <is>
          <t>****9568</t>
        </is>
      </c>
      <c r="L1212" s="3" t="n"/>
      <c r="M1212" s="3" t="inlineStr">
        <is>
          <t>***** 物流中心5樓</t>
        </is>
      </c>
      <c r="N1212" s="3" t="inlineStr">
        <is>
          <t>北区</t>
        </is>
      </c>
      <c r="O1212" s="3" t="inlineStr">
        <is>
          <t>香港</t>
        </is>
      </c>
      <c r="P1212" s="3" t="inlineStr">
        <is>
          <t>香港特别行政区</t>
        </is>
      </c>
      <c r="Q1212" s="3" t="n">
        <v>485057</v>
      </c>
      <c r="R1212" s="3" t="inlineStr">
        <is>
          <t>麥當勞(南康)McDonalds</t>
        </is>
      </c>
      <c r="S1212" s="3" t="inlineStr">
        <is>
          <t>****28849853</t>
        </is>
      </c>
      <c r="T1212" s="3" t="inlineStr">
        <is>
          <t>****28849853</t>
        </is>
      </c>
      <c r="U1212" s="3" t="inlineStr">
        <is>
          <t>***** 下低層4號舖</t>
        </is>
      </c>
      <c r="V1212" s="3" t="inlineStr">
        <is>
          <t>香港</t>
        </is>
      </c>
      <c r="W1212" s="3" t="inlineStr">
        <is>
          <t>纸袋【通版】/ 箱出</t>
        </is>
      </c>
      <c r="X1212" s="3" t="inlineStr">
        <is>
          <t>ESS-SFTS-OTMS</t>
        </is>
      </c>
      <c r="Y1212" s="3" t="n"/>
      <c r="Z1212" s="3" t="inlineStr"/>
      <c r="AA1212" s="3" t="inlineStr">
        <is>
          <t>寄付月結</t>
        </is>
      </c>
      <c r="AB1212">
        <f>IFERROR(VLOOKUP(Q1212&amp;"",對照表!$A:$B,1,FALSE),"")</f>
        <v/>
      </c>
      <c r="AC1212">
        <f>IFERROR(VLOOKUP(Q1212&amp;"",對照表!$A:$B,2,FALSE),"")</f>
        <v/>
      </c>
    </row>
    <row r="1213">
      <c r="A1213" s="3" t="inlineStr">
        <is>
          <t>SF5113427653861</t>
        </is>
      </c>
      <c r="B1213" s="3" t="n">
        <v>58435485663458</v>
      </c>
      <c r="C1213" s="3" t="inlineStr">
        <is>
          <t>派送中</t>
        </is>
      </c>
      <c r="D1213" s="3" t="inlineStr">
        <is>
          <t>2026-07-06 17:36:02</t>
        </is>
      </c>
      <c r="E1213" s="3" t="n"/>
      <c r="F1213" s="3" t="n">
        <v>11</v>
      </c>
      <c r="G1213" s="3" t="n">
        <v>2</v>
      </c>
      <c r="H1213" s="3" t="n"/>
      <c r="I1213" s="3" t="inlineStr"/>
      <c r="J1213" s="3" t="inlineStr">
        <is>
          <t>Keeta</t>
        </is>
      </c>
      <c r="K1213" s="3" t="inlineStr">
        <is>
          <t>****9568</t>
        </is>
      </c>
      <c r="L1213" s="3" t="n"/>
      <c r="M1213" s="3" t="inlineStr">
        <is>
          <t>***** 物流中心5樓</t>
        </is>
      </c>
      <c r="N1213" s="3" t="inlineStr">
        <is>
          <t>北区</t>
        </is>
      </c>
      <c r="O1213" s="3" t="inlineStr">
        <is>
          <t>香港</t>
        </is>
      </c>
      <c r="P1213" s="3" t="inlineStr">
        <is>
          <t>香港特别行政区</t>
        </is>
      </c>
      <c r="Q1213" s="3" t="n">
        <v>479664</v>
      </c>
      <c r="R1213" s="3" t="inlineStr">
        <is>
          <t>7Eleven（北角康澤花園）1853</t>
        </is>
      </c>
      <c r="S1213" s="3" t="inlineStr">
        <is>
          <t>****25190318</t>
        </is>
      </c>
      <c r="T1213" s="3" t="inlineStr">
        <is>
          <t>****25190318</t>
        </is>
      </c>
      <c r="U1213" s="3" t="inlineStr">
        <is>
          <t>***** 花園部份地下</t>
        </is>
      </c>
      <c r="V1213" s="3" t="inlineStr">
        <is>
          <t>香港</t>
        </is>
      </c>
      <c r="W1213" s="3" t="inlineStr">
        <is>
          <t>机纸/小票纸 / 包出, 无纺布【规格三中号】/ 箱出</t>
        </is>
      </c>
      <c r="X1213" s="3" t="inlineStr">
        <is>
          <t>ESS-SFTS-OTMS</t>
        </is>
      </c>
      <c r="Y1213" s="3" t="n"/>
      <c r="Z1213" s="3" t="inlineStr"/>
      <c r="AA1213" s="3" t="inlineStr">
        <is>
          <t>寄付月結</t>
        </is>
      </c>
      <c r="AB1213">
        <f>IFERROR(VLOOKUP(Q1213&amp;"",對照表!$A:$B,1,FALSE),"")</f>
        <v/>
      </c>
      <c r="AC1213">
        <f>IFERROR(VLOOKUP(Q1213&amp;"",對照表!$A:$B,2,FALSE),"")</f>
        <v/>
      </c>
    </row>
    <row r="1214">
      <c r="A1214" s="3" t="inlineStr">
        <is>
          <t>SF5113427653913</t>
        </is>
      </c>
      <c r="B1214" s="3" t="n">
        <v>58435485696011</v>
      </c>
      <c r="C1214" s="3" t="inlineStr">
        <is>
          <t>已簽收</t>
        </is>
      </c>
      <c r="D1214" s="3" t="inlineStr">
        <is>
          <t>2026-07-06 16:36:49</t>
        </is>
      </c>
      <c r="E1214" s="3" t="inlineStr">
        <is>
          <t>2026-07-07 16:20</t>
        </is>
      </c>
      <c r="F1214" s="3" t="n">
        <v>4.45</v>
      </c>
      <c r="G1214" s="3" t="n">
        <v>1</v>
      </c>
      <c r="H1214" s="3" t="n"/>
      <c r="I1214" s="3" t="inlineStr"/>
      <c r="J1214" s="3" t="inlineStr">
        <is>
          <t>Keeta</t>
        </is>
      </c>
      <c r="K1214" s="3" t="inlineStr">
        <is>
          <t>****9568</t>
        </is>
      </c>
      <c r="L1214" s="3" t="n"/>
      <c r="M1214" s="3" t="inlineStr">
        <is>
          <t>***** 物流中心5樓</t>
        </is>
      </c>
      <c r="N1214" s="3" t="inlineStr">
        <is>
          <t>北区</t>
        </is>
      </c>
      <c r="O1214" s="3" t="inlineStr">
        <is>
          <t>香港</t>
        </is>
      </c>
      <c r="P1214" s="3" t="inlineStr">
        <is>
          <t>香港特别行政区</t>
        </is>
      </c>
      <c r="Q1214" s="3" t="n">
        <v>721525418</v>
      </c>
      <c r="R1214" s="3" t="inlineStr">
        <is>
          <t>農耕記·湖南土菜（荃灣）</t>
        </is>
      </c>
      <c r="S1214" s="3" t="inlineStr">
        <is>
          <t>****90711087</t>
        </is>
      </c>
      <c r="T1214" s="3" t="inlineStr">
        <is>
          <t>****90711087</t>
        </is>
      </c>
      <c r="U1214" s="3" t="inlineStr">
        <is>
          <t>***** 楼3012号</t>
        </is>
      </c>
      <c r="V1214" s="3" t="inlineStr">
        <is>
          <t>香港</t>
        </is>
      </c>
      <c r="W1214" s="3" t="inlineStr">
        <is>
          <t>机纸/小票纸 / 包出</t>
        </is>
      </c>
      <c r="X1214" s="3" t="inlineStr">
        <is>
          <t>ESS-SFTS-OTMS</t>
        </is>
      </c>
      <c r="Y1214" s="3" t="n"/>
      <c r="Z1214" s="3" t="inlineStr"/>
      <c r="AA1214" s="3" t="inlineStr">
        <is>
          <t>寄付月結</t>
        </is>
      </c>
      <c r="AB1214">
        <f>IFERROR(VLOOKUP(Q1214&amp;"",對照表!$A:$B,1,FALSE),"")</f>
        <v/>
      </c>
      <c r="AC1214">
        <f>IFERROR(VLOOKUP(Q1214&amp;"",對照表!$A:$B,2,FALSE),"")</f>
        <v/>
      </c>
    </row>
    <row r="1215">
      <c r="A1215" s="3" t="inlineStr">
        <is>
          <t>SF5113427654140</t>
        </is>
      </c>
      <c r="B1215" s="3" t="n">
        <v>58435485696058</v>
      </c>
      <c r="C1215" s="3" t="inlineStr">
        <is>
          <t>已簽收</t>
        </is>
      </c>
      <c r="D1215" s="3" t="inlineStr">
        <is>
          <t>2026-07-06 16:36:36</t>
        </is>
      </c>
      <c r="E1215" s="3" t="inlineStr">
        <is>
          <t>2026-07-07 13:34</t>
        </is>
      </c>
      <c r="F1215" s="3" t="n">
        <v>4.45</v>
      </c>
      <c r="G1215" s="3" t="n">
        <v>1</v>
      </c>
      <c r="H1215" s="3" t="n"/>
      <c r="I1215" s="3" t="inlineStr"/>
      <c r="J1215" s="3" t="inlineStr">
        <is>
          <t>Keeta</t>
        </is>
      </c>
      <c r="K1215" s="3" t="inlineStr">
        <is>
          <t>****9568</t>
        </is>
      </c>
      <c r="L1215" s="3" t="n"/>
      <c r="M1215" s="3" t="inlineStr">
        <is>
          <t>***** 物流中心5樓</t>
        </is>
      </c>
      <c r="N1215" s="3" t="inlineStr">
        <is>
          <t>北区</t>
        </is>
      </c>
      <c r="O1215" s="3" t="inlineStr">
        <is>
          <t>香港</t>
        </is>
      </c>
      <c r="P1215" s="3" t="inlineStr">
        <is>
          <t>香港特别行政区</t>
        </is>
      </c>
      <c r="Q1215" s="3" t="n">
        <v>484731</v>
      </c>
      <c r="R1215" s="3" t="inlineStr">
        <is>
          <t>初遇(西灣河)台式便當手工麵</t>
        </is>
      </c>
      <c r="S1215" s="3" t="inlineStr">
        <is>
          <t>****28193299</t>
        </is>
      </c>
      <c r="T1215" s="3" t="inlineStr">
        <is>
          <t>****28193299</t>
        </is>
      </c>
      <c r="U1215" s="3" t="inlineStr">
        <is>
          <t>***** 下G25號舖</t>
        </is>
      </c>
      <c r="V1215" s="3" t="inlineStr">
        <is>
          <t>香港</t>
        </is>
      </c>
      <c r="W1215" s="3" t="inlineStr">
        <is>
          <t>机纸/小票纸 / 包出</t>
        </is>
      </c>
      <c r="X1215" s="3" t="inlineStr">
        <is>
          <t>ESS-SFTS-OTMS</t>
        </is>
      </c>
      <c r="Y1215" s="3" t="n"/>
      <c r="Z1215" s="3" t="inlineStr"/>
      <c r="AA1215" s="3" t="inlineStr">
        <is>
          <t>寄付月結</t>
        </is>
      </c>
      <c r="AB1215">
        <f>IFERROR(VLOOKUP(Q1215&amp;"",對照表!$A:$B,1,FALSE),"")</f>
        <v/>
      </c>
      <c r="AC1215">
        <f>IFERROR(VLOOKUP(Q1215&amp;"",對照表!$A:$B,2,FALSE),"")</f>
        <v/>
      </c>
    </row>
    <row r="1216">
      <c r="A1216" s="3" t="inlineStr">
        <is>
          <t>SF5113427654122</t>
        </is>
      </c>
      <c r="B1216" s="3" t="n">
        <v>58435485696053</v>
      </c>
      <c r="C1216" s="3" t="inlineStr">
        <is>
          <t>已簽收</t>
        </is>
      </c>
      <c r="D1216" s="3" t="inlineStr">
        <is>
          <t>2026-07-06 16:36:41</t>
        </is>
      </c>
      <c r="E1216" s="3" t="inlineStr">
        <is>
          <t>2026-07-07 12:58</t>
        </is>
      </c>
      <c r="F1216" s="3" t="n">
        <v>4.45</v>
      </c>
      <c r="G1216" s="3" t="n">
        <v>1</v>
      </c>
      <c r="H1216" s="3" t="n"/>
      <c r="I1216" s="3" t="inlineStr"/>
      <c r="J1216" s="3" t="inlineStr">
        <is>
          <t>Keeta</t>
        </is>
      </c>
      <c r="K1216" s="3" t="inlineStr">
        <is>
          <t>****9568</t>
        </is>
      </c>
      <c r="L1216" s="3" t="n"/>
      <c r="M1216" s="3" t="inlineStr">
        <is>
          <t>***** 物流中心5樓</t>
        </is>
      </c>
      <c r="N1216" s="3" t="inlineStr">
        <is>
          <t>北区</t>
        </is>
      </c>
      <c r="O1216" s="3" t="inlineStr">
        <is>
          <t>香港</t>
        </is>
      </c>
      <c r="P1216" s="3" t="inlineStr">
        <is>
          <t>香港特别行政区</t>
        </is>
      </c>
      <c r="Q1216" s="3" t="n">
        <v>488263</v>
      </c>
      <c r="R1216" s="3" t="inlineStr">
        <is>
          <t>兩三碗車仔麵</t>
        </is>
      </c>
      <c r="S1216" s="3" t="inlineStr">
        <is>
          <t>****62076420</t>
        </is>
      </c>
      <c r="T1216" s="3" t="inlineStr">
        <is>
          <t>****62076420</t>
        </is>
      </c>
      <c r="U1216" s="3" t="inlineStr">
        <is>
          <t>***** 嘉華大廈地舖</t>
        </is>
      </c>
      <c r="V1216" s="3" t="inlineStr">
        <is>
          <t>香港</t>
        </is>
      </c>
      <c r="W1216" s="3" t="inlineStr">
        <is>
          <t>机纸/小票纸 / 包出</t>
        </is>
      </c>
      <c r="X1216" s="3" t="inlineStr">
        <is>
          <t>ESS-SFTS-OTMS</t>
        </is>
      </c>
      <c r="Y1216" s="3" t="n"/>
      <c r="Z1216" s="3" t="inlineStr"/>
      <c r="AA1216" s="3" t="inlineStr">
        <is>
          <t>寄付月結</t>
        </is>
      </c>
      <c r="AB1216">
        <f>IFERROR(VLOOKUP(Q1216&amp;"",對照表!$A:$B,1,FALSE),"")</f>
        <v/>
      </c>
      <c r="AC1216">
        <f>IFERROR(VLOOKUP(Q1216&amp;"",對照表!$A:$B,2,FALSE),"")</f>
        <v/>
      </c>
    </row>
    <row r="1217">
      <c r="A1217" s="3" t="inlineStr">
        <is>
          <t>SF5113427654113</t>
        </is>
      </c>
      <c r="B1217" s="3" t="n">
        <v>58435485696049</v>
      </c>
      <c r="C1217" s="3" t="inlineStr">
        <is>
          <t>已簽收</t>
        </is>
      </c>
      <c r="D1217" s="3" t="inlineStr">
        <is>
          <t>2026-07-06 16:36:39</t>
        </is>
      </c>
      <c r="E1217" s="3" t="inlineStr">
        <is>
          <t>2026-07-07 11:17</t>
        </is>
      </c>
      <c r="F1217" s="3" t="n">
        <v>4.45</v>
      </c>
      <c r="G1217" s="3" t="n">
        <v>1</v>
      </c>
      <c r="H1217" s="3" t="n"/>
      <c r="I1217" s="3" t="inlineStr"/>
      <c r="J1217" s="3" t="inlineStr">
        <is>
          <t>Keeta</t>
        </is>
      </c>
      <c r="K1217" s="3" t="inlineStr">
        <is>
          <t>****9568</t>
        </is>
      </c>
      <c r="L1217" s="3" t="n"/>
      <c r="M1217" s="3" t="inlineStr">
        <is>
          <t>***** 物流中心5樓</t>
        </is>
      </c>
      <c r="N1217" s="3" t="inlineStr">
        <is>
          <t>北区</t>
        </is>
      </c>
      <c r="O1217" s="3" t="inlineStr">
        <is>
          <t>香港</t>
        </is>
      </c>
      <c r="P1217" s="3" t="inlineStr">
        <is>
          <t>香港特别行政区</t>
        </is>
      </c>
      <c r="Q1217" s="3" t="n">
        <v>462112</v>
      </c>
      <c r="R1217" s="3" t="inlineStr">
        <is>
          <t>莆田(中環TheLPlace)</t>
        </is>
      </c>
      <c r="S1217" s="3" t="inlineStr">
        <is>
          <t>****28028488</t>
        </is>
      </c>
      <c r="T1217" s="3" t="inlineStr">
        <is>
          <t>****28028488</t>
        </is>
      </c>
      <c r="U1217" s="3" t="inlineStr">
        <is>
          <t>***** lace7樓</t>
        </is>
      </c>
      <c r="V1217" s="3" t="inlineStr">
        <is>
          <t>香港</t>
        </is>
      </c>
      <c r="W1217" s="3" t="inlineStr">
        <is>
          <t>机纸/小票纸 / 包出</t>
        </is>
      </c>
      <c r="X1217" s="3" t="inlineStr">
        <is>
          <t>ESS-SFTS-OTMS</t>
        </is>
      </c>
      <c r="Y1217" s="3" t="n"/>
      <c r="Z1217" s="3" t="inlineStr"/>
      <c r="AA1217" s="3" t="inlineStr">
        <is>
          <t>寄付月結</t>
        </is>
      </c>
      <c r="AB1217">
        <f>IFERROR(VLOOKUP(Q1217&amp;"",對照表!$A:$B,1,FALSE),"")</f>
        <v/>
      </c>
      <c r="AC1217">
        <f>IFERROR(VLOOKUP(Q1217&amp;"",對照表!$A:$B,2,FALSE),"")</f>
        <v/>
      </c>
    </row>
    <row r="1218">
      <c r="A1218" s="3" t="inlineStr">
        <is>
          <t>SF5113427654043</t>
        </is>
      </c>
      <c r="B1218" s="3" t="n">
        <v>58435485696037</v>
      </c>
      <c r="C1218" s="3" t="inlineStr">
        <is>
          <t>已簽收</t>
        </is>
      </c>
      <c r="D1218" s="3" t="inlineStr">
        <is>
          <t>2026-07-06 15:19:30</t>
        </is>
      </c>
      <c r="E1218" s="3" t="inlineStr">
        <is>
          <t>2026-07-07 12:20</t>
        </is>
      </c>
      <c r="F1218" s="3" t="n">
        <v>14.5</v>
      </c>
      <c r="G1218" s="3" t="n">
        <v>1</v>
      </c>
      <c r="H1218" s="3" t="n"/>
      <c r="I1218" s="3" t="inlineStr"/>
      <c r="J1218" s="3" t="inlineStr">
        <is>
          <t>Keeta</t>
        </is>
      </c>
      <c r="K1218" s="3" t="inlineStr">
        <is>
          <t>****9568</t>
        </is>
      </c>
      <c r="L1218" s="3" t="n"/>
      <c r="M1218" s="3" t="inlineStr">
        <is>
          <t>***** 物流中心5樓</t>
        </is>
      </c>
      <c r="N1218" s="3" t="inlineStr">
        <is>
          <t>北区</t>
        </is>
      </c>
      <c r="O1218" s="3" t="inlineStr">
        <is>
          <t>香港</t>
        </is>
      </c>
      <c r="P1218" s="3" t="inlineStr">
        <is>
          <t>香港特别行政区</t>
        </is>
      </c>
      <c r="Q1218" s="3" t="n">
        <v>721528420</v>
      </c>
      <c r="R1218" s="3" t="inlineStr">
        <is>
          <t>卡蒂炸雞土瓜灣</t>
        </is>
      </c>
      <c r="S1218" s="3" t="inlineStr">
        <is>
          <t>****7213774</t>
        </is>
      </c>
      <c r="T1218" s="3" t="inlineStr">
        <is>
          <t>****7213774</t>
        </is>
      </c>
      <c r="U1218" s="3" t="inlineStr">
        <is>
          <t>***** 106 A室</t>
        </is>
      </c>
      <c r="V1218" s="3" t="inlineStr">
        <is>
          <t>香港</t>
        </is>
      </c>
      <c r="W1218" s="3" t="inlineStr">
        <is>
          <t>纸袋【通版】/ 箱出</t>
        </is>
      </c>
      <c r="X1218" s="3" t="inlineStr">
        <is>
          <t>ESS-SFTS-OTMS</t>
        </is>
      </c>
      <c r="Y1218" s="3" t="n"/>
      <c r="Z1218" s="3" t="inlineStr"/>
      <c r="AA1218" s="3" t="inlineStr">
        <is>
          <t>寄付月結</t>
        </is>
      </c>
      <c r="AB1218">
        <f>IFERROR(VLOOKUP(Q1218&amp;"",對照表!$A:$B,1,FALSE),"")</f>
        <v/>
      </c>
      <c r="AC1218">
        <f>IFERROR(VLOOKUP(Q1218&amp;"",對照表!$A:$B,2,FALSE),"")</f>
        <v/>
      </c>
    </row>
    <row r="1219">
      <c r="A1219" s="3" t="inlineStr">
        <is>
          <t>SF5113427654025</t>
        </is>
      </c>
      <c r="B1219" s="3" t="n">
        <v>58435485696033</v>
      </c>
      <c r="C1219" s="3" t="inlineStr">
        <is>
          <t>已簽收</t>
        </is>
      </c>
      <c r="D1219" s="3" t="inlineStr">
        <is>
          <t>2026-07-06 15:44:03</t>
        </is>
      </c>
      <c r="E1219" s="3" t="inlineStr">
        <is>
          <t>2026-07-07 10:02</t>
        </is>
      </c>
      <c r="F1219" s="3" t="n">
        <v>87</v>
      </c>
      <c r="G1219" s="3" t="n">
        <v>6</v>
      </c>
      <c r="H1219" s="3" t="n"/>
      <c r="I1219" s="3" t="inlineStr"/>
      <c r="J1219" s="3" t="inlineStr">
        <is>
          <t>Keeta</t>
        </is>
      </c>
      <c r="K1219" s="3" t="inlineStr">
        <is>
          <t>****9568</t>
        </is>
      </c>
      <c r="L1219" s="3" t="n"/>
      <c r="M1219" s="3" t="inlineStr">
        <is>
          <t>***** 物流中心5樓</t>
        </is>
      </c>
      <c r="N1219" s="3" t="inlineStr">
        <is>
          <t>北区</t>
        </is>
      </c>
      <c r="O1219" s="3" t="inlineStr">
        <is>
          <t>香港</t>
        </is>
      </c>
      <c r="P1219" s="3" t="inlineStr">
        <is>
          <t>香港特别行政区</t>
        </is>
      </c>
      <c r="Q1219" s="3" t="n">
        <v>415463</v>
      </c>
      <c r="R1219" s="3" t="inlineStr">
        <is>
          <t>麥當勞（大角咀）McDonalds</t>
        </is>
      </c>
      <c r="S1219" s="3" t="inlineStr">
        <is>
          <t>****23911830</t>
        </is>
      </c>
      <c r="T1219" s="3" t="inlineStr">
        <is>
          <t>****23911830</t>
        </is>
      </c>
      <c r="U1219" s="3" t="inlineStr">
        <is>
          <t>***** owloon</t>
        </is>
      </c>
      <c r="V1219" s="3" t="inlineStr">
        <is>
          <t>香港</t>
        </is>
      </c>
      <c r="W1219" s="3" t="inlineStr">
        <is>
          <t>纸袋【通版】/ 箱出</t>
        </is>
      </c>
      <c r="X1219" s="3" t="inlineStr">
        <is>
          <t>ESS-SFTS-OTMS</t>
        </is>
      </c>
      <c r="Y1219" s="3" t="n"/>
      <c r="Z1219" s="3" t="inlineStr"/>
      <c r="AA1219" s="3" t="inlineStr">
        <is>
          <t>寄付月結</t>
        </is>
      </c>
      <c r="AB1219">
        <f>IFERROR(VLOOKUP(Q1219&amp;"",對照表!$A:$B,1,FALSE),"")</f>
        <v/>
      </c>
      <c r="AC1219">
        <f>IFERROR(VLOOKUP(Q1219&amp;"",對照表!$A:$B,2,FALSE),"")</f>
        <v/>
      </c>
    </row>
    <row r="1220">
      <c r="A1220" s="3" t="inlineStr">
        <is>
          <t>SF5113427654007</t>
        </is>
      </c>
      <c r="B1220" s="3" t="n">
        <v>58435485696026</v>
      </c>
      <c r="C1220" s="3" t="inlineStr">
        <is>
          <t>已簽收</t>
        </is>
      </c>
      <c r="D1220" s="3" t="inlineStr">
        <is>
          <t>2026-07-06 15:29:34</t>
        </is>
      </c>
      <c r="E1220" s="3" t="inlineStr">
        <is>
          <t>2026-07-07 18:06</t>
        </is>
      </c>
      <c r="F1220" s="3" t="n">
        <v>116</v>
      </c>
      <c r="G1220" s="3" t="n">
        <v>8</v>
      </c>
      <c r="H1220" s="3" t="n"/>
      <c r="I1220" s="3" t="inlineStr"/>
      <c r="J1220" s="3" t="inlineStr">
        <is>
          <t>Keeta</t>
        </is>
      </c>
      <c r="K1220" s="3" t="inlineStr">
        <is>
          <t>****9568</t>
        </is>
      </c>
      <c r="L1220" s="3" t="n"/>
      <c r="M1220" s="3" t="inlineStr">
        <is>
          <t>***** 物流中心5樓</t>
        </is>
      </c>
      <c r="N1220" s="3" t="inlineStr">
        <is>
          <t>北区</t>
        </is>
      </c>
      <c r="O1220" s="3" t="inlineStr">
        <is>
          <t>香港</t>
        </is>
      </c>
      <c r="P1220" s="3" t="inlineStr">
        <is>
          <t>香港特别行政区</t>
        </is>
      </c>
      <c r="Q1220" s="3" t="n">
        <v>485244</v>
      </c>
      <c r="R1220" s="3" t="inlineStr">
        <is>
          <t>麥當勞(NovoWalk)McDonalds</t>
        </is>
      </c>
      <c r="S1220" s="3" t="inlineStr">
        <is>
          <t>****26378011</t>
        </is>
      </c>
      <c r="T1220" s="3" t="inlineStr">
        <is>
          <t>****26378011</t>
        </is>
      </c>
      <c r="U1220" s="3" t="inlineStr">
        <is>
          <t>***** 地下39號舖</t>
        </is>
      </c>
      <c r="V1220" s="3" t="inlineStr">
        <is>
          <t>香港</t>
        </is>
      </c>
      <c r="W1220" s="3" t="inlineStr">
        <is>
          <t>纸袋【通版】/ 箱出</t>
        </is>
      </c>
      <c r="X1220" s="3" t="inlineStr">
        <is>
          <t>ESS-SFTS-OTMS</t>
        </is>
      </c>
      <c r="Y1220" s="3" t="n"/>
      <c r="Z1220" s="3" t="inlineStr"/>
      <c r="AA1220" s="3" t="inlineStr">
        <is>
          <t>寄付月結</t>
        </is>
      </c>
      <c r="AB1220">
        <f>IFERROR(VLOOKUP(Q1220&amp;"",對照表!$A:$B,1,FALSE),"")</f>
        <v/>
      </c>
      <c r="AC1220">
        <f>IFERROR(VLOOKUP(Q1220&amp;"",對照表!$A:$B,2,FALSE),"")</f>
        <v/>
      </c>
    </row>
    <row r="1221">
      <c r="A1221" s="3" t="inlineStr">
        <is>
          <t>SF5113427654177</t>
        </is>
      </c>
      <c r="B1221" s="3" t="n">
        <v>58435485696067</v>
      </c>
      <c r="C1221" s="3" t="inlineStr">
        <is>
          <t>已簽收</t>
        </is>
      </c>
      <c r="D1221" s="3" t="inlineStr">
        <is>
          <t>2026-07-06 16:48:14</t>
        </is>
      </c>
      <c r="E1221" s="3" t="inlineStr">
        <is>
          <t>2026-07-07 13:45</t>
        </is>
      </c>
      <c r="F1221" s="3" t="n">
        <v>1.5</v>
      </c>
      <c r="G1221" s="3" t="n">
        <v>1</v>
      </c>
      <c r="H1221" s="3" t="n"/>
      <c r="I1221" s="3" t="inlineStr"/>
      <c r="J1221" s="3" t="inlineStr">
        <is>
          <t>Keeta</t>
        </is>
      </c>
      <c r="K1221" s="3" t="inlineStr">
        <is>
          <t>****9568</t>
        </is>
      </c>
      <c r="L1221" s="3" t="n"/>
      <c r="M1221" s="3" t="inlineStr">
        <is>
          <t>***** 物流中心5樓</t>
        </is>
      </c>
      <c r="N1221" s="3" t="inlineStr">
        <is>
          <t>北区</t>
        </is>
      </c>
      <c r="O1221" s="3" t="inlineStr">
        <is>
          <t>香港</t>
        </is>
      </c>
      <c r="P1221" s="3" t="inlineStr">
        <is>
          <t>香港特别行政区</t>
        </is>
      </c>
      <c r="Q1221" s="3" t="n">
        <v>465110</v>
      </c>
      <c r="R1221" s="3" t="inlineStr">
        <is>
          <t>星巴克(德福廣場)StarbucksCoffee</t>
        </is>
      </c>
      <c r="S1221" s="3" t="inlineStr">
        <is>
          <t>****27541323</t>
        </is>
      </c>
      <c r="T1221" s="3" t="inlineStr">
        <is>
          <t>****27541323</t>
        </is>
      </c>
      <c r="U1221" s="3" t="inlineStr">
        <is>
          <t>***** 下G1A號舖</t>
        </is>
      </c>
      <c r="V1221" s="3" t="inlineStr">
        <is>
          <t>香港</t>
        </is>
      </c>
      <c r="W1221" s="3" t="inlineStr">
        <is>
          <t>机纸/小票纸 / 包出</t>
        </is>
      </c>
      <c r="X1221" s="3" t="inlineStr">
        <is>
          <t>ESS-SFTS-OTMS</t>
        </is>
      </c>
      <c r="Y1221" s="3" t="n"/>
      <c r="Z1221" s="3" t="inlineStr"/>
      <c r="AA1221" s="3" t="inlineStr">
        <is>
          <t>寄付月結</t>
        </is>
      </c>
      <c r="AB1221">
        <f>IFERROR(VLOOKUP(Q1221&amp;"",對照表!$A:$B,1,FALSE),"")</f>
        <v/>
      </c>
      <c r="AC1221">
        <f>IFERROR(VLOOKUP(Q1221&amp;"",對照表!$A:$B,2,FALSE),"")</f>
        <v/>
      </c>
    </row>
    <row r="1222">
      <c r="A1222" s="3" t="inlineStr">
        <is>
          <t>SF5113427654431</t>
        </is>
      </c>
      <c r="B1222" s="3" t="n">
        <v>58435485696117</v>
      </c>
      <c r="C1222" s="3" t="inlineStr">
        <is>
          <t>已簽收</t>
        </is>
      </c>
      <c r="D1222" s="3" t="inlineStr">
        <is>
          <t>2026-07-06 15:19:33</t>
        </is>
      </c>
      <c r="E1222" s="3" t="inlineStr">
        <is>
          <t>2026-07-07 15:13</t>
        </is>
      </c>
      <c r="F1222" s="3" t="n">
        <v>14.5</v>
      </c>
      <c r="G1222" s="3" t="n">
        <v>1</v>
      </c>
      <c r="H1222" s="3" t="n"/>
      <c r="I1222" s="3" t="inlineStr"/>
      <c r="J1222" s="3" t="inlineStr">
        <is>
          <t>Keeta</t>
        </is>
      </c>
      <c r="K1222" s="3" t="inlineStr">
        <is>
          <t>****9568</t>
        </is>
      </c>
      <c r="L1222" s="3" t="n"/>
      <c r="M1222" s="3" t="inlineStr">
        <is>
          <t>***** 物流中心5樓</t>
        </is>
      </c>
      <c r="N1222" s="3" t="inlineStr">
        <is>
          <t>北区</t>
        </is>
      </c>
      <c r="O1222" s="3" t="inlineStr">
        <is>
          <t>香港</t>
        </is>
      </c>
      <c r="P1222" s="3" t="inlineStr">
        <is>
          <t>香港特别行政区</t>
        </is>
      </c>
      <c r="Q1222" s="3" t="n">
        <v>491125</v>
      </c>
      <c r="R1222" s="3" t="inlineStr">
        <is>
          <t>麺屋KokoroTokyoMazesoba（沙田）東京名店連續多年外賣冠軍</t>
        </is>
      </c>
      <c r="S1222" s="3" t="inlineStr">
        <is>
          <t>****63828446</t>
        </is>
      </c>
      <c r="T1222" s="3" t="inlineStr">
        <is>
          <t>****63828446</t>
        </is>
      </c>
      <c r="U1222" s="3" t="inlineStr">
        <is>
          <t>***** 樓704號舖</t>
        </is>
      </c>
      <c r="V1222" s="3" t="inlineStr">
        <is>
          <t>香港</t>
        </is>
      </c>
      <c r="W1222" s="3" t="inlineStr">
        <is>
          <t>纸袋【通版】/ 箱出</t>
        </is>
      </c>
      <c r="X1222" s="3" t="inlineStr">
        <is>
          <t>ESS-SFTS-OTMS</t>
        </is>
      </c>
      <c r="Y1222" s="3" t="n"/>
      <c r="Z1222" s="3" t="inlineStr"/>
      <c r="AA1222" s="3" t="inlineStr">
        <is>
          <t>寄付月結</t>
        </is>
      </c>
      <c r="AB1222">
        <f>IFERROR(VLOOKUP(Q1222&amp;"",對照表!$A:$B,1,FALSE),"")</f>
        <v/>
      </c>
      <c r="AC1222">
        <f>IFERROR(VLOOKUP(Q1222&amp;"",對照表!$A:$B,2,FALSE),"")</f>
        <v/>
      </c>
    </row>
    <row r="1223">
      <c r="A1223" s="3" t="inlineStr">
        <is>
          <t>SF5113427654308</t>
        </is>
      </c>
      <c r="B1223" s="3" t="n">
        <v>58435485696091</v>
      </c>
      <c r="C1223" s="3" t="inlineStr">
        <is>
          <t>已簽收</t>
        </is>
      </c>
      <c r="D1223" s="3" t="inlineStr">
        <is>
          <t>2026-07-06 17:06:30</t>
        </is>
      </c>
      <c r="E1223" s="3" t="inlineStr">
        <is>
          <t>2026-07-07 11:40</t>
        </is>
      </c>
      <c r="F1223" s="3" t="n">
        <v>3.64</v>
      </c>
      <c r="G1223" s="3" t="n">
        <v>1</v>
      </c>
      <c r="H1223" s="3" t="n"/>
      <c r="I1223" s="3" t="inlineStr"/>
      <c r="J1223" s="3" t="inlineStr">
        <is>
          <t>Keeta</t>
        </is>
      </c>
      <c r="K1223" s="3" t="inlineStr">
        <is>
          <t>****9568</t>
        </is>
      </c>
      <c r="L1223" s="3" t="n"/>
      <c r="M1223" s="3" t="inlineStr">
        <is>
          <t>***** 物流中心5樓</t>
        </is>
      </c>
      <c r="N1223" s="3" t="inlineStr">
        <is>
          <t>北区</t>
        </is>
      </c>
      <c r="O1223" s="3" t="inlineStr">
        <is>
          <t>香港</t>
        </is>
      </c>
      <c r="P1223" s="3" t="inlineStr">
        <is>
          <t>香港特别行政区</t>
        </is>
      </c>
      <c r="Q1223" s="3" t="n">
        <v>606166</v>
      </c>
      <c r="R1223" s="3" t="inlineStr">
        <is>
          <t>Table（黃竹坑）</t>
        </is>
      </c>
      <c r="S1223" s="3" t="inlineStr">
        <is>
          <t>****95530555</t>
        </is>
      </c>
      <c r="T1223" s="3" t="inlineStr">
        <is>
          <t>****95530555</t>
        </is>
      </c>
      <c r="U1223" s="3" t="inlineStr">
        <is>
          <t>***** LG03號舖</t>
        </is>
      </c>
      <c r="V1223" s="3" t="inlineStr">
        <is>
          <t>香港</t>
        </is>
      </c>
      <c r="W1223" s="3" t="inlineStr">
        <is>
          <t>机纸/小票纸 / 包出</t>
        </is>
      </c>
      <c r="X1223" s="3" t="inlineStr">
        <is>
          <t>ESS-SFTS-OTMS</t>
        </is>
      </c>
      <c r="Y1223" s="3" t="n"/>
      <c r="Z1223" s="3" t="inlineStr"/>
      <c r="AA1223" s="3" t="inlineStr">
        <is>
          <t>寄付月結</t>
        </is>
      </c>
      <c r="AB1223">
        <f>IFERROR(VLOOKUP(Q1223&amp;"",對照表!$A:$B,1,FALSE),"")</f>
        <v/>
      </c>
      <c r="AC1223">
        <f>IFERROR(VLOOKUP(Q1223&amp;"",對照表!$A:$B,2,FALSE),"")</f>
        <v/>
      </c>
    </row>
    <row r="1224">
      <c r="A1224" s="3" t="inlineStr">
        <is>
          <t>SF5113427654229</t>
        </is>
      </c>
      <c r="B1224" s="3" t="n">
        <v>58435485696076</v>
      </c>
      <c r="C1224" s="3" t="inlineStr">
        <is>
          <t>已簽收</t>
        </is>
      </c>
      <c r="D1224" s="3" t="inlineStr">
        <is>
          <t>2026-07-06 16:36:40</t>
        </is>
      </c>
      <c r="E1224" s="3" t="inlineStr">
        <is>
          <t>2026-07-07 11:44</t>
        </is>
      </c>
      <c r="F1224" s="3" t="n">
        <v>4.45</v>
      </c>
      <c r="G1224" s="3" t="n">
        <v>1</v>
      </c>
      <c r="H1224" s="3" t="n"/>
      <c r="I1224" s="3" t="inlineStr"/>
      <c r="J1224" s="3" t="inlineStr">
        <is>
          <t>Keeta</t>
        </is>
      </c>
      <c r="K1224" s="3" t="inlineStr">
        <is>
          <t>****9568</t>
        </is>
      </c>
      <c r="L1224" s="3" t="n"/>
      <c r="M1224" s="3" t="inlineStr">
        <is>
          <t>***** 物流中心5樓</t>
        </is>
      </c>
      <c r="N1224" s="3" t="inlineStr">
        <is>
          <t>北区</t>
        </is>
      </c>
      <c r="O1224" s="3" t="inlineStr">
        <is>
          <t>香港</t>
        </is>
      </c>
      <c r="P1224" s="3" t="inlineStr">
        <is>
          <t>香港特别行政区</t>
        </is>
      </c>
      <c r="Q1224" s="3" t="n">
        <v>471544</v>
      </c>
      <c r="R1224" s="3" t="inlineStr">
        <is>
          <t>Otaste(將軍澳新世界韓國食品)</t>
        </is>
      </c>
      <c r="S1224" s="3" t="inlineStr">
        <is>
          <t>****97172070</t>
        </is>
      </c>
      <c r="T1224" s="3" t="inlineStr">
        <is>
          <t>****97172070</t>
        </is>
      </c>
      <c r="U1224" s="3" t="inlineStr">
        <is>
          <t>***** Kwan O</t>
        </is>
      </c>
      <c r="V1224" s="3" t="inlineStr">
        <is>
          <t>香港</t>
        </is>
      </c>
      <c r="W1224" s="3" t="inlineStr">
        <is>
          <t>机纸/小票纸 / 包出</t>
        </is>
      </c>
      <c r="X1224" s="3" t="inlineStr">
        <is>
          <t>ESS-SFTS-OTMS</t>
        </is>
      </c>
      <c r="Y1224" s="3" t="n"/>
      <c r="Z1224" s="3" t="inlineStr"/>
      <c r="AA1224" s="3" t="inlineStr">
        <is>
          <t>寄付月結</t>
        </is>
      </c>
      <c r="AB1224">
        <f>IFERROR(VLOOKUP(Q1224&amp;"",對照表!$A:$B,1,FALSE),"")</f>
        <v/>
      </c>
      <c r="AC1224">
        <f>IFERROR(VLOOKUP(Q1224&amp;"",對照表!$A:$B,2,FALSE),"")</f>
        <v/>
      </c>
    </row>
    <row r="1225">
      <c r="A1225" s="3" t="inlineStr">
        <is>
          <t>SF5113427654247</t>
        </is>
      </c>
      <c r="B1225" s="3" t="n">
        <v>58435485696080</v>
      </c>
      <c r="C1225" s="3" t="inlineStr">
        <is>
          <t>已簽收</t>
        </is>
      </c>
      <c r="D1225" s="3" t="inlineStr">
        <is>
          <t>2026-07-06 16:44:19</t>
        </is>
      </c>
      <c r="E1225" s="3" t="inlineStr">
        <is>
          <t>2026-07-07 10:51</t>
        </is>
      </c>
      <c r="F1225" s="3" t="n">
        <v>4.45</v>
      </c>
      <c r="G1225" s="3" t="n">
        <v>1</v>
      </c>
      <c r="H1225" s="3" t="n"/>
      <c r="I1225" s="3" t="inlineStr"/>
      <c r="J1225" s="3" t="inlineStr">
        <is>
          <t>Keeta</t>
        </is>
      </c>
      <c r="K1225" s="3" t="inlineStr">
        <is>
          <t>****9568</t>
        </is>
      </c>
      <c r="L1225" s="3" t="n"/>
      <c r="M1225" s="3" t="inlineStr">
        <is>
          <t>***** 物流中心5樓</t>
        </is>
      </c>
      <c r="N1225" s="3" t="inlineStr">
        <is>
          <t>北区</t>
        </is>
      </c>
      <c r="O1225" s="3" t="inlineStr">
        <is>
          <t>香港</t>
        </is>
      </c>
      <c r="P1225" s="3" t="inlineStr">
        <is>
          <t>香港特别行政区</t>
        </is>
      </c>
      <c r="Q1225" s="3" t="n">
        <v>721534400</v>
      </c>
      <c r="R1225" s="3" t="inlineStr">
        <is>
          <t>兩草（中環店，馳名肉餅飯）</t>
        </is>
      </c>
      <c r="S1225" s="3" t="inlineStr">
        <is>
          <t>****36111826</t>
        </is>
      </c>
      <c r="T1225" s="3" t="inlineStr">
        <is>
          <t>****36111826</t>
        </is>
      </c>
      <c r="U1225" s="3" t="inlineStr">
        <is>
          <t>***** 場地下A部份</t>
        </is>
      </c>
      <c r="V1225" s="3" t="inlineStr">
        <is>
          <t>香港</t>
        </is>
      </c>
      <c r="W1225" s="3" t="inlineStr">
        <is>
          <t>机纸/小票纸 / 包出</t>
        </is>
      </c>
      <c r="X1225" s="3" t="inlineStr">
        <is>
          <t>ESS-SFTS-OTMS</t>
        </is>
      </c>
      <c r="Y1225" s="3" t="n"/>
      <c r="Z1225" s="3" t="inlineStr"/>
      <c r="AA1225" s="3" t="inlineStr">
        <is>
          <t>寄付月結</t>
        </is>
      </c>
      <c r="AB1225">
        <f>IFERROR(VLOOKUP(Q1225&amp;"",對照表!$A:$B,1,FALSE),"")</f>
        <v/>
      </c>
      <c r="AC1225">
        <f>IFERROR(VLOOKUP(Q1225&amp;"",對照表!$A:$B,2,FALSE),"")</f>
        <v/>
      </c>
    </row>
    <row r="1226">
      <c r="A1226" s="3" t="inlineStr">
        <is>
          <t>SF5113427654283</t>
        </is>
      </c>
      <c r="B1226" s="3" t="n">
        <v>58435485696088</v>
      </c>
      <c r="C1226" s="3" t="inlineStr">
        <is>
          <t>已簽收</t>
        </is>
      </c>
      <c r="D1226" s="3" t="inlineStr">
        <is>
          <t>2026-07-06 16:36:38</t>
        </is>
      </c>
      <c r="E1226" s="3" t="inlineStr">
        <is>
          <t>2026-07-07 11:37</t>
        </is>
      </c>
      <c r="F1226" s="3" t="n">
        <v>4.45</v>
      </c>
      <c r="G1226" s="3" t="n">
        <v>1</v>
      </c>
      <c r="H1226" s="3" t="n"/>
      <c r="I1226" s="3" t="inlineStr"/>
      <c r="J1226" s="3" t="inlineStr">
        <is>
          <t>Keeta</t>
        </is>
      </c>
      <c r="K1226" s="3" t="inlineStr">
        <is>
          <t>****9568</t>
        </is>
      </c>
      <c r="L1226" s="3" t="n"/>
      <c r="M1226" s="3" t="inlineStr">
        <is>
          <t>***** 物流中心5樓</t>
        </is>
      </c>
      <c r="N1226" s="3" t="inlineStr">
        <is>
          <t>北区</t>
        </is>
      </c>
      <c r="O1226" s="3" t="inlineStr">
        <is>
          <t>香港</t>
        </is>
      </c>
      <c r="P1226" s="3" t="inlineStr">
        <is>
          <t>香港特别行政区</t>
        </is>
      </c>
      <c r="Q1226" s="3" t="n">
        <v>487827</v>
      </c>
      <c r="R1226" s="3" t="inlineStr">
        <is>
          <t>B記車仔麵</t>
        </is>
      </c>
      <c r="S1226" s="3" t="inlineStr">
        <is>
          <t>****24469178</t>
        </is>
      </c>
      <c r="T1226" s="3" t="inlineStr">
        <is>
          <t>****24469178</t>
        </is>
      </c>
      <c r="U1226" s="3" t="inlineStr">
        <is>
          <t>***** F13E號舖</t>
        </is>
      </c>
      <c r="V1226" s="3" t="inlineStr">
        <is>
          <t>香港</t>
        </is>
      </c>
      <c r="W1226" s="3" t="inlineStr">
        <is>
          <t>机纸/小票纸 / 包出</t>
        </is>
      </c>
      <c r="X1226" s="3" t="inlineStr">
        <is>
          <t>ESS-SFTS-OTMS</t>
        </is>
      </c>
      <c r="Y1226" s="3" t="n"/>
      <c r="Z1226" s="3" t="inlineStr"/>
      <c r="AA1226" s="3" t="inlineStr">
        <is>
          <t>寄付月結</t>
        </is>
      </c>
      <c r="AB1226">
        <f>IFERROR(VLOOKUP(Q1226&amp;"",對照表!$A:$B,1,FALSE),"")</f>
        <v/>
      </c>
      <c r="AC1226">
        <f>IFERROR(VLOOKUP(Q1226&amp;"",對照表!$A:$B,2,FALSE),"")</f>
        <v/>
      </c>
    </row>
    <row r="1227">
      <c r="A1227" s="3" t="inlineStr">
        <is>
          <t>SF5113427654440</t>
        </is>
      </c>
      <c r="B1227" s="3" t="n">
        <v>58435485696121</v>
      </c>
      <c r="C1227" s="3" t="inlineStr">
        <is>
          <t>已簽收</t>
        </is>
      </c>
      <c r="D1227" s="3" t="inlineStr">
        <is>
          <t>2026-07-06 17:36:00</t>
        </is>
      </c>
      <c r="E1227" s="3" t="inlineStr">
        <is>
          <t>2026-07-07 11:25</t>
        </is>
      </c>
      <c r="F1227" s="3" t="n">
        <v>8.44</v>
      </c>
      <c r="G1227" s="3" t="n">
        <v>1</v>
      </c>
      <c r="H1227" s="3" t="n"/>
      <c r="I1227" s="3" t="inlineStr"/>
      <c r="J1227" s="3" t="inlineStr">
        <is>
          <t>Keeta</t>
        </is>
      </c>
      <c r="K1227" s="3" t="inlineStr">
        <is>
          <t>****9568</t>
        </is>
      </c>
      <c r="L1227" s="3" t="n"/>
      <c r="M1227" s="3" t="inlineStr">
        <is>
          <t>***** 物流中心5樓</t>
        </is>
      </c>
      <c r="N1227" s="3" t="inlineStr">
        <is>
          <t>北区</t>
        </is>
      </c>
      <c r="O1227" s="3" t="inlineStr">
        <is>
          <t>香港</t>
        </is>
      </c>
      <c r="P1227" s="3" t="inlineStr">
        <is>
          <t>香港特别行政区</t>
        </is>
      </c>
      <c r="Q1227" s="3" t="n">
        <v>476496</v>
      </c>
      <c r="R1227" s="3" t="inlineStr">
        <is>
          <t>袁記雲餃(荃灣街市街)全球近5000家門店</t>
        </is>
      </c>
      <c r="S1227" s="3" t="inlineStr">
        <is>
          <t>****52183452</t>
        </is>
      </c>
      <c r="T1227" s="3" t="inlineStr">
        <is>
          <t>****52183452</t>
        </is>
      </c>
      <c r="U1227" s="3" t="inlineStr">
        <is>
          <t>***** 樓地下7號舖</t>
        </is>
      </c>
      <c r="V1227" s="3" t="inlineStr">
        <is>
          <t>香港</t>
        </is>
      </c>
      <c r="W1227" s="3" t="inlineStr">
        <is>
          <t>机纸/小票纸 / 包出, 封签【通版】/ 扎出</t>
        </is>
      </c>
      <c r="X1227" s="3" t="inlineStr">
        <is>
          <t>ESS-SFTS-OTMS</t>
        </is>
      </c>
      <c r="Y1227" s="3" t="n"/>
      <c r="Z1227" s="3" t="inlineStr"/>
      <c r="AA1227" s="3" t="inlineStr">
        <is>
          <t>寄付月結</t>
        </is>
      </c>
      <c r="AB1227">
        <f>IFERROR(VLOOKUP(Q1227&amp;"",對照表!$A:$B,1,FALSE),"")</f>
        <v/>
      </c>
      <c r="AC1227">
        <f>IFERROR(VLOOKUP(Q1227&amp;"",對照表!$A:$B,2,FALSE),"")</f>
        <v/>
      </c>
    </row>
    <row r="1228">
      <c r="A1228" s="3" t="inlineStr">
        <is>
          <t>SF5113427654404</t>
        </is>
      </c>
      <c r="B1228" s="3" t="n">
        <v>58435485696114</v>
      </c>
      <c r="C1228" s="3" t="inlineStr">
        <is>
          <t>已簽收</t>
        </is>
      </c>
      <c r="D1228" s="3" t="inlineStr">
        <is>
          <t>2026-07-06 17:35:35</t>
        </is>
      </c>
      <c r="E1228" s="3" t="inlineStr">
        <is>
          <t>2026-07-07 15:10</t>
        </is>
      </c>
      <c r="F1228" s="3" t="n">
        <v>1.47</v>
      </c>
      <c r="G1228" s="3" t="n">
        <v>1</v>
      </c>
      <c r="H1228" s="3" t="n"/>
      <c r="I1228" s="3" t="inlineStr"/>
      <c r="J1228" s="3" t="inlineStr">
        <is>
          <t>Keeta</t>
        </is>
      </c>
      <c r="K1228" s="3" t="inlineStr">
        <is>
          <t>****9568</t>
        </is>
      </c>
      <c r="L1228" s="3" t="n"/>
      <c r="M1228" s="3" t="inlineStr">
        <is>
          <t>***** 物流中心5樓</t>
        </is>
      </c>
      <c r="N1228" s="3" t="inlineStr">
        <is>
          <t>北区</t>
        </is>
      </c>
      <c r="O1228" s="3" t="inlineStr">
        <is>
          <t>香港</t>
        </is>
      </c>
      <c r="P1228" s="3" t="inlineStr">
        <is>
          <t>香港特别行政区</t>
        </is>
      </c>
      <c r="Q1228" s="3" t="n">
        <v>721531289</v>
      </c>
      <c r="R1228" s="3" t="inlineStr">
        <is>
          <t>楊枝記新店上線楊枝甘露専門店</t>
        </is>
      </c>
      <c r="S1228" s="3" t="inlineStr">
        <is>
          <t>****98083364</t>
        </is>
      </c>
      <c r="T1228" s="3" t="inlineStr">
        <is>
          <t>****98083364</t>
        </is>
      </c>
      <c r="U1228" s="3" t="inlineStr">
        <is>
          <t>***** G KONG</t>
        </is>
      </c>
      <c r="V1228" s="3" t="inlineStr">
        <is>
          <t>香港</t>
        </is>
      </c>
      <c r="W1228" s="3" t="inlineStr">
        <is>
          <t>封签【通版】/ 扎出, 机纸/小票纸 / 包出</t>
        </is>
      </c>
      <c r="X1228" s="3" t="inlineStr">
        <is>
          <t>ESS-SFTS-OTMS</t>
        </is>
      </c>
      <c r="Y1228" s="3" t="n"/>
      <c r="Z1228" s="3" t="inlineStr"/>
      <c r="AA1228" s="3" t="inlineStr">
        <is>
          <t>寄付月結</t>
        </is>
      </c>
      <c r="AB1228">
        <f>IFERROR(VLOOKUP(Q1228&amp;"",對照表!$A:$B,1,FALSE),"")</f>
        <v/>
      </c>
      <c r="AC1228">
        <f>IFERROR(VLOOKUP(Q1228&amp;"",對照表!$A:$B,2,FALSE),"")</f>
        <v/>
      </c>
    </row>
    <row r="1229">
      <c r="A1229" s="3" t="inlineStr">
        <is>
          <t>SF5113427648640</t>
        </is>
      </c>
      <c r="B1229" s="3" t="n">
        <v>58435485630620</v>
      </c>
      <c r="C1229" s="3" t="inlineStr">
        <is>
          <t>已簽收</t>
        </is>
      </c>
      <c r="D1229" s="3" t="inlineStr">
        <is>
          <t>2026-07-06 17:39:33</t>
        </is>
      </c>
      <c r="E1229" s="3" t="inlineStr">
        <is>
          <t>2026-07-07 12:04</t>
        </is>
      </c>
      <c r="F1229" s="3" t="n">
        <v>1.034</v>
      </c>
      <c r="G1229" s="3" t="n">
        <v>1</v>
      </c>
      <c r="H1229" s="3" t="n"/>
      <c r="I1229" s="3" t="inlineStr"/>
      <c r="J1229" s="3" t="inlineStr">
        <is>
          <t>Keeta</t>
        </is>
      </c>
      <c r="K1229" s="3" t="inlineStr">
        <is>
          <t>****9568</t>
        </is>
      </c>
      <c r="L1229" s="3" t="n"/>
      <c r="M1229" s="3" t="inlineStr">
        <is>
          <t>***** 物流中心5樓</t>
        </is>
      </c>
      <c r="N1229" s="3" t="inlineStr">
        <is>
          <t>北区</t>
        </is>
      </c>
      <c r="O1229" s="3" t="inlineStr">
        <is>
          <t>香港</t>
        </is>
      </c>
      <c r="P1229" s="3" t="inlineStr">
        <is>
          <t>香港特别行政区</t>
        </is>
      </c>
      <c r="Q1229" s="3" t="n">
        <v>721436390</v>
      </c>
      <c r="R1229" s="3" t="inlineStr">
        <is>
          <t>龍津美食(牛頭角)</t>
        </is>
      </c>
      <c r="S1229" s="3" t="inlineStr">
        <is>
          <t>****63544988</t>
        </is>
      </c>
      <c r="T1229" s="3" t="inlineStr">
        <is>
          <t>****63544988</t>
        </is>
      </c>
      <c r="U1229" s="3" t="inlineStr">
        <is>
          <t>***** 廈地下B2鋪</t>
        </is>
      </c>
      <c r="V1229" s="3" t="inlineStr">
        <is>
          <t>香港</t>
        </is>
      </c>
      <c r="W1229" s="3" t="inlineStr">
        <is>
          <t>机纸/小票纸 / 包出, 封签【通版】/ 扎出</t>
        </is>
      </c>
      <c r="X1229" s="3" t="inlineStr">
        <is>
          <t>ESS-SFTS-OTMS</t>
        </is>
      </c>
      <c r="Y1229" s="3" t="n"/>
      <c r="Z1229" s="3" t="inlineStr"/>
      <c r="AA1229" s="3" t="inlineStr">
        <is>
          <t>寄付月結</t>
        </is>
      </c>
      <c r="AB1229">
        <f>IFERROR(VLOOKUP(Q1229&amp;"",對照表!$A:$B,1,FALSE),"")</f>
        <v/>
      </c>
      <c r="AC1229">
        <f>IFERROR(VLOOKUP(Q1229&amp;"",對照表!$A:$B,2,FALSE),"")</f>
        <v/>
      </c>
    </row>
    <row r="1230">
      <c r="A1230" s="3" t="inlineStr">
        <is>
          <t>SF5113427648834</t>
        </is>
      </c>
      <c r="B1230" s="3" t="n">
        <v>58435485630668</v>
      </c>
      <c r="C1230" s="3" t="inlineStr">
        <is>
          <t>已簽收</t>
        </is>
      </c>
      <c r="D1230" s="3" t="inlineStr">
        <is>
          <t>2026-07-06 17:35:25</t>
        </is>
      </c>
      <c r="E1230" s="3" t="inlineStr">
        <is>
          <t>2026-07-07 10:38</t>
        </is>
      </c>
      <c r="F1230" s="3" t="n">
        <v>1.3</v>
      </c>
      <c r="G1230" s="3" t="n">
        <v>1</v>
      </c>
      <c r="H1230" s="3" t="n"/>
      <c r="I1230" s="3" t="inlineStr"/>
      <c r="J1230" s="3" t="inlineStr">
        <is>
          <t>Keeta</t>
        </is>
      </c>
      <c r="K1230" s="3" t="inlineStr">
        <is>
          <t>****9568</t>
        </is>
      </c>
      <c r="L1230" s="3" t="n"/>
      <c r="M1230" s="3" t="inlineStr">
        <is>
          <t>***** 物流中心5樓</t>
        </is>
      </c>
      <c r="N1230" s="3" t="inlineStr">
        <is>
          <t>北区</t>
        </is>
      </c>
      <c r="O1230" s="3" t="inlineStr">
        <is>
          <t>香港</t>
        </is>
      </c>
      <c r="P1230" s="3" t="inlineStr">
        <is>
          <t>香港特别行政区</t>
        </is>
      </c>
      <c r="Q1230" s="3" t="n">
        <v>721522346</v>
      </c>
      <c r="R1230" s="3" t="inlineStr">
        <is>
          <t>魚雷沾麵</t>
        </is>
      </c>
      <c r="S1230" s="3" t="inlineStr">
        <is>
          <t>****37533699</t>
        </is>
      </c>
      <c r="T1230" s="3" t="inlineStr">
        <is>
          <t>****37533699</t>
        </is>
      </c>
      <c r="U1230" s="3" t="inlineStr">
        <is>
          <t>***** 389號地下</t>
        </is>
      </c>
      <c r="V1230" s="3" t="inlineStr">
        <is>
          <t>香港</t>
        </is>
      </c>
      <c r="W1230" s="3" t="inlineStr">
        <is>
          <t>塑料袋【大】/ 扎出, 塑料袋【小】/ 扎出</t>
        </is>
      </c>
      <c r="X1230" s="3" t="inlineStr">
        <is>
          <t>ESS-SFTS-OTMS</t>
        </is>
      </c>
      <c r="Y1230" s="3" t="n"/>
      <c r="Z1230" s="3" t="inlineStr"/>
      <c r="AA1230" s="3" t="inlineStr">
        <is>
          <t>寄付月結</t>
        </is>
      </c>
      <c r="AB1230">
        <f>IFERROR(VLOOKUP(Q1230&amp;"",對照表!$A:$B,1,FALSE),"")</f>
        <v/>
      </c>
      <c r="AC1230">
        <f>IFERROR(VLOOKUP(Q1230&amp;"",對照表!$A:$B,2,FALSE),"")</f>
        <v/>
      </c>
    </row>
    <row r="1231">
      <c r="A1231" s="3" t="inlineStr">
        <is>
          <t>SF5113427648570</t>
        </is>
      </c>
      <c r="B1231" s="3" t="n">
        <v>58435485630604</v>
      </c>
      <c r="C1231" s="3" t="inlineStr">
        <is>
          <t>已簽收</t>
        </is>
      </c>
      <c r="D1231" s="3" t="inlineStr">
        <is>
          <t>2026-07-06 17:36:06</t>
        </is>
      </c>
      <c r="E1231" s="3" t="inlineStr">
        <is>
          <t>2026-07-07 12:31</t>
        </is>
      </c>
      <c r="F1231" s="3" t="n">
        <v>8.300000000000001</v>
      </c>
      <c r="G1231" s="3" t="n">
        <v>1</v>
      </c>
      <c r="H1231" s="3" t="n"/>
      <c r="I1231" s="3" t="inlineStr"/>
      <c r="J1231" s="3" t="inlineStr">
        <is>
          <t>Keeta</t>
        </is>
      </c>
      <c r="K1231" s="3" t="inlineStr">
        <is>
          <t>****9568</t>
        </is>
      </c>
      <c r="L1231" s="3" t="n"/>
      <c r="M1231" s="3" t="inlineStr">
        <is>
          <t>***** 物流中心5樓</t>
        </is>
      </c>
      <c r="N1231" s="3" t="inlineStr">
        <is>
          <t>北区</t>
        </is>
      </c>
      <c r="O1231" s="3" t="inlineStr">
        <is>
          <t>香港</t>
        </is>
      </c>
      <c r="P1231" s="3" t="inlineStr">
        <is>
          <t>香港特别行政区</t>
        </is>
      </c>
      <c r="Q1231" s="3" t="n">
        <v>458378</v>
      </c>
      <c r="R1231" s="3" t="inlineStr">
        <is>
          <t>兆和茶餐廳荃灣廿年老字號招牌腿蛋治僅售10快啲嚟睇la</t>
        </is>
      </c>
      <c r="S1231" s="3" t="inlineStr">
        <is>
          <t>****24198218</t>
        </is>
      </c>
      <c r="T1231" s="3" t="inlineStr">
        <is>
          <t>****24198218</t>
        </is>
      </c>
      <c r="U1231" s="3" t="inlineStr">
        <is>
          <t>***** 街36號地下</t>
        </is>
      </c>
      <c r="V1231" s="3" t="inlineStr">
        <is>
          <t>香港</t>
        </is>
      </c>
      <c r="W1231" s="3" t="inlineStr">
        <is>
          <t>机纸/小票纸 / 包出, 封签【通版】/ 扎出</t>
        </is>
      </c>
      <c r="X1231" s="3" t="inlineStr">
        <is>
          <t>ESS-SFTS-OTMS</t>
        </is>
      </c>
      <c r="Y1231" s="3" t="n"/>
      <c r="Z1231" s="3" t="inlineStr"/>
      <c r="AA1231" s="3" t="inlineStr">
        <is>
          <t>寄付月結</t>
        </is>
      </c>
      <c r="AB1231">
        <f>IFERROR(VLOOKUP(Q1231&amp;"",對照表!$A:$B,1,FALSE),"")</f>
        <v/>
      </c>
      <c r="AC1231">
        <f>IFERROR(VLOOKUP(Q1231&amp;"",對照表!$A:$B,2,FALSE),"")</f>
        <v/>
      </c>
    </row>
    <row r="1232">
      <c r="A1232" s="3" t="inlineStr">
        <is>
          <t>SF5113427654399</t>
        </is>
      </c>
      <c r="B1232" s="3" t="n">
        <v>58435485696111</v>
      </c>
      <c r="C1232" s="3" t="inlineStr">
        <is>
          <t>已簽收</t>
        </is>
      </c>
      <c r="D1232" s="3" t="inlineStr">
        <is>
          <t>2026-07-06 17:36:11</t>
        </is>
      </c>
      <c r="E1232" s="3" t="inlineStr">
        <is>
          <t>2026-07-07 10:33</t>
        </is>
      </c>
      <c r="F1232" s="3" t="n">
        <v>7.44</v>
      </c>
      <c r="G1232" s="3" t="n">
        <v>1</v>
      </c>
      <c r="H1232" s="3" t="n"/>
      <c r="I1232" s="3" t="inlineStr"/>
      <c r="J1232" s="3" t="inlineStr">
        <is>
          <t>Keeta</t>
        </is>
      </c>
      <c r="K1232" s="3" t="inlineStr">
        <is>
          <t>****9568</t>
        </is>
      </c>
      <c r="L1232" s="3" t="n"/>
      <c r="M1232" s="3" t="inlineStr">
        <is>
          <t>***** 物流中心5樓</t>
        </is>
      </c>
      <c r="N1232" s="3" t="inlineStr">
        <is>
          <t>北区</t>
        </is>
      </c>
      <c r="O1232" s="3" t="inlineStr">
        <is>
          <t>香港</t>
        </is>
      </c>
      <c r="P1232" s="3" t="inlineStr">
        <is>
          <t>香港特别行政区</t>
        </is>
      </c>
      <c r="Q1232" s="3" t="n">
        <v>721524318</v>
      </c>
      <c r="R1232" s="3" t="inlineStr">
        <is>
          <t>KidsbayFresh新鮮輕食首選(灣仔店)</t>
        </is>
      </c>
      <c r="S1232" s="3" t="inlineStr">
        <is>
          <t>****91472910</t>
        </is>
      </c>
      <c r="T1232" s="3" t="inlineStr">
        <is>
          <t>****91472910</t>
        </is>
      </c>
      <c r="U1232" s="3" t="inlineStr">
        <is>
          <t>***** 13樓D部份</t>
        </is>
      </c>
      <c r="V1232" s="3" t="inlineStr">
        <is>
          <t>香港</t>
        </is>
      </c>
      <c r="W1232" s="3" t="inlineStr">
        <is>
          <t>机纸/小票纸 / 包出, 封签【通版】/ 扎出</t>
        </is>
      </c>
      <c r="X1232" s="3" t="inlineStr">
        <is>
          <t>ESS-SFTS-OTMS</t>
        </is>
      </c>
      <c r="Y1232" s="3" t="n"/>
      <c r="Z1232" s="3" t="inlineStr"/>
      <c r="AA1232" s="3" t="inlineStr">
        <is>
          <t>寄付月結</t>
        </is>
      </c>
      <c r="AB1232">
        <f>IFERROR(VLOOKUP(Q1232&amp;"",對照表!$A:$B,1,FALSE),"")</f>
        <v/>
      </c>
      <c r="AC1232">
        <f>IFERROR(VLOOKUP(Q1232&amp;"",對照表!$A:$B,2,FALSE),"")</f>
        <v/>
      </c>
    </row>
    <row r="1233">
      <c r="A1233" s="3" t="inlineStr">
        <is>
          <t>SF5113427653377</t>
        </is>
      </c>
      <c r="B1233" s="3" t="n">
        <v>58435485663295</v>
      </c>
      <c r="C1233" s="3" t="inlineStr">
        <is>
          <t>已簽收</t>
        </is>
      </c>
      <c r="D1233" s="3" t="inlineStr">
        <is>
          <t>2026-07-06 17:36:48</t>
        </is>
      </c>
      <c r="E1233" s="3" t="inlineStr">
        <is>
          <t>2026-07-07 10:50</t>
        </is>
      </c>
      <c r="F1233" s="3" t="n">
        <v>1.05</v>
      </c>
      <c r="G1233" s="3" t="n">
        <v>1</v>
      </c>
      <c r="H1233" s="3" t="n"/>
      <c r="I1233" s="3" t="inlineStr"/>
      <c r="J1233" s="3" t="inlineStr">
        <is>
          <t>Keeta</t>
        </is>
      </c>
      <c r="K1233" s="3" t="inlineStr">
        <is>
          <t>****9568</t>
        </is>
      </c>
      <c r="L1233" s="3" t="n"/>
      <c r="M1233" s="3" t="inlineStr">
        <is>
          <t>***** 物流中心5樓</t>
        </is>
      </c>
      <c r="N1233" s="3" t="inlineStr">
        <is>
          <t>北区</t>
        </is>
      </c>
      <c r="O1233" s="3" t="inlineStr">
        <is>
          <t>香港</t>
        </is>
      </c>
      <c r="P1233" s="3" t="inlineStr">
        <is>
          <t>香港特别行政区</t>
        </is>
      </c>
      <c r="Q1233" s="3" t="n">
        <v>458681</v>
      </c>
      <c r="R1233" s="3" t="inlineStr">
        <is>
          <t>CallMeChefx木金餃子</t>
        </is>
      </c>
      <c r="S1233" s="3" t="inlineStr">
        <is>
          <t>****62254451</t>
        </is>
      </c>
      <c r="T1233" s="3" t="inlineStr">
        <is>
          <t>****62254451</t>
        </is>
      </c>
      <c r="U1233" s="3" t="inlineStr">
        <is>
          <t>***** 座4樓T號舖</t>
        </is>
      </c>
      <c r="V1233" s="3" t="inlineStr">
        <is>
          <t>香港</t>
        </is>
      </c>
      <c r="W1233" s="3" t="inlineStr">
        <is>
          <t>封签【通版】/ 扎出, 机纸/小票纸 / 包出</t>
        </is>
      </c>
      <c r="X1233" s="3" t="inlineStr">
        <is>
          <t>ESS-SFTS-OTMS</t>
        </is>
      </c>
      <c r="Y1233" s="3" t="n"/>
      <c r="Z1233" s="3" t="inlineStr"/>
      <c r="AA1233" s="3" t="inlineStr">
        <is>
          <t>寄付月結</t>
        </is>
      </c>
      <c r="AB1233">
        <f>IFERROR(VLOOKUP(Q1233&amp;"",對照表!$A:$B,1,FALSE),"")</f>
        <v/>
      </c>
      <c r="AC1233">
        <f>IFERROR(VLOOKUP(Q1233&amp;"",對照表!$A:$B,2,FALSE),"")</f>
        <v/>
      </c>
    </row>
    <row r="1234">
      <c r="A1234" s="3" t="inlineStr">
        <is>
          <t>SF5113427648977</t>
        </is>
      </c>
      <c r="B1234" s="3" t="n">
        <v>58435485630705</v>
      </c>
      <c r="C1234" s="3" t="inlineStr">
        <is>
          <t>已簽收</t>
        </is>
      </c>
      <c r="D1234" s="3" t="inlineStr">
        <is>
          <t>2026-07-06 17:35:38</t>
        </is>
      </c>
      <c r="E1234" s="3" t="inlineStr">
        <is>
          <t>2026-07-07 11:09</t>
        </is>
      </c>
      <c r="F1234" s="3" t="n">
        <v>16.95</v>
      </c>
      <c r="G1234" s="3" t="n">
        <v>2</v>
      </c>
      <c r="H1234" s="3" t="n"/>
      <c r="I1234" s="3" t="inlineStr"/>
      <c r="J1234" s="3" t="inlineStr">
        <is>
          <t>Keeta</t>
        </is>
      </c>
      <c r="K1234" s="3" t="inlineStr">
        <is>
          <t>****9568</t>
        </is>
      </c>
      <c r="L1234" s="3" t="n"/>
      <c r="M1234" s="3" t="inlineStr">
        <is>
          <t>***** 物流中心5樓</t>
        </is>
      </c>
      <c r="N1234" s="3" t="inlineStr">
        <is>
          <t>北区</t>
        </is>
      </c>
      <c r="O1234" s="3" t="inlineStr">
        <is>
          <t>香港</t>
        </is>
      </c>
      <c r="P1234" s="3" t="inlineStr">
        <is>
          <t>香港特别行政区</t>
        </is>
      </c>
      <c r="Q1234" s="3" t="n">
        <v>721436392</v>
      </c>
      <c r="R1234" s="3" t="inlineStr">
        <is>
          <t>台本FORMOSA</t>
        </is>
      </c>
      <c r="S1234" s="3" t="inlineStr">
        <is>
          <t>****93019790</t>
        </is>
      </c>
      <c r="T1234" s="3" t="inlineStr">
        <is>
          <t>****93019790</t>
        </is>
      </c>
      <c r="U1234" s="3" t="inlineStr">
        <is>
          <t>***** ngkong</t>
        </is>
      </c>
      <c r="V1234" s="3" t="inlineStr">
        <is>
          <t>香港</t>
        </is>
      </c>
      <c r="W1234" s="3" t="inlineStr">
        <is>
          <t>纸袋【通版】/ 箱出, 塑料袋【大】/ 扎出, 塑料袋【小】/ 扎出</t>
        </is>
      </c>
      <c r="X1234" s="3" t="inlineStr">
        <is>
          <t>ESS-SFTS-OTMS</t>
        </is>
      </c>
      <c r="Y1234" s="3" t="n"/>
      <c r="Z1234" s="3" t="inlineStr"/>
      <c r="AA1234" s="3" t="inlineStr">
        <is>
          <t>寄付月結</t>
        </is>
      </c>
      <c r="AB1234">
        <f>IFERROR(VLOOKUP(Q1234&amp;"",對照表!$A:$B,1,FALSE),"")</f>
        <v/>
      </c>
      <c r="AC1234">
        <f>IFERROR(VLOOKUP(Q1234&amp;"",對照表!$A:$B,2,FALSE),"")</f>
        <v/>
      </c>
    </row>
    <row r="1235">
      <c r="A1235" s="3" t="inlineStr">
        <is>
          <t>SF5113427649008</t>
        </is>
      </c>
      <c r="B1235" s="3" t="n">
        <v>58435485630720</v>
      </c>
      <c r="C1235" s="3" t="inlineStr">
        <is>
          <t>已簽收</t>
        </is>
      </c>
      <c r="D1235" s="3" t="inlineStr">
        <is>
          <t>2026-07-06 17:35:15</t>
        </is>
      </c>
      <c r="E1235" s="3" t="inlineStr">
        <is>
          <t>2026-07-07 12:47</t>
        </is>
      </c>
      <c r="F1235" s="3" t="n">
        <v>4.11</v>
      </c>
      <c r="G1235" s="3" t="n">
        <v>1</v>
      </c>
      <c r="H1235" s="3" t="n"/>
      <c r="I1235" s="3" t="inlineStr"/>
      <c r="J1235" s="3" t="inlineStr">
        <is>
          <t>Keeta</t>
        </is>
      </c>
      <c r="K1235" s="3" t="inlineStr">
        <is>
          <t>****9568</t>
        </is>
      </c>
      <c r="L1235" s="3" t="n"/>
      <c r="M1235" s="3" t="inlineStr">
        <is>
          <t>***** 物流中心5樓</t>
        </is>
      </c>
      <c r="N1235" s="3" t="inlineStr">
        <is>
          <t>北区</t>
        </is>
      </c>
      <c r="O1235" s="3" t="inlineStr">
        <is>
          <t>香港</t>
        </is>
      </c>
      <c r="P1235" s="3" t="inlineStr">
        <is>
          <t>香港特别行政区</t>
        </is>
      </c>
      <c r="Q1235" s="3" t="n">
        <v>561974</v>
      </c>
      <c r="R1235" s="3" t="inlineStr">
        <is>
          <t>泰好食threads友大推必試之北角棷汁糕</t>
        </is>
      </c>
      <c r="S1235" s="3" t="inlineStr">
        <is>
          <t>****97617023</t>
        </is>
      </c>
      <c r="T1235" s="3" t="inlineStr">
        <is>
          <t>****97617023</t>
        </is>
      </c>
      <c r="U1235" s="3" t="inlineStr">
        <is>
          <t>***** 146號地舖</t>
        </is>
      </c>
      <c r="V1235" s="3" t="inlineStr">
        <is>
          <t>香港</t>
        </is>
      </c>
      <c r="W1235" s="3" t="inlineStr">
        <is>
          <t>机纸/小票纸 / 包出, 封签【通版】/ 扎出</t>
        </is>
      </c>
      <c r="X1235" s="3" t="inlineStr">
        <is>
          <t>ESS-SFTS-OTMS</t>
        </is>
      </c>
      <c r="Y1235" s="3" t="n"/>
      <c r="Z1235" s="3" t="inlineStr"/>
      <c r="AA1235" s="3" t="inlineStr">
        <is>
          <t>寄付月結</t>
        </is>
      </c>
      <c r="AB1235">
        <f>IFERROR(VLOOKUP(Q1235&amp;"",對照表!$A:$B,1,FALSE),"")</f>
        <v/>
      </c>
      <c r="AC1235">
        <f>IFERROR(VLOOKUP(Q1235&amp;"",對照表!$A:$B,2,FALSE),"")</f>
        <v/>
      </c>
    </row>
    <row r="1236">
      <c r="A1236" s="3" t="inlineStr">
        <is>
          <t>SF5113427653455</t>
        </is>
      </c>
      <c r="B1236" s="3" t="n">
        <v>58435485663308</v>
      </c>
      <c r="C1236" s="3" t="inlineStr">
        <is>
          <t>已簽收</t>
        </is>
      </c>
      <c r="D1236" s="3" t="inlineStr">
        <is>
          <t>2026-07-06 17:44:23</t>
        </is>
      </c>
      <c r="E1236" s="3" t="inlineStr">
        <is>
          <t>2026-07-07 15:56</t>
        </is>
      </c>
      <c r="F1236" s="3" t="n">
        <v>30.1</v>
      </c>
      <c r="G1236" s="3" t="n">
        <v>3</v>
      </c>
      <c r="H1236" s="3" t="n"/>
      <c r="I1236" s="3" t="inlineStr"/>
      <c r="J1236" s="3" t="inlineStr">
        <is>
          <t>Keeta</t>
        </is>
      </c>
      <c r="K1236" s="3" t="inlineStr">
        <is>
          <t>****9568</t>
        </is>
      </c>
      <c r="L1236" s="3" t="n"/>
      <c r="M1236" s="3" t="inlineStr">
        <is>
          <t>***** 物流中心5樓</t>
        </is>
      </c>
      <c r="N1236" s="3" t="inlineStr">
        <is>
          <t>北区</t>
        </is>
      </c>
      <c r="O1236" s="3" t="inlineStr">
        <is>
          <t>香港</t>
        </is>
      </c>
      <c r="P1236" s="3" t="inlineStr">
        <is>
          <t>香港特别行政区</t>
        </is>
      </c>
      <c r="Q1236" s="3" t="n">
        <v>721537376</v>
      </c>
      <c r="R1236" s="3" t="inlineStr">
        <is>
          <t>麥當勞(田灣)McDonalds</t>
        </is>
      </c>
      <c r="S1236" s="3" t="inlineStr">
        <is>
          <t>****25802816</t>
        </is>
      </c>
      <c r="T1236" s="3" t="inlineStr">
        <is>
          <t>****25802816</t>
        </is>
      </c>
      <c r="U1236" s="3" t="inlineStr">
        <is>
          <t>***** 下1及2號舖</t>
        </is>
      </c>
      <c r="V1236" s="3" t="inlineStr">
        <is>
          <t>香港</t>
        </is>
      </c>
      <c r="W1236" s="3" t="inlineStr">
        <is>
          <t>机纸/小票纸 / 包出, 纸袋【通版】/ 箱出</t>
        </is>
      </c>
      <c r="X1236" s="3" t="inlineStr">
        <is>
          <t>ESS-SFTS-OTMS</t>
        </is>
      </c>
      <c r="Y1236" s="3" t="n"/>
      <c r="Z1236" s="3" t="inlineStr"/>
      <c r="AA1236" s="3" t="inlineStr">
        <is>
          <t>寄付月結</t>
        </is>
      </c>
      <c r="AB1236">
        <f>IFERROR(VLOOKUP(Q1236&amp;"",對照表!$A:$B,1,FALSE),"")</f>
        <v/>
      </c>
      <c r="AC1236">
        <f>IFERROR(VLOOKUP(Q1236&amp;"",對照表!$A:$B,2,FALSE),"")</f>
        <v/>
      </c>
    </row>
    <row r="1237">
      <c r="A1237" s="3" t="inlineStr">
        <is>
          <t>SF5113427649044</t>
        </is>
      </c>
      <c r="B1237" s="3" t="n">
        <v>58435485630745</v>
      </c>
      <c r="C1237" s="3" t="inlineStr">
        <is>
          <t>已簽收</t>
        </is>
      </c>
      <c r="D1237" s="3" t="inlineStr">
        <is>
          <t>2026-07-06 17:44:31</t>
        </is>
      </c>
      <c r="E1237" s="3" t="inlineStr">
        <is>
          <t>2026-07-07 14:52</t>
        </is>
      </c>
      <c r="F1237" s="3" t="n">
        <v>12.74</v>
      </c>
      <c r="G1237" s="3" t="n">
        <v>2</v>
      </c>
      <c r="H1237" s="3" t="n"/>
      <c r="I1237" s="3" t="inlineStr"/>
      <c r="J1237" s="3" t="inlineStr">
        <is>
          <t>Keeta</t>
        </is>
      </c>
      <c r="K1237" s="3" t="inlineStr">
        <is>
          <t>****9568</t>
        </is>
      </c>
      <c r="L1237" s="3" t="n"/>
      <c r="M1237" s="3" t="inlineStr">
        <is>
          <t>***** 物流中心5樓</t>
        </is>
      </c>
      <c r="N1237" s="3" t="inlineStr">
        <is>
          <t>北区</t>
        </is>
      </c>
      <c r="O1237" s="3" t="inlineStr">
        <is>
          <t>香港</t>
        </is>
      </c>
      <c r="P1237" s="3" t="inlineStr">
        <is>
          <t>香港特别行政区</t>
        </is>
      </c>
      <c r="Q1237" s="3" t="n">
        <v>487246</v>
      </c>
      <c r="R1237" s="3" t="inlineStr">
        <is>
          <t>TheMatchaTokyo(APM)</t>
        </is>
      </c>
      <c r="S1237" s="3" t="inlineStr">
        <is>
          <t>****27126118</t>
        </is>
      </c>
      <c r="T1237" s="3" t="inlineStr">
        <is>
          <t>****27126118</t>
        </is>
      </c>
      <c r="U1237" s="3" t="inlineStr">
        <is>
          <t>***** 1-9B號舖</t>
        </is>
      </c>
      <c r="V1237" s="3" t="inlineStr">
        <is>
          <t>香港</t>
        </is>
      </c>
      <c r="W1237" s="3" t="inlineStr">
        <is>
          <t>机纸/小票纸 / 包出, 无纺布【规格二双杯】/ 箱出</t>
        </is>
      </c>
      <c r="X1237" s="3" t="inlineStr">
        <is>
          <t>ESS-SFTS-OTMS</t>
        </is>
      </c>
      <c r="Y1237" s="3" t="n"/>
      <c r="Z1237" s="3" t="inlineStr"/>
      <c r="AA1237" s="3" t="inlineStr">
        <is>
          <t>寄付月結</t>
        </is>
      </c>
      <c r="AB1237">
        <f>IFERROR(VLOOKUP(Q1237&amp;"",對照表!$A:$B,1,FALSE),"")</f>
        <v/>
      </c>
      <c r="AC1237">
        <f>IFERROR(VLOOKUP(Q1237&amp;"",對照表!$A:$B,2,FALSE),"")</f>
        <v/>
      </c>
    </row>
    <row r="1238">
      <c r="A1238" s="3" t="inlineStr">
        <is>
          <t>SF5113427648191</t>
        </is>
      </c>
      <c r="B1238" s="3" t="n">
        <v>58435485630519</v>
      </c>
      <c r="C1238" s="3" t="inlineStr">
        <is>
          <t>已簽收</t>
        </is>
      </c>
      <c r="D1238" s="3" t="inlineStr">
        <is>
          <t>2026-07-06 17:40:52</t>
        </is>
      </c>
      <c r="E1238" s="3" t="inlineStr">
        <is>
          <t>2026-07-07 09:50</t>
        </is>
      </c>
      <c r="F1238" s="3" t="n">
        <v>45</v>
      </c>
      <c r="G1238" s="3" t="n">
        <v>4</v>
      </c>
      <c r="H1238" s="3" t="n"/>
      <c r="I1238" s="3" t="inlineStr"/>
      <c r="J1238" s="3" t="inlineStr">
        <is>
          <t>Keeta</t>
        </is>
      </c>
      <c r="K1238" s="3" t="inlineStr">
        <is>
          <t>****9568</t>
        </is>
      </c>
      <c r="L1238" s="3" t="n"/>
      <c r="M1238" s="3" t="inlineStr">
        <is>
          <t>***** 物流中心5樓</t>
        </is>
      </c>
      <c r="N1238" s="3" t="inlineStr">
        <is>
          <t>北区</t>
        </is>
      </c>
      <c r="O1238" s="3" t="inlineStr">
        <is>
          <t>香港</t>
        </is>
      </c>
      <c r="P1238" s="3" t="inlineStr">
        <is>
          <t>香港特别行政区</t>
        </is>
      </c>
      <c r="Q1238" s="3" t="n">
        <v>491527</v>
      </c>
      <c r="R1238" s="3" t="inlineStr">
        <is>
          <t>芝加哥串燒酒場宵夜首選(太和中心)</t>
        </is>
      </c>
      <c r="S1238" s="3" t="inlineStr">
        <is>
          <t>****57233338</t>
        </is>
      </c>
      <c r="T1238" s="3" t="inlineStr">
        <is>
          <t>****57233338</t>
        </is>
      </c>
      <c r="U1238" s="3" t="inlineStr">
        <is>
          <t>***** 地下37號舖</t>
        </is>
      </c>
      <c r="V1238" s="3" t="inlineStr">
        <is>
          <t>香港</t>
        </is>
      </c>
      <c r="W1238" s="3" t="inlineStr">
        <is>
          <t>纸袋【通版】/ 箱出, 机纸/小票纸 / 包出</t>
        </is>
      </c>
      <c r="X1238" s="3" t="inlineStr">
        <is>
          <t>ESS-SFTS-OTMS</t>
        </is>
      </c>
      <c r="Y1238" s="3" t="n"/>
      <c r="Z1238" s="3" t="inlineStr"/>
      <c r="AA1238" s="3" t="inlineStr">
        <is>
          <t>寄付月結</t>
        </is>
      </c>
      <c r="AB1238">
        <f>IFERROR(VLOOKUP(Q1238&amp;"",對照表!$A:$B,1,FALSE),"")</f>
        <v/>
      </c>
      <c r="AC1238">
        <f>IFERROR(VLOOKUP(Q1238&amp;"",對照表!$A:$B,2,FALSE),"")</f>
        <v/>
      </c>
    </row>
    <row r="1239">
      <c r="A1239" s="3" t="inlineStr">
        <is>
          <t>SF5113427647328</t>
        </is>
      </c>
      <c r="B1239" s="3" t="n">
        <v>58435485597727</v>
      </c>
      <c r="C1239" s="3" t="inlineStr">
        <is>
          <t>已簽收</t>
        </is>
      </c>
      <c r="D1239" s="3" t="inlineStr">
        <is>
          <t>2026-07-06 17:42:08</t>
        </is>
      </c>
      <c r="E1239" s="3" t="inlineStr">
        <is>
          <t>2026-07-07 11:07</t>
        </is>
      </c>
      <c r="F1239" s="3" t="n">
        <v>16.33</v>
      </c>
      <c r="G1239" s="3" t="n">
        <v>2</v>
      </c>
      <c r="H1239" s="3" t="n"/>
      <c r="I1239" s="3" t="inlineStr"/>
      <c r="J1239" s="3" t="inlineStr">
        <is>
          <t>Keeta</t>
        </is>
      </c>
      <c r="K1239" s="3" t="inlineStr">
        <is>
          <t>****9568</t>
        </is>
      </c>
      <c r="L1239" s="3" t="n"/>
      <c r="M1239" s="3" t="inlineStr">
        <is>
          <t>***** 物流中心5樓</t>
        </is>
      </c>
      <c r="N1239" s="3" t="inlineStr">
        <is>
          <t>北区</t>
        </is>
      </c>
      <c r="O1239" s="3" t="inlineStr">
        <is>
          <t>香港</t>
        </is>
      </c>
      <c r="P1239" s="3" t="inlineStr">
        <is>
          <t>香港特别行政区</t>
        </is>
      </c>
      <c r="Q1239" s="3" t="n">
        <v>449037</v>
      </c>
      <c r="R1239" s="3" t="inlineStr">
        <is>
          <t>銀杏館銀杏時光(有機健康之選)</t>
        </is>
      </c>
      <c r="S1239" s="3" t="inlineStr">
        <is>
          <t>****59057930</t>
        </is>
      </c>
      <c r="T1239" s="3" t="inlineStr">
        <is>
          <t>****59057930</t>
        </is>
      </c>
      <c r="U1239" s="3" t="inlineStr">
        <is>
          <t>***** 下4及5號舖</t>
        </is>
      </c>
      <c r="V1239" s="3" t="inlineStr">
        <is>
          <t>香港</t>
        </is>
      </c>
      <c r="W1239" s="3" t="inlineStr">
        <is>
          <t>无纺布【规格四大号】/ 箱出, 机纸/小票纸 / 包出</t>
        </is>
      </c>
      <c r="X1239" s="3" t="inlineStr">
        <is>
          <t>ESS-SFTS-OTMS</t>
        </is>
      </c>
      <c r="Y1239" s="3" t="n"/>
      <c r="Z1239" s="3" t="inlineStr"/>
      <c r="AA1239" s="3" t="inlineStr">
        <is>
          <t>寄付月結</t>
        </is>
      </c>
      <c r="AB1239">
        <f>IFERROR(VLOOKUP(Q1239&amp;"",對照表!$A:$B,1,FALSE),"")</f>
        <v/>
      </c>
      <c r="AC1239">
        <f>IFERROR(VLOOKUP(Q1239&amp;"",對照表!$A:$B,2,FALSE),"")</f>
        <v/>
      </c>
    </row>
    <row r="1240">
      <c r="A1240" s="3" t="inlineStr">
        <is>
          <t>SF5113427649141</t>
        </is>
      </c>
      <c r="B1240" s="3" t="n">
        <v>58435485630772</v>
      </c>
      <c r="C1240" s="3" t="inlineStr">
        <is>
          <t>已簽收</t>
        </is>
      </c>
      <c r="D1240" s="3" t="inlineStr">
        <is>
          <t>2026-07-06 17:40:56</t>
        </is>
      </c>
      <c r="E1240" s="3" t="inlineStr">
        <is>
          <t>2026-07-07 15:03</t>
        </is>
      </c>
      <c r="F1240" s="3" t="n">
        <v>2.74</v>
      </c>
      <c r="G1240" s="3" t="n">
        <v>1</v>
      </c>
      <c r="H1240" s="3" t="n"/>
      <c r="I1240" s="3" t="inlineStr"/>
      <c r="J1240" s="3" t="inlineStr">
        <is>
          <t>Keeta</t>
        </is>
      </c>
      <c r="K1240" s="3" t="inlineStr">
        <is>
          <t>****9568</t>
        </is>
      </c>
      <c r="L1240" s="3" t="n"/>
      <c r="M1240" s="3" t="inlineStr">
        <is>
          <t>***** 物流中心5樓</t>
        </is>
      </c>
      <c r="N1240" s="3" t="inlineStr">
        <is>
          <t>北区</t>
        </is>
      </c>
      <c r="O1240" s="3" t="inlineStr">
        <is>
          <t>香港</t>
        </is>
      </c>
      <c r="P1240" s="3" t="inlineStr">
        <is>
          <t>香港特别行政区</t>
        </is>
      </c>
      <c r="Q1240" s="3" t="n">
        <v>721427329</v>
      </c>
      <c r="R1240" s="3" t="inlineStr">
        <is>
          <t>LunarSweet(荃灣)</t>
        </is>
      </c>
      <c r="S1240" s="3" t="inlineStr">
        <is>
          <t>****24225774</t>
        </is>
      </c>
      <c r="T1240" s="3" t="inlineStr">
        <is>
          <t>****24225774</t>
        </is>
      </c>
      <c r="U1240" s="3" t="inlineStr">
        <is>
          <t>*****  (口口檸)</t>
        </is>
      </c>
      <c r="V1240" s="3" t="inlineStr">
        <is>
          <t>香港</t>
        </is>
      </c>
      <c r="W1240" s="3" t="inlineStr">
        <is>
          <t>封签【通版】/ 扎出, 机纸/小票纸 / 包出</t>
        </is>
      </c>
      <c r="X1240" s="3" t="inlineStr">
        <is>
          <t>ESS-SFTS-OTMS</t>
        </is>
      </c>
      <c r="Y1240" s="3" t="n"/>
      <c r="Z1240" s="3" t="inlineStr"/>
      <c r="AA1240" s="3" t="inlineStr">
        <is>
          <t>寄付月結</t>
        </is>
      </c>
      <c r="AB1240">
        <f>IFERROR(VLOOKUP(Q1240&amp;"",對照表!$A:$B,1,FALSE),"")</f>
        <v/>
      </c>
      <c r="AC1240">
        <f>IFERROR(VLOOKUP(Q1240&amp;"",對照表!$A:$B,2,FALSE),"")</f>
        <v/>
      </c>
    </row>
    <row r="1241">
      <c r="A1241" s="3" t="inlineStr">
        <is>
          <t>SF5113427652954</t>
        </is>
      </c>
      <c r="B1241" s="3" t="n">
        <v>58435485630802</v>
      </c>
      <c r="C1241" s="3" t="inlineStr">
        <is>
          <t>已簽收</t>
        </is>
      </c>
      <c r="D1241" s="3" t="inlineStr">
        <is>
          <t>2026-07-06 17:40:16</t>
        </is>
      </c>
      <c r="E1241" s="3" t="inlineStr">
        <is>
          <t>2026-07-07 13:10</t>
        </is>
      </c>
      <c r="F1241" s="3" t="n">
        <v>1.24</v>
      </c>
      <c r="G1241" s="3" t="n">
        <v>1</v>
      </c>
      <c r="H1241" s="3" t="n"/>
      <c r="I1241" s="3" t="inlineStr"/>
      <c r="J1241" s="3" t="inlineStr">
        <is>
          <t>Keeta</t>
        </is>
      </c>
      <c r="K1241" s="3" t="inlineStr">
        <is>
          <t>****9568</t>
        </is>
      </c>
      <c r="L1241" s="3" t="n"/>
      <c r="M1241" s="3" t="inlineStr">
        <is>
          <t>***** 物流中心5樓</t>
        </is>
      </c>
      <c r="N1241" s="3" t="inlineStr">
        <is>
          <t>北区</t>
        </is>
      </c>
      <c r="O1241" s="3" t="inlineStr">
        <is>
          <t>香港</t>
        </is>
      </c>
      <c r="P1241" s="3" t="inlineStr">
        <is>
          <t>香港特别行政区</t>
        </is>
      </c>
      <c r="Q1241" s="3" t="n">
        <v>488462</v>
      </c>
      <c r="R1241" s="3" t="inlineStr">
        <is>
          <t>天鴻燒鵝飯店TinHungRestaurant</t>
        </is>
      </c>
      <c r="S1241" s="3" t="inlineStr">
        <is>
          <t>****24748849</t>
        </is>
      </c>
      <c r="T1241" s="3" t="inlineStr">
        <is>
          <t>****24748849</t>
        </is>
      </c>
      <c r="U1241" s="3" t="inlineStr">
        <is>
          <t>***** 大廈地下D舖</t>
        </is>
      </c>
      <c r="V1241" s="3" t="inlineStr">
        <is>
          <t>香港</t>
        </is>
      </c>
      <c r="W1241" s="3" t="inlineStr">
        <is>
          <t>翻新POS机【真唯】/ 件出</t>
        </is>
      </c>
      <c r="X1241" s="3" t="inlineStr">
        <is>
          <t>ESS-SFTS-OTMS</t>
        </is>
      </c>
      <c r="Y1241" s="3" t="n"/>
      <c r="Z1241" s="3" t="inlineStr"/>
      <c r="AA1241" s="3" t="inlineStr">
        <is>
          <t>寄付月結</t>
        </is>
      </c>
      <c r="AB1241">
        <f>IFERROR(VLOOKUP(Q1241&amp;"",對照表!$A:$B,1,FALSE),"")</f>
        <v/>
      </c>
      <c r="AC1241">
        <f>IFERROR(VLOOKUP(Q1241&amp;"",對照表!$A:$B,2,FALSE),"")</f>
        <v/>
      </c>
    </row>
    <row r="1242">
      <c r="A1242" s="3" t="inlineStr">
        <is>
          <t>SF5113427654292</t>
        </is>
      </c>
      <c r="B1242" s="3" t="n">
        <v>58435485696092</v>
      </c>
      <c r="C1242" s="3" t="inlineStr">
        <is>
          <t>已簽收</t>
        </is>
      </c>
      <c r="D1242" s="3" t="inlineStr">
        <is>
          <t>2026-07-06 17:36:37</t>
        </is>
      </c>
      <c r="E1242" s="3" t="inlineStr">
        <is>
          <t>2026-07-07 11:26</t>
        </is>
      </c>
      <c r="F1242" s="3" t="n">
        <v>8.140000000000001</v>
      </c>
      <c r="G1242" s="3" t="n">
        <v>1</v>
      </c>
      <c r="H1242" s="3" t="n"/>
      <c r="I1242" s="3" t="inlineStr"/>
      <c r="J1242" s="3" t="inlineStr">
        <is>
          <t>Keeta</t>
        </is>
      </c>
      <c r="K1242" s="3" t="inlineStr">
        <is>
          <t>****9568</t>
        </is>
      </c>
      <c r="L1242" s="3" t="n"/>
      <c r="M1242" s="3" t="inlineStr">
        <is>
          <t>***** 物流中心5樓</t>
        </is>
      </c>
      <c r="N1242" s="3" t="inlineStr">
        <is>
          <t>北区</t>
        </is>
      </c>
      <c r="O1242" s="3" t="inlineStr">
        <is>
          <t>香港</t>
        </is>
      </c>
      <c r="P1242" s="3" t="inlineStr">
        <is>
          <t>香港特别行政区</t>
        </is>
      </c>
      <c r="Q1242" s="3" t="n">
        <v>721525420</v>
      </c>
      <c r="R1242" s="3" t="inlineStr">
        <is>
          <t>富記驛站 FU KEE INN</t>
        </is>
      </c>
      <c r="S1242" s="3" t="inlineStr">
        <is>
          <t>****67517711</t>
        </is>
      </c>
      <c r="T1242" s="3" t="inlineStr">
        <is>
          <t>****67517711</t>
        </is>
      </c>
      <c r="U1242" s="3" t="inlineStr">
        <is>
          <t>*****  PO NT</t>
        </is>
      </c>
      <c r="V1242" s="3" t="inlineStr">
        <is>
          <t>香港</t>
        </is>
      </c>
      <c r="W1242" s="3" t="inlineStr">
        <is>
          <t>机纸/小票纸 / 包出, 封签【通版】/ 扎出</t>
        </is>
      </c>
      <c r="X1242" s="3" t="inlineStr">
        <is>
          <t>ESS-SFTS-OTMS</t>
        </is>
      </c>
      <c r="Y1242" s="3" t="n"/>
      <c r="Z1242" s="3" t="inlineStr"/>
      <c r="AA1242" s="3" t="inlineStr">
        <is>
          <t>寄付月結</t>
        </is>
      </c>
      <c r="AB1242">
        <f>IFERROR(VLOOKUP(Q1242&amp;"",對照表!$A:$B,1,FALSE),"")</f>
        <v/>
      </c>
      <c r="AC1242">
        <f>IFERROR(VLOOKUP(Q1242&amp;"",對照表!$A:$B,2,FALSE),"")</f>
        <v/>
      </c>
    </row>
    <row r="1243">
      <c r="A1243" s="3" t="inlineStr">
        <is>
          <t>SF5113427647424</t>
        </is>
      </c>
      <c r="B1243" s="3" t="n">
        <v>58435485597754</v>
      </c>
      <c r="C1243" s="3" t="inlineStr">
        <is>
          <t>已簽收</t>
        </is>
      </c>
      <c r="D1243" s="3" t="inlineStr">
        <is>
          <t>2026-07-06 17:40:50</t>
        </is>
      </c>
      <c r="E1243" s="3" t="inlineStr">
        <is>
          <t>2026-07-07 15:53</t>
        </is>
      </c>
      <c r="F1243" s="3" t="n">
        <v>16</v>
      </c>
      <c r="G1243" s="3" t="n">
        <v>2</v>
      </c>
      <c r="H1243" s="3" t="n"/>
      <c r="I1243" s="3" t="inlineStr"/>
      <c r="J1243" s="3" t="inlineStr">
        <is>
          <t>Keeta</t>
        </is>
      </c>
      <c r="K1243" s="3" t="inlineStr">
        <is>
          <t>****9568</t>
        </is>
      </c>
      <c r="L1243" s="3" t="n"/>
      <c r="M1243" s="3" t="inlineStr">
        <is>
          <t>***** 物流中心5樓</t>
        </is>
      </c>
      <c r="N1243" s="3" t="inlineStr">
        <is>
          <t>北区</t>
        </is>
      </c>
      <c r="O1243" s="3" t="inlineStr">
        <is>
          <t>香港</t>
        </is>
      </c>
      <c r="P1243" s="3" t="inlineStr">
        <is>
          <t>香港特别行政区</t>
        </is>
      </c>
      <c r="Q1243" s="3" t="n">
        <v>721428306</v>
      </c>
      <c r="R1243" s="3" t="inlineStr">
        <is>
          <t>ThaiSalad正宗風味泰菜</t>
        </is>
      </c>
      <c r="S1243" s="3" t="inlineStr">
        <is>
          <t>****54069216</t>
        </is>
      </c>
      <c r="T1243" s="3" t="inlineStr">
        <is>
          <t>****54069216</t>
        </is>
      </c>
      <c r="U1243" s="3" t="inlineStr">
        <is>
          <t>***** 下213號鋪</t>
        </is>
      </c>
      <c r="V1243" s="3" t="inlineStr">
        <is>
          <t>香港</t>
        </is>
      </c>
      <c r="W1243" s="3" t="inlineStr">
        <is>
          <t>机纸/小票纸 / 包出, 纸袋【通版】/ 箱出</t>
        </is>
      </c>
      <c r="X1243" s="3" t="inlineStr">
        <is>
          <t>ESS-SFTS-OTMS</t>
        </is>
      </c>
      <c r="Y1243" s="3" t="n"/>
      <c r="Z1243" s="3" t="inlineStr"/>
      <c r="AA1243" s="3" t="inlineStr">
        <is>
          <t>寄付月結</t>
        </is>
      </c>
      <c r="AB1243">
        <f>IFERROR(VLOOKUP(Q1243&amp;"",對照表!$A:$B,1,FALSE),"")</f>
        <v/>
      </c>
      <c r="AC1243">
        <f>IFERROR(VLOOKUP(Q1243&amp;"",對照表!$A:$B,2,FALSE),"")</f>
        <v/>
      </c>
    </row>
    <row r="1244">
      <c r="A1244" s="3" t="inlineStr">
        <is>
          <t>SF5113427648995</t>
        </is>
      </c>
      <c r="B1244" s="3" t="n">
        <v>58435485630711</v>
      </c>
      <c r="C1244" s="3" t="inlineStr">
        <is>
          <t>已簽收</t>
        </is>
      </c>
      <c r="D1244" s="3" t="inlineStr">
        <is>
          <t>2026-07-06 17:44:22</t>
        </is>
      </c>
      <c r="E1244" s="3" t="inlineStr">
        <is>
          <t>2026-07-07 11:42</t>
        </is>
      </c>
      <c r="F1244" s="3" t="n">
        <v>11.42</v>
      </c>
      <c r="G1244" s="3" t="n">
        <v>2</v>
      </c>
      <c r="H1244" s="3" t="n"/>
      <c r="I1244" s="3" t="inlineStr"/>
      <c r="J1244" s="3" t="inlineStr">
        <is>
          <t>Keeta</t>
        </is>
      </c>
      <c r="K1244" s="3" t="inlineStr">
        <is>
          <t>****9568</t>
        </is>
      </c>
      <c r="L1244" s="3" t="n"/>
      <c r="M1244" s="3" t="inlineStr">
        <is>
          <t>***** 物流中心5樓</t>
        </is>
      </c>
      <c r="N1244" s="3" t="inlineStr">
        <is>
          <t>北区</t>
        </is>
      </c>
      <c r="O1244" s="3" t="inlineStr">
        <is>
          <t>香港</t>
        </is>
      </c>
      <c r="P1244" s="3" t="inlineStr">
        <is>
          <t>香港特别行政区</t>
        </is>
      </c>
      <c r="Q1244" s="3" t="n">
        <v>458440</v>
      </c>
      <c r="R1244" s="3" t="inlineStr">
        <is>
          <t>韓脈HanmatKoreanBBQRestaurant</t>
        </is>
      </c>
      <c r="S1244" s="3" t="inlineStr">
        <is>
          <t>****25116316</t>
        </is>
      </c>
      <c r="T1244" s="3" t="inlineStr">
        <is>
          <t>****25116316</t>
        </is>
      </c>
      <c r="U1244" s="3" t="inlineStr">
        <is>
          <t>***** UG43號舖</t>
        </is>
      </c>
      <c r="V1244" s="3" t="inlineStr">
        <is>
          <t>香港</t>
        </is>
      </c>
      <c r="W1244" s="3" t="inlineStr">
        <is>
          <t>机纸/小票纸 / 包出, 无纺布【规格三中号】/ 箱出</t>
        </is>
      </c>
      <c r="X1244" s="3" t="inlineStr">
        <is>
          <t>ESS-SFTS-OTMS</t>
        </is>
      </c>
      <c r="Y1244" s="3" t="n"/>
      <c r="Z1244" s="3" t="inlineStr"/>
      <c r="AA1244" s="3" t="inlineStr">
        <is>
          <t>寄付月結</t>
        </is>
      </c>
      <c r="AB1244">
        <f>IFERROR(VLOOKUP(Q1244&amp;"",對照表!$A:$B,1,FALSE),"")</f>
        <v/>
      </c>
      <c r="AC1244">
        <f>IFERROR(VLOOKUP(Q1244&amp;"",對照表!$A:$B,2,FALSE),"")</f>
        <v/>
      </c>
    </row>
    <row r="1245">
      <c r="A1245" s="3" t="inlineStr">
        <is>
          <t>SF5113427647346</t>
        </is>
      </c>
      <c r="B1245" s="3" t="n">
        <v>58435485597732</v>
      </c>
      <c r="C1245" s="3" t="inlineStr">
        <is>
          <t>已簽收</t>
        </is>
      </c>
      <c r="D1245" s="3" t="inlineStr">
        <is>
          <t>2026-07-06 17:44:38</t>
        </is>
      </c>
      <c r="E1245" s="3" t="inlineStr">
        <is>
          <t>2026-07-07 17:32</t>
        </is>
      </c>
      <c r="F1245" s="3" t="n">
        <v>3.79</v>
      </c>
      <c r="G1245" s="3" t="n">
        <v>1</v>
      </c>
      <c r="H1245" s="3" t="n"/>
      <c r="I1245" s="3" t="inlineStr"/>
      <c r="J1245" s="3" t="inlineStr">
        <is>
          <t>Keeta</t>
        </is>
      </c>
      <c r="K1245" s="3" t="inlineStr">
        <is>
          <t>****9568</t>
        </is>
      </c>
      <c r="L1245" s="3" t="n"/>
      <c r="M1245" s="3" t="inlineStr">
        <is>
          <t>***** 物流中心5樓</t>
        </is>
      </c>
      <c r="N1245" s="3" t="inlineStr">
        <is>
          <t>北区</t>
        </is>
      </c>
      <c r="O1245" s="3" t="inlineStr">
        <is>
          <t>香港</t>
        </is>
      </c>
      <c r="P1245" s="3" t="inlineStr">
        <is>
          <t>香港特别行政区</t>
        </is>
      </c>
      <c r="Q1245" s="3" t="n">
        <v>721444345</v>
      </c>
      <c r="R1245" s="3" t="inlineStr">
        <is>
          <t>港川麻辣燙（無味精現熬湯底一碗可以喝湯的麻辣燙）</t>
        </is>
      </c>
      <c r="S1245" s="3" t="inlineStr">
        <is>
          <t>****96660667</t>
        </is>
      </c>
      <c r="T1245" s="3" t="inlineStr">
        <is>
          <t>****96660667</t>
        </is>
      </c>
      <c r="U1245" s="3" t="inlineStr">
        <is>
          <t>***** 樓地下A5A</t>
        </is>
      </c>
      <c r="V1245" s="3" t="inlineStr">
        <is>
          <t>香港</t>
        </is>
      </c>
      <c r="W1245" s="3" t="inlineStr">
        <is>
          <t>封签【通版】/ 扎出, 机纸/小票纸 / 包出</t>
        </is>
      </c>
      <c r="X1245" s="3" t="inlineStr">
        <is>
          <t>ESS-SFTS-OTMS</t>
        </is>
      </c>
      <c r="Y1245" s="3" t="n"/>
      <c r="Z1245" s="3" t="inlineStr"/>
      <c r="AA1245" s="3" t="inlineStr">
        <is>
          <t>寄付月結</t>
        </is>
      </c>
      <c r="AB1245">
        <f>IFERROR(VLOOKUP(Q1245&amp;"",對照表!$A:$B,1,FALSE),"")</f>
        <v/>
      </c>
      <c r="AC1245">
        <f>IFERROR(VLOOKUP(Q1245&amp;"",對照表!$A:$B,2,FALSE),"")</f>
        <v/>
      </c>
    </row>
    <row r="1246">
      <c r="A1246" s="3" t="inlineStr">
        <is>
          <t>SF5113427648270</t>
        </is>
      </c>
      <c r="B1246" s="3" t="n">
        <v>58435485630536</v>
      </c>
      <c r="C1246" s="3" t="inlineStr">
        <is>
          <t>已簽收</t>
        </is>
      </c>
      <c r="D1246" s="3" t="inlineStr">
        <is>
          <t>2026-07-06 17:41:35</t>
        </is>
      </c>
      <c r="E1246" s="3" t="inlineStr">
        <is>
          <t>2026-07-07 10:09</t>
        </is>
      </c>
      <c r="F1246" s="3" t="n">
        <v>74.86</v>
      </c>
      <c r="G1246" s="3" t="n">
        <v>6</v>
      </c>
      <c r="H1246" s="3" t="n"/>
      <c r="I1246" s="3" t="inlineStr"/>
      <c r="J1246" s="3" t="inlineStr">
        <is>
          <t>Keeta</t>
        </is>
      </c>
      <c r="K1246" s="3" t="inlineStr">
        <is>
          <t>****9568</t>
        </is>
      </c>
      <c r="L1246" s="3" t="n"/>
      <c r="M1246" s="3" t="inlineStr">
        <is>
          <t>***** 物流中心5樓</t>
        </is>
      </c>
      <c r="N1246" s="3" t="inlineStr">
        <is>
          <t>北区</t>
        </is>
      </c>
      <c r="O1246" s="3" t="inlineStr">
        <is>
          <t>香港</t>
        </is>
      </c>
      <c r="P1246" s="3" t="inlineStr">
        <is>
          <t>香港特别行政区</t>
        </is>
      </c>
      <c r="Q1246" s="3" t="n">
        <v>721539366</v>
      </c>
      <c r="R1246" s="3" t="inlineStr">
        <is>
          <t>麥當勞(黃埔)McDonalds</t>
        </is>
      </c>
      <c r="S1246" s="3" t="inlineStr">
        <is>
          <t>****27742777</t>
        </is>
      </c>
      <c r="T1246" s="3" t="inlineStr">
        <is>
          <t>****27742777</t>
        </is>
      </c>
      <c r="U1246" s="3" t="inlineStr">
        <is>
          <t>***** 12至14舖</t>
        </is>
      </c>
      <c r="V1246" s="3" t="inlineStr">
        <is>
          <t>香港</t>
        </is>
      </c>
      <c r="W1246" s="3" t="inlineStr">
        <is>
          <t>机纸/小票纸 / 包出, 纸袋【通版】/ 箱出</t>
        </is>
      </c>
      <c r="X1246" s="3" t="inlineStr">
        <is>
          <t>ESS-SFTS-OTMS</t>
        </is>
      </c>
      <c r="Y1246" s="3" t="n"/>
      <c r="Z1246" s="3" t="inlineStr"/>
      <c r="AA1246" s="3" t="inlineStr">
        <is>
          <t>寄付月結</t>
        </is>
      </c>
      <c r="AB1246">
        <f>IFERROR(VLOOKUP(Q1246&amp;"",對照表!$A:$B,1,FALSE),"")</f>
        <v/>
      </c>
      <c r="AC1246">
        <f>IFERROR(VLOOKUP(Q1246&amp;"",對照表!$A:$B,2,FALSE),"")</f>
        <v/>
      </c>
    </row>
    <row r="1247">
      <c r="A1247" s="3" t="inlineStr">
        <is>
          <t>SF5113427653473</t>
        </is>
      </c>
      <c r="B1247" s="3" t="n">
        <v>58435485663317</v>
      </c>
      <c r="C1247" s="3" t="inlineStr">
        <is>
          <t>已簽收</t>
        </is>
      </c>
      <c r="D1247" s="3" t="inlineStr">
        <is>
          <t>2026-07-06 17:35:20</t>
        </is>
      </c>
      <c r="E1247" s="3" t="inlineStr">
        <is>
          <t>2026-07-07 15:57</t>
        </is>
      </c>
      <c r="F1247" s="3" t="n">
        <v>3.21</v>
      </c>
      <c r="G1247" s="3" t="n">
        <v>1</v>
      </c>
      <c r="H1247" s="3" t="n"/>
      <c r="I1247" s="3" t="inlineStr"/>
      <c r="J1247" s="3" t="inlineStr">
        <is>
          <t>Keeta</t>
        </is>
      </c>
      <c r="K1247" s="3" t="inlineStr">
        <is>
          <t>****9568</t>
        </is>
      </c>
      <c r="L1247" s="3" t="n"/>
      <c r="M1247" s="3" t="inlineStr">
        <is>
          <t>***** 物流中心5樓</t>
        </is>
      </c>
      <c r="N1247" s="3" t="inlineStr">
        <is>
          <t>北区</t>
        </is>
      </c>
      <c r="O1247" s="3" t="inlineStr">
        <is>
          <t>香港</t>
        </is>
      </c>
      <c r="P1247" s="3" t="inlineStr">
        <is>
          <t>香港特别行政区</t>
        </is>
      </c>
      <c r="Q1247" s="3" t="n">
        <v>481791</v>
      </c>
      <c r="R1247" s="3" t="inlineStr">
        <is>
          <t>citysuperDeli(銅鑼灣)</t>
        </is>
      </c>
      <c r="S1247" s="3" t="inlineStr">
        <is>
          <t>****22773214</t>
        </is>
      </c>
      <c r="T1247" s="3" t="inlineStr">
        <is>
          <t>****22773214</t>
        </is>
      </c>
      <c r="U1247" s="3" t="inlineStr">
        <is>
          <t>***** 廣場底牢1層</t>
        </is>
      </c>
      <c r="V1247" s="3" t="inlineStr">
        <is>
          <t>香港</t>
        </is>
      </c>
      <c r="W1247" s="3" t="inlineStr">
        <is>
          <t>机纸/小票纸 / 包出, 塑料袋【大】/ 扎出</t>
        </is>
      </c>
      <c r="X1247" s="3" t="inlineStr">
        <is>
          <t>ESS-SFTS-OTMS</t>
        </is>
      </c>
      <c r="Y1247" s="3" t="n"/>
      <c r="Z1247" s="3" t="inlineStr"/>
      <c r="AA1247" s="3" t="inlineStr">
        <is>
          <t>寄付月結</t>
        </is>
      </c>
      <c r="AB1247">
        <f>IFERROR(VLOOKUP(Q1247&amp;"",對照表!$A:$B,1,FALSE),"")</f>
        <v/>
      </c>
      <c r="AC1247">
        <f>IFERROR(VLOOKUP(Q1247&amp;"",對照表!$A:$B,2,FALSE),"")</f>
        <v/>
      </c>
    </row>
    <row r="1248">
      <c r="A1248" s="3" t="inlineStr">
        <is>
          <t>SF5113427649035</t>
        </is>
      </c>
      <c r="B1248" s="3" t="n">
        <v>58435485630738</v>
      </c>
      <c r="C1248" s="3" t="inlineStr">
        <is>
          <t>已簽收</t>
        </is>
      </c>
      <c r="D1248" s="3" t="inlineStr">
        <is>
          <t>2026-07-06 17:39:22</t>
        </is>
      </c>
      <c r="E1248" s="3" t="inlineStr">
        <is>
          <t>2026-07-07 12:22</t>
        </is>
      </c>
      <c r="F1248" s="3" t="n">
        <v>8.140000000000001</v>
      </c>
      <c r="G1248" s="3" t="n">
        <v>1</v>
      </c>
      <c r="H1248" s="3" t="n"/>
      <c r="I1248" s="3" t="inlineStr"/>
      <c r="J1248" s="3" t="inlineStr">
        <is>
          <t>Keeta</t>
        </is>
      </c>
      <c r="K1248" s="3" t="inlineStr">
        <is>
          <t>****9568</t>
        </is>
      </c>
      <c r="L1248" s="3" t="n"/>
      <c r="M1248" s="3" t="inlineStr">
        <is>
          <t>***** 物流中心5樓</t>
        </is>
      </c>
      <c r="N1248" s="3" t="inlineStr">
        <is>
          <t>北区</t>
        </is>
      </c>
      <c r="O1248" s="3" t="inlineStr">
        <is>
          <t>香港</t>
        </is>
      </c>
      <c r="P1248" s="3" t="inlineStr">
        <is>
          <t>香港特别行政区</t>
        </is>
      </c>
      <c r="Q1248" s="3" t="n">
        <v>721502294</v>
      </c>
      <c r="R1248" s="3" t="inlineStr">
        <is>
          <t>茶魚飯后(彩明商場)</t>
        </is>
      </c>
      <c r="S1248" s="3" t="inlineStr">
        <is>
          <t>****23602301</t>
        </is>
      </c>
      <c r="T1248" s="3" t="inlineStr">
        <is>
          <t>****23602301</t>
        </is>
      </c>
      <c r="U1248" s="3" t="inlineStr">
        <is>
          <t>***** 307A號舖</t>
        </is>
      </c>
      <c r="V1248" s="3" t="inlineStr">
        <is>
          <t>香港</t>
        </is>
      </c>
      <c r="W1248" s="3" t="inlineStr">
        <is>
          <t>封签【通版】/ 扎出, 机纸/小票纸 / 包出</t>
        </is>
      </c>
      <c r="X1248" s="3" t="inlineStr">
        <is>
          <t>ESS-SFTS-OTMS</t>
        </is>
      </c>
      <c r="Y1248" s="3" t="n"/>
      <c r="Z1248" s="3" t="inlineStr"/>
      <c r="AA1248" s="3" t="inlineStr">
        <is>
          <t>寄付月結</t>
        </is>
      </c>
      <c r="AB1248">
        <f>IFERROR(VLOOKUP(Q1248&amp;"",對照表!$A:$B,1,FALSE),"")</f>
        <v/>
      </c>
      <c r="AC1248">
        <f>IFERROR(VLOOKUP(Q1248&amp;"",對照表!$A:$B,2,FALSE),"")</f>
        <v/>
      </c>
    </row>
    <row r="1249">
      <c r="A1249" s="3" t="inlineStr">
        <is>
          <t>SF5113427648173</t>
        </is>
      </c>
      <c r="B1249" s="3" t="n">
        <v>58435485630515</v>
      </c>
      <c r="C1249" s="3" t="inlineStr">
        <is>
          <t>已簽收</t>
        </is>
      </c>
      <c r="D1249" s="3" t="inlineStr">
        <is>
          <t>2026-07-06 17:37:08</t>
        </is>
      </c>
      <c r="E1249" s="3" t="inlineStr">
        <is>
          <t>2026-07-07 15:52</t>
        </is>
      </c>
      <c r="F1249" s="3" t="n">
        <v>8.06</v>
      </c>
      <c r="G1249" s="3" t="n">
        <v>1</v>
      </c>
      <c r="H1249" s="3" t="n"/>
      <c r="I1249" s="3" t="inlineStr"/>
      <c r="J1249" s="3" t="inlineStr">
        <is>
          <t>Keeta</t>
        </is>
      </c>
      <c r="K1249" s="3" t="inlineStr">
        <is>
          <t>****9568</t>
        </is>
      </c>
      <c r="L1249" s="3" t="n"/>
      <c r="M1249" s="3" t="inlineStr">
        <is>
          <t>***** 物流中心5樓</t>
        </is>
      </c>
      <c r="N1249" s="3" t="inlineStr">
        <is>
          <t>北区</t>
        </is>
      </c>
      <c r="O1249" s="3" t="inlineStr">
        <is>
          <t>香港</t>
        </is>
      </c>
      <c r="P1249" s="3" t="inlineStr">
        <is>
          <t>香港特别行政区</t>
        </is>
      </c>
      <c r="Q1249" s="3" t="n">
        <v>575485</v>
      </c>
      <c r="R1249" s="3" t="inlineStr">
        <is>
          <t>文記車仔麵(115號)</t>
        </is>
      </c>
      <c r="S1249" s="3" t="inlineStr">
        <is>
          <t>****90595140</t>
        </is>
      </c>
      <c r="T1249" s="3" t="inlineStr">
        <is>
          <t>****90595140</t>
        </is>
      </c>
      <c r="U1249" s="3" t="inlineStr">
        <is>
          <t>***** 3號地下C鋪</t>
        </is>
      </c>
      <c r="V1249" s="3" t="inlineStr">
        <is>
          <t>香港</t>
        </is>
      </c>
      <c r="W1249" s="3" t="inlineStr">
        <is>
          <t>机纸/小票纸 / 包出, 封签【通版】/ 扎出</t>
        </is>
      </c>
      <c r="X1249" s="3" t="inlineStr">
        <is>
          <t>ESS-SFTS-OTMS</t>
        </is>
      </c>
      <c r="Y1249" s="3" t="n"/>
      <c r="Z1249" s="3" t="inlineStr"/>
      <c r="AA1249" s="3" t="inlineStr">
        <is>
          <t>寄付月結</t>
        </is>
      </c>
      <c r="AB1249">
        <f>IFERROR(VLOOKUP(Q1249&amp;"",對照表!$A:$B,1,FALSE),"")</f>
        <v/>
      </c>
      <c r="AC1249">
        <f>IFERROR(VLOOKUP(Q1249&amp;"",對照表!$A:$B,2,FALSE),"")</f>
        <v/>
      </c>
    </row>
    <row r="1250">
      <c r="A1250" s="3" t="inlineStr">
        <is>
          <t>SF5113427648225</t>
        </is>
      </c>
      <c r="B1250" s="3" t="n">
        <v>58435485630524</v>
      </c>
      <c r="C1250" s="3" t="inlineStr">
        <is>
          <t>已簽收</t>
        </is>
      </c>
      <c r="D1250" s="3" t="inlineStr">
        <is>
          <t>2026-07-06 17:45:15</t>
        </is>
      </c>
      <c r="E1250" s="3" t="inlineStr">
        <is>
          <t>2026-07-07 17:38</t>
        </is>
      </c>
      <c r="F1250" s="3" t="n">
        <v>10.08</v>
      </c>
      <c r="G1250" s="3" t="n">
        <v>1</v>
      </c>
      <c r="H1250" s="3" t="n"/>
      <c r="I1250" s="3" t="inlineStr"/>
      <c r="J1250" s="3" t="inlineStr">
        <is>
          <t>Keeta</t>
        </is>
      </c>
      <c r="K1250" s="3" t="inlineStr">
        <is>
          <t>****9568</t>
        </is>
      </c>
      <c r="L1250" s="3" t="n"/>
      <c r="M1250" s="3" t="inlineStr">
        <is>
          <t>***** 物流中心5樓</t>
        </is>
      </c>
      <c r="N1250" s="3" t="inlineStr">
        <is>
          <t>北区</t>
        </is>
      </c>
      <c r="O1250" s="3" t="inlineStr">
        <is>
          <t>香港</t>
        </is>
      </c>
      <c r="P1250" s="3" t="inlineStr">
        <is>
          <t>香港特别行政区</t>
        </is>
      </c>
      <c r="Q1250" s="3" t="n">
        <v>589645</v>
      </c>
      <c r="R1250" s="3" t="inlineStr">
        <is>
          <t>十勝牛和食料理(濕地公園)</t>
        </is>
      </c>
      <c r="S1250" s="3" t="inlineStr">
        <is>
          <t>****24139288</t>
        </is>
      </c>
      <c r="T1250" s="3" t="inlineStr">
        <is>
          <t>****24139288</t>
        </is>
      </c>
      <c r="U1250" s="3" t="inlineStr">
        <is>
          <t>***** 地下8A號舖</t>
        </is>
      </c>
      <c r="V1250" s="3" t="inlineStr">
        <is>
          <t>香港</t>
        </is>
      </c>
      <c r="W1250" s="3" t="inlineStr">
        <is>
          <t>塑料袋【大】/ 扎出, 塑料袋【小】/ 扎出</t>
        </is>
      </c>
      <c r="X1250" s="3" t="inlineStr">
        <is>
          <t>ESS-SFTS-OTMS</t>
        </is>
      </c>
      <c r="Y1250" s="3" t="n"/>
      <c r="Z1250" s="3" t="inlineStr"/>
      <c r="AA1250" s="3" t="inlineStr">
        <is>
          <t>寄付月結</t>
        </is>
      </c>
      <c r="AB1250">
        <f>IFERROR(VLOOKUP(Q1250&amp;"",對照表!$A:$B,1,FALSE),"")</f>
        <v/>
      </c>
      <c r="AC1250">
        <f>IFERROR(VLOOKUP(Q1250&amp;"",對照表!$A:$B,2,FALSE),"")</f>
        <v/>
      </c>
    </row>
    <row r="1251">
      <c r="A1251" s="3" t="inlineStr">
        <is>
          <t>SF5113427648534</t>
        </is>
      </c>
      <c r="B1251" s="3" t="n">
        <v>58435485630595</v>
      </c>
      <c r="C1251" s="3" t="inlineStr">
        <is>
          <t>已簽收</t>
        </is>
      </c>
      <c r="D1251" s="3" t="inlineStr">
        <is>
          <t>2026-07-06 17:44:39</t>
        </is>
      </c>
      <c r="E1251" s="3" t="inlineStr">
        <is>
          <t>2026-07-07 17:36</t>
        </is>
      </c>
      <c r="F1251" s="3" t="n">
        <v>1.45</v>
      </c>
      <c r="G1251" s="3" t="n">
        <v>1</v>
      </c>
      <c r="H1251" s="3" t="n"/>
      <c r="I1251" s="3" t="inlineStr"/>
      <c r="J1251" s="3" t="inlineStr">
        <is>
          <t>Keeta</t>
        </is>
      </c>
      <c r="K1251" s="3" t="inlineStr">
        <is>
          <t>****9568</t>
        </is>
      </c>
      <c r="L1251" s="3" t="n"/>
      <c r="M1251" s="3" t="inlineStr">
        <is>
          <t>***** 物流中心5樓</t>
        </is>
      </c>
      <c r="N1251" s="3" t="inlineStr">
        <is>
          <t>北区</t>
        </is>
      </c>
      <c r="O1251" s="3" t="inlineStr">
        <is>
          <t>香港</t>
        </is>
      </c>
      <c r="P1251" s="3" t="inlineStr">
        <is>
          <t>香港特别行政区</t>
        </is>
      </c>
      <c r="Q1251" s="3" t="n">
        <v>721445346</v>
      </c>
      <c r="R1251" s="3" t="inlineStr">
        <is>
          <t>美好時菓（鮮果果汁榴槤）</t>
        </is>
      </c>
      <c r="S1251" s="3" t="inlineStr">
        <is>
          <t>****51971514</t>
        </is>
      </c>
      <c r="T1251" s="3" t="inlineStr">
        <is>
          <t>****51971514</t>
        </is>
      </c>
      <c r="U1251" s="3" t="inlineStr">
        <is>
          <t>***** 大廈地下C舖</t>
        </is>
      </c>
      <c r="V1251" s="3" t="inlineStr">
        <is>
          <t>香港</t>
        </is>
      </c>
      <c r="W1251" s="3" t="inlineStr">
        <is>
          <t>机纸/小票纸 / 包出, 封签【通版】/ 扎出</t>
        </is>
      </c>
      <c r="X1251" s="3" t="inlineStr">
        <is>
          <t>ESS-SFTS-OTMS</t>
        </is>
      </c>
      <c r="Y1251" s="3" t="n"/>
      <c r="Z1251" s="3" t="inlineStr"/>
      <c r="AA1251" s="3" t="inlineStr">
        <is>
          <t>寄付月結</t>
        </is>
      </c>
      <c r="AB1251">
        <f>IFERROR(VLOOKUP(Q1251&amp;"",對照表!$A:$B,1,FALSE),"")</f>
        <v/>
      </c>
      <c r="AC1251">
        <f>IFERROR(VLOOKUP(Q1251&amp;"",對照表!$A:$B,2,FALSE),"")</f>
        <v/>
      </c>
    </row>
    <row r="1252">
      <c r="A1252" s="3" t="inlineStr">
        <is>
          <t>SF5113427648437</t>
        </is>
      </c>
      <c r="B1252" s="3" t="n">
        <v>58435485630568</v>
      </c>
      <c r="C1252" s="3" t="inlineStr">
        <is>
          <t>已簽收</t>
        </is>
      </c>
      <c r="D1252" s="3" t="inlineStr">
        <is>
          <t>2026-07-06 17:43:20</t>
        </is>
      </c>
      <c r="E1252" s="3" t="inlineStr">
        <is>
          <t>2026-07-07 11:03</t>
        </is>
      </c>
      <c r="F1252" s="3" t="n">
        <v>45.4</v>
      </c>
      <c r="G1252" s="3" t="n">
        <v>4</v>
      </c>
      <c r="H1252" s="3" t="n"/>
      <c r="I1252" s="3" t="inlineStr"/>
      <c r="J1252" s="3" t="inlineStr">
        <is>
          <t>Keeta</t>
        </is>
      </c>
      <c r="K1252" s="3" t="inlineStr">
        <is>
          <t>****9568</t>
        </is>
      </c>
      <c r="L1252" s="3" t="n"/>
      <c r="M1252" s="3" t="inlineStr">
        <is>
          <t>***** 物流中心5樓</t>
        </is>
      </c>
      <c r="N1252" s="3" t="inlineStr">
        <is>
          <t>北区</t>
        </is>
      </c>
      <c r="O1252" s="3" t="inlineStr">
        <is>
          <t>香港</t>
        </is>
      </c>
      <c r="P1252" s="3" t="inlineStr">
        <is>
          <t>香港特别行政区</t>
        </is>
      </c>
      <c r="Q1252" s="3" t="n">
        <v>721515338</v>
      </c>
      <c r="R1252" s="3" t="inlineStr">
        <is>
          <t>TheLasagnaFactory上環意式經典千層麵之家意大利最傳統的美味</t>
        </is>
      </c>
      <c r="S1252" s="3" t="inlineStr">
        <is>
          <t>****98421883</t>
        </is>
      </c>
      <c r="T1252" s="3" t="inlineStr">
        <is>
          <t>****98421883</t>
        </is>
      </c>
      <c r="U1252" s="3" t="inlineStr">
        <is>
          <t>***** 208號地鋪</t>
        </is>
      </c>
      <c r="V1252" s="3" t="inlineStr">
        <is>
          <t>香港</t>
        </is>
      </c>
      <c r="W1252" s="3" t="inlineStr">
        <is>
          <t>机纸/小票纸 / 包出, 纸袋【通版】/ 箱出</t>
        </is>
      </c>
      <c r="X1252" s="3" t="inlineStr">
        <is>
          <t>ESS-SFTS-OTMS</t>
        </is>
      </c>
      <c r="Y1252" s="3" t="n"/>
      <c r="Z1252" s="3" t="inlineStr"/>
      <c r="AA1252" s="3" t="inlineStr">
        <is>
          <t>寄付月結</t>
        </is>
      </c>
      <c r="AB1252">
        <f>IFERROR(VLOOKUP(Q1252&amp;"",對照表!$A:$B,1,FALSE),"")</f>
        <v/>
      </c>
      <c r="AC1252">
        <f>IFERROR(VLOOKUP(Q1252&amp;"",對照表!$A:$B,2,FALSE),"")</f>
        <v/>
      </c>
    </row>
    <row r="1253">
      <c r="A1253" s="3" t="inlineStr">
        <is>
          <t>SF5113427648428</t>
        </is>
      </c>
      <c r="B1253" s="3" t="n">
        <v>58435485630566</v>
      </c>
      <c r="C1253" s="3" t="inlineStr">
        <is>
          <t>已簽收</t>
        </is>
      </c>
      <c r="D1253" s="3" t="inlineStr">
        <is>
          <t>2026-07-06 17:44:27</t>
        </is>
      </c>
      <c r="E1253" s="3" t="inlineStr">
        <is>
          <t>2026-07-07 11:21</t>
        </is>
      </c>
      <c r="F1253" s="3" t="n">
        <v>44.6</v>
      </c>
      <c r="G1253" s="3" t="n">
        <v>4</v>
      </c>
      <c r="H1253" s="3" t="n"/>
      <c r="I1253" s="3" t="inlineStr"/>
      <c r="J1253" s="3" t="inlineStr">
        <is>
          <t>Keeta</t>
        </is>
      </c>
      <c r="K1253" s="3" t="inlineStr">
        <is>
          <t>****9568</t>
        </is>
      </c>
      <c r="L1253" s="3" t="n"/>
      <c r="M1253" s="3" t="inlineStr">
        <is>
          <t>***** 物流中心5樓</t>
        </is>
      </c>
      <c r="N1253" s="3" t="inlineStr">
        <is>
          <t>北区</t>
        </is>
      </c>
      <c r="O1253" s="3" t="inlineStr">
        <is>
          <t>香港</t>
        </is>
      </c>
      <c r="P1253" s="3" t="inlineStr">
        <is>
          <t>香港特别行政区</t>
        </is>
      </c>
      <c r="Q1253" s="3" t="n">
        <v>465331</v>
      </c>
      <c r="R1253" s="3" t="inlineStr">
        <is>
          <t>即叫即整首單全單8折GhettoBurger(SmashBurger)手工漢堡包專門店</t>
        </is>
      </c>
      <c r="S1253" s="3" t="inlineStr">
        <is>
          <t>****92578376</t>
        </is>
      </c>
      <c r="T1253" s="3" t="inlineStr">
        <is>
          <t>****92578376</t>
        </is>
      </c>
      <c r="U1253" s="3" t="inlineStr">
        <is>
          <t>***** 街13號地舖</t>
        </is>
      </c>
      <c r="V1253" s="3" t="inlineStr">
        <is>
          <t>香港</t>
        </is>
      </c>
      <c r="W1253" s="3" t="inlineStr">
        <is>
          <t>纸袋【通版】/ 箱出, 机纸/小票纸 / 包出</t>
        </is>
      </c>
      <c r="X1253" s="3" t="inlineStr">
        <is>
          <t>ESS-SFTS-OTMS</t>
        </is>
      </c>
      <c r="Y1253" s="3" t="n"/>
      <c r="Z1253" s="3" t="inlineStr"/>
      <c r="AA1253" s="3" t="inlineStr">
        <is>
          <t>寄付月結</t>
        </is>
      </c>
      <c r="AB1253">
        <f>IFERROR(VLOOKUP(Q1253&amp;"",對照表!$A:$B,1,FALSE),"")</f>
        <v/>
      </c>
      <c r="AC1253">
        <f>IFERROR(VLOOKUP(Q1253&amp;"",對照表!$A:$B,2,FALSE),"")</f>
        <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1159"/>
  <sheetViews>
    <sheetView workbookViewId="0">
      <selection activeCell="A1" sqref="A1"/>
    </sheetView>
  </sheetViews>
  <sheetFormatPr baseColWidth="8" defaultRowHeight="15"/>
  <sheetData>
    <row r="1">
      <c r="A1" t="inlineStr">
        <is>
          <t>收件方公司</t>
        </is>
      </c>
      <c r="B1" t="inlineStr">
        <is>
          <t>所有順豐運單號</t>
        </is>
      </c>
    </row>
    <row r="2">
      <c r="A2" t="inlineStr">
        <is>
          <t>'</t>
        </is>
      </c>
      <c r="B2" t="inlineStr">
        <is>
          <t>SF0213744738432, SF0218174673442</t>
        </is>
      </c>
    </row>
    <row r="3">
      <c r="A3" t="inlineStr">
        <is>
          <t>'20260702</t>
        </is>
      </c>
      <c r="B3" t="inlineStr">
        <is>
          <t>SF5119115816419</t>
        </is>
      </c>
    </row>
    <row r="4">
      <c r="A4" t="inlineStr">
        <is>
          <t>'20260703</t>
        </is>
      </c>
      <c r="B4" t="inlineStr">
        <is>
          <t>SF5119115816700</t>
        </is>
      </c>
    </row>
    <row r="5">
      <c r="A5" t="inlineStr">
        <is>
          <t>'26918328</t>
        </is>
      </c>
      <c r="B5" t="inlineStr">
        <is>
          <t>SF5119115816313</t>
        </is>
      </c>
    </row>
    <row r="6">
      <c r="A6" t="inlineStr">
        <is>
          <t>'27099984</t>
        </is>
      </c>
      <c r="B6" t="inlineStr">
        <is>
          <t>SF5119115817478</t>
        </is>
      </c>
    </row>
    <row r="7">
      <c r="A7" t="inlineStr">
        <is>
          <t>'28753260</t>
        </is>
      </c>
      <c r="B7" t="inlineStr">
        <is>
          <t>SF5119115816021</t>
        </is>
      </c>
    </row>
    <row r="8">
      <c r="A8" t="inlineStr">
        <is>
          <t>'31945010</t>
        </is>
      </c>
      <c r="B8" t="inlineStr">
        <is>
          <t>SF5119115816482</t>
        </is>
      </c>
    </row>
    <row r="9">
      <c r="A9" t="inlineStr">
        <is>
          <t>'389141</t>
        </is>
      </c>
      <c r="B9" t="inlineStr">
        <is>
          <t>SF5113427653386</t>
        </is>
      </c>
    </row>
    <row r="10">
      <c r="A10" t="inlineStr">
        <is>
          <t>'392451</t>
        </is>
      </c>
      <c r="B10" t="inlineStr">
        <is>
          <t>SF5113427653561</t>
        </is>
      </c>
    </row>
    <row r="11">
      <c r="A11" t="inlineStr">
        <is>
          <t>'392471</t>
        </is>
      </c>
      <c r="B11" t="inlineStr">
        <is>
          <t>SF5116616532983</t>
        </is>
      </c>
    </row>
    <row r="12">
      <c r="A12" t="inlineStr">
        <is>
          <t>'395722</t>
        </is>
      </c>
      <c r="B12" t="inlineStr">
        <is>
          <t>SF5119018988593</t>
        </is>
      </c>
    </row>
    <row r="13">
      <c r="A13" t="inlineStr">
        <is>
          <t>'399008</t>
        </is>
      </c>
      <c r="B13" t="inlineStr">
        <is>
          <t>SF5119115817811</t>
        </is>
      </c>
    </row>
    <row r="14">
      <c r="A14" t="inlineStr">
        <is>
          <t>'399024</t>
        </is>
      </c>
      <c r="B14" t="inlineStr">
        <is>
          <t>SF5119115816834</t>
        </is>
      </c>
    </row>
    <row r="15">
      <c r="A15" t="inlineStr">
        <is>
          <t>'39969363</t>
        </is>
      </c>
      <c r="B15" t="inlineStr">
        <is>
          <t>SF5119115815733</t>
        </is>
      </c>
    </row>
    <row r="16">
      <c r="A16" t="inlineStr">
        <is>
          <t>'402355</t>
        </is>
      </c>
      <c r="B16" t="inlineStr">
        <is>
          <t>SF5116616531828</t>
        </is>
      </c>
    </row>
    <row r="17">
      <c r="A17" t="inlineStr">
        <is>
          <t>'405627</t>
        </is>
      </c>
      <c r="B17" t="inlineStr">
        <is>
          <t>SF5119115817945</t>
        </is>
      </c>
    </row>
    <row r="18">
      <c r="A18" t="inlineStr">
        <is>
          <t>'408881</t>
        </is>
      </c>
      <c r="B18" t="inlineStr">
        <is>
          <t>SF5119115816755</t>
        </is>
      </c>
    </row>
    <row r="19">
      <c r="A19" t="inlineStr">
        <is>
          <t>'408882</t>
        </is>
      </c>
      <c r="B19" t="inlineStr">
        <is>
          <t>SF5113427653968</t>
        </is>
      </c>
    </row>
    <row r="20">
      <c r="A20" t="inlineStr">
        <is>
          <t>'408884</t>
        </is>
      </c>
      <c r="B20" t="inlineStr">
        <is>
          <t>SF5119018987605</t>
        </is>
      </c>
    </row>
    <row r="21">
      <c r="A21" t="inlineStr">
        <is>
          <t>'408891</t>
        </is>
      </c>
      <c r="B21" t="inlineStr">
        <is>
          <t>SF5113427647530</t>
        </is>
      </c>
    </row>
    <row r="22">
      <c r="A22" t="inlineStr">
        <is>
          <t>'408901</t>
        </is>
      </c>
      <c r="B22" t="inlineStr">
        <is>
          <t>SF5113427648631</t>
        </is>
      </c>
    </row>
    <row r="23">
      <c r="A23" t="inlineStr">
        <is>
          <t>'408907</t>
        </is>
      </c>
      <c r="B23" t="inlineStr">
        <is>
          <t>SF5119115817663</t>
        </is>
      </c>
    </row>
    <row r="24">
      <c r="A24" t="inlineStr">
        <is>
          <t>'408910</t>
        </is>
      </c>
      <c r="B24" t="inlineStr">
        <is>
          <t>SF5119018988627</t>
        </is>
      </c>
    </row>
    <row r="25">
      <c r="A25" t="inlineStr">
        <is>
          <t>'408912</t>
        </is>
      </c>
      <c r="B25" t="inlineStr">
        <is>
          <t>SF5119018987517</t>
        </is>
      </c>
    </row>
    <row r="26">
      <c r="A26" t="inlineStr">
        <is>
          <t>'415438</t>
        </is>
      </c>
      <c r="B26" t="inlineStr">
        <is>
          <t>SF5117718571123</t>
        </is>
      </c>
    </row>
    <row r="27">
      <c r="A27" t="inlineStr">
        <is>
          <t>'415463</t>
        </is>
      </c>
      <c r="B27" t="inlineStr">
        <is>
          <t>SF5113427654025</t>
        </is>
      </c>
    </row>
    <row r="28">
      <c r="A28" t="inlineStr">
        <is>
          <t>'422049</t>
        </is>
      </c>
      <c r="B28" t="inlineStr">
        <is>
          <t>SF5116616532356</t>
        </is>
      </c>
    </row>
    <row r="29">
      <c r="A29" t="inlineStr">
        <is>
          <t>'428603</t>
        </is>
      </c>
      <c r="B29" t="inlineStr">
        <is>
          <t>SF5113427653940</t>
        </is>
      </c>
    </row>
    <row r="30">
      <c r="A30" t="inlineStr">
        <is>
          <t>'428617</t>
        </is>
      </c>
      <c r="B30" t="inlineStr">
        <is>
          <t>SF5116616532498</t>
        </is>
      </c>
    </row>
    <row r="31">
      <c r="A31" t="inlineStr">
        <is>
          <t>'428636</t>
        </is>
      </c>
      <c r="B31" t="inlineStr">
        <is>
          <t>SF5119115817502</t>
        </is>
      </c>
    </row>
    <row r="32">
      <c r="A32" t="inlineStr">
        <is>
          <t>'435196</t>
        </is>
      </c>
      <c r="B32" t="inlineStr">
        <is>
          <t>SF5116616533475</t>
        </is>
      </c>
    </row>
    <row r="33">
      <c r="A33" t="inlineStr">
        <is>
          <t>'438440</t>
        </is>
      </c>
      <c r="B33" t="inlineStr">
        <is>
          <t>SF5113427653870</t>
        </is>
      </c>
    </row>
    <row r="34">
      <c r="A34" t="inlineStr">
        <is>
          <t>'441728</t>
        </is>
      </c>
      <c r="B34" t="inlineStr">
        <is>
          <t>SF5116616531891</t>
        </is>
      </c>
    </row>
    <row r="35">
      <c r="A35" t="inlineStr">
        <is>
          <t>'448315</t>
        </is>
      </c>
      <c r="B35" t="inlineStr">
        <is>
          <t>SF5113427653516</t>
        </is>
      </c>
    </row>
    <row r="36">
      <c r="A36" t="inlineStr">
        <is>
          <t>'448325</t>
        </is>
      </c>
      <c r="B36" t="inlineStr">
        <is>
          <t>SF5113427648076</t>
        </is>
      </c>
    </row>
    <row r="37">
      <c r="A37" t="inlineStr">
        <is>
          <t>'448340</t>
        </is>
      </c>
      <c r="B37" t="inlineStr">
        <is>
          <t>SF5116616189378</t>
        </is>
      </c>
    </row>
    <row r="38">
      <c r="A38" t="inlineStr">
        <is>
          <t>'448374</t>
        </is>
      </c>
      <c r="B38" t="inlineStr">
        <is>
          <t>SF5113427648737</t>
        </is>
      </c>
    </row>
    <row r="39">
      <c r="A39" t="inlineStr">
        <is>
          <t>'448384</t>
        </is>
      </c>
      <c r="B39" t="inlineStr">
        <is>
          <t>SF5113427654362</t>
        </is>
      </c>
    </row>
    <row r="40">
      <c r="A40" t="inlineStr">
        <is>
          <t>'448433</t>
        </is>
      </c>
      <c r="B40" t="inlineStr">
        <is>
          <t>SF5113427649239</t>
        </is>
      </c>
    </row>
    <row r="41">
      <c r="A41" t="inlineStr">
        <is>
          <t>'448496</t>
        </is>
      </c>
      <c r="B41" t="inlineStr">
        <is>
          <t>SF5116616188821</t>
        </is>
      </c>
    </row>
    <row r="42">
      <c r="A42" t="inlineStr">
        <is>
          <t>'448572</t>
        </is>
      </c>
      <c r="B42" t="inlineStr">
        <is>
          <t>SF5113427648870</t>
        </is>
      </c>
    </row>
    <row r="43">
      <c r="A43" t="inlineStr">
        <is>
          <t>'448575</t>
        </is>
      </c>
      <c r="B43" t="inlineStr">
        <is>
          <t>SF5116616532601</t>
        </is>
      </c>
    </row>
    <row r="44">
      <c r="A44" t="inlineStr">
        <is>
          <t>'448592</t>
        </is>
      </c>
      <c r="B44" t="inlineStr">
        <is>
          <t>SF5116616188964</t>
        </is>
      </c>
    </row>
    <row r="45">
      <c r="A45" t="inlineStr">
        <is>
          <t>'448595</t>
        </is>
      </c>
      <c r="B45" t="inlineStr">
        <is>
          <t>SF5119115815876</t>
        </is>
      </c>
    </row>
    <row r="46">
      <c r="A46" t="inlineStr">
        <is>
          <t>'448618</t>
        </is>
      </c>
      <c r="B46" t="inlineStr">
        <is>
          <t>SF5119115818002</t>
        </is>
      </c>
    </row>
    <row r="47">
      <c r="A47" t="inlineStr">
        <is>
          <t>'448619</t>
        </is>
      </c>
      <c r="B47" t="inlineStr">
        <is>
          <t>SF5113427648322</t>
        </is>
      </c>
    </row>
    <row r="48">
      <c r="A48" t="inlineStr">
        <is>
          <t>'448683</t>
        </is>
      </c>
      <c r="B48" t="inlineStr">
        <is>
          <t>SF5116616691037</t>
        </is>
      </c>
    </row>
    <row r="49">
      <c r="A49" t="inlineStr">
        <is>
          <t>'448702</t>
        </is>
      </c>
      <c r="B49" t="inlineStr">
        <is>
          <t>SF5119018988618</t>
        </is>
      </c>
    </row>
    <row r="50">
      <c r="A50" t="inlineStr">
        <is>
          <t>'448728</t>
        </is>
      </c>
      <c r="B50" t="inlineStr">
        <is>
          <t>SF5119115817954</t>
        </is>
      </c>
    </row>
    <row r="51">
      <c r="A51" t="inlineStr">
        <is>
          <t>'448760</t>
        </is>
      </c>
      <c r="B51" t="inlineStr">
        <is>
          <t>SF5116616187784</t>
        </is>
      </c>
    </row>
    <row r="52">
      <c r="A52" t="inlineStr">
        <is>
          <t>'448764</t>
        </is>
      </c>
      <c r="B52" t="inlineStr">
        <is>
          <t>SF5113427653128</t>
        </is>
      </c>
    </row>
    <row r="53">
      <c r="A53" t="inlineStr">
        <is>
          <t>'448802</t>
        </is>
      </c>
      <c r="B53" t="inlineStr">
        <is>
          <t>SF5116616187997</t>
        </is>
      </c>
    </row>
    <row r="54">
      <c r="A54" t="inlineStr">
        <is>
          <t>'448832</t>
        </is>
      </c>
      <c r="B54" t="inlineStr">
        <is>
          <t>SF5116616188797</t>
        </is>
      </c>
    </row>
    <row r="55">
      <c r="A55" t="inlineStr">
        <is>
          <t>'448856</t>
        </is>
      </c>
      <c r="B55" t="inlineStr">
        <is>
          <t>SF5116616533484</t>
        </is>
      </c>
    </row>
    <row r="56">
      <c r="A56" t="inlineStr">
        <is>
          <t>'448903</t>
        </is>
      </c>
      <c r="B56" t="inlineStr">
        <is>
          <t>SF5113427648289</t>
        </is>
      </c>
    </row>
    <row r="57">
      <c r="A57" t="inlineStr">
        <is>
          <t>'448942</t>
        </is>
      </c>
      <c r="B57" t="inlineStr">
        <is>
          <t>SF5116616533572</t>
        </is>
      </c>
    </row>
    <row r="58">
      <c r="A58" t="inlineStr">
        <is>
          <t>'448956</t>
        </is>
      </c>
      <c r="B58" t="inlineStr">
        <is>
          <t>SF5116616532374</t>
        </is>
      </c>
    </row>
    <row r="59">
      <c r="A59" t="inlineStr">
        <is>
          <t>'449000</t>
        </is>
      </c>
      <c r="B59" t="inlineStr">
        <is>
          <t>SF5119115817548</t>
        </is>
      </c>
    </row>
    <row r="60">
      <c r="A60" t="inlineStr">
        <is>
          <t>'449001</t>
        </is>
      </c>
      <c r="B60" t="inlineStr">
        <is>
          <t>SF5119115817778</t>
        </is>
      </c>
    </row>
    <row r="61">
      <c r="A61" t="inlineStr">
        <is>
          <t>'449018</t>
        </is>
      </c>
      <c r="B61" t="inlineStr">
        <is>
          <t>SF5113427647512</t>
        </is>
      </c>
    </row>
    <row r="62">
      <c r="A62" t="inlineStr">
        <is>
          <t>'449037</t>
        </is>
      </c>
      <c r="B62" t="inlineStr">
        <is>
          <t>SF5113427647328</t>
        </is>
      </c>
    </row>
    <row r="63">
      <c r="A63" t="inlineStr">
        <is>
          <t>'449043</t>
        </is>
      </c>
      <c r="B63" t="inlineStr">
        <is>
          <t>SF5116616532859, SF5119018988414</t>
        </is>
      </c>
    </row>
    <row r="64">
      <c r="A64" t="inlineStr">
        <is>
          <t>'449064</t>
        </is>
      </c>
      <c r="B64" t="inlineStr">
        <is>
          <t>SF5116616532822</t>
        </is>
      </c>
    </row>
    <row r="65">
      <c r="A65" t="inlineStr">
        <is>
          <t>'449862</t>
        </is>
      </c>
      <c r="B65" t="inlineStr">
        <is>
          <t>SF5116616533333</t>
        </is>
      </c>
    </row>
    <row r="66">
      <c r="A66" t="inlineStr">
        <is>
          <t>'449877</t>
        </is>
      </c>
      <c r="B66" t="inlineStr">
        <is>
          <t>SF5119115818084</t>
        </is>
      </c>
    </row>
    <row r="67">
      <c r="A67" t="inlineStr">
        <is>
          <t>'450013</t>
        </is>
      </c>
      <c r="B67" t="inlineStr">
        <is>
          <t>SF5119018988820</t>
        </is>
      </c>
    </row>
    <row r="68">
      <c r="A68" t="inlineStr">
        <is>
          <t>'450300</t>
        </is>
      </c>
      <c r="B68" t="inlineStr">
        <is>
          <t>SF5113427653622</t>
        </is>
      </c>
    </row>
    <row r="69">
      <c r="A69" t="inlineStr">
        <is>
          <t>'450671</t>
        </is>
      </c>
      <c r="B69" t="inlineStr">
        <is>
          <t>SF5119115817769</t>
        </is>
      </c>
    </row>
    <row r="70">
      <c r="A70" t="inlineStr">
        <is>
          <t>'450672</t>
        </is>
      </c>
      <c r="B70" t="inlineStr">
        <is>
          <t>SF5113427648446, SF5119115816922</t>
        </is>
      </c>
    </row>
    <row r="71">
      <c r="A71" t="inlineStr">
        <is>
          <t>'450880</t>
        </is>
      </c>
      <c r="B71" t="inlineStr">
        <is>
          <t>SF5119018988511</t>
        </is>
      </c>
    </row>
    <row r="72">
      <c r="A72" t="inlineStr">
        <is>
          <t>'450972</t>
        </is>
      </c>
      <c r="B72" t="inlineStr">
        <is>
          <t>SF5116616690997</t>
        </is>
      </c>
    </row>
    <row r="73">
      <c r="A73" t="inlineStr">
        <is>
          <t>'451194</t>
        </is>
      </c>
      <c r="B73" t="inlineStr">
        <is>
          <t>SF5119115816728</t>
        </is>
      </c>
    </row>
    <row r="74">
      <c r="A74" t="inlineStr">
        <is>
          <t>'451590</t>
        </is>
      </c>
      <c r="B74" t="inlineStr">
        <is>
          <t>SF5119115816455</t>
        </is>
      </c>
    </row>
    <row r="75">
      <c r="A75" t="inlineStr">
        <is>
          <t>'451612</t>
        </is>
      </c>
      <c r="B75" t="inlineStr">
        <is>
          <t>SF5116616188900</t>
        </is>
      </c>
    </row>
    <row r="76">
      <c r="A76" t="inlineStr">
        <is>
          <t>'451667</t>
        </is>
      </c>
      <c r="B76" t="inlineStr">
        <is>
          <t>SF5119115816861</t>
        </is>
      </c>
    </row>
    <row r="77">
      <c r="A77" t="inlineStr">
        <is>
          <t>'451673</t>
        </is>
      </c>
      <c r="B77" t="inlineStr">
        <is>
          <t>SF5119115816473</t>
        </is>
      </c>
    </row>
    <row r="78">
      <c r="A78" t="inlineStr">
        <is>
          <t>'451715</t>
        </is>
      </c>
      <c r="B78" t="inlineStr">
        <is>
          <t>SF5113427647876</t>
        </is>
      </c>
    </row>
    <row r="79">
      <c r="A79" t="inlineStr">
        <is>
          <t>'451717</t>
        </is>
      </c>
      <c r="B79" t="inlineStr">
        <is>
          <t>SF5116616531661</t>
        </is>
      </c>
    </row>
    <row r="80">
      <c r="A80" t="inlineStr">
        <is>
          <t>'451744</t>
        </is>
      </c>
      <c r="B80" t="inlineStr">
        <is>
          <t>SF5113427653482</t>
        </is>
      </c>
    </row>
    <row r="81">
      <c r="A81" t="inlineStr">
        <is>
          <t>'451789</t>
        </is>
      </c>
      <c r="B81" t="inlineStr">
        <is>
          <t>SF5116616188442</t>
        </is>
      </c>
    </row>
    <row r="82">
      <c r="A82" t="inlineStr">
        <is>
          <t>'451842</t>
        </is>
      </c>
      <c r="B82" t="inlineStr">
        <is>
          <t>SF5113427653049</t>
        </is>
      </c>
    </row>
    <row r="83">
      <c r="A83" t="inlineStr">
        <is>
          <t>'451869</t>
        </is>
      </c>
      <c r="B83" t="inlineStr">
        <is>
          <t>SF5113427653207</t>
        </is>
      </c>
    </row>
    <row r="84">
      <c r="A84" t="inlineStr">
        <is>
          <t>'451881</t>
        </is>
      </c>
      <c r="B84" t="inlineStr">
        <is>
          <t>SF5116616188558</t>
        </is>
      </c>
    </row>
    <row r="85">
      <c r="A85" t="inlineStr">
        <is>
          <t>'451893</t>
        </is>
      </c>
      <c r="B85" t="inlineStr">
        <is>
          <t>SF5116616188294</t>
        </is>
      </c>
    </row>
    <row r="86">
      <c r="A86" t="inlineStr">
        <is>
          <t>'451899</t>
        </is>
      </c>
      <c r="B86" t="inlineStr">
        <is>
          <t>SF5113427647549</t>
        </is>
      </c>
    </row>
    <row r="87">
      <c r="A87" t="inlineStr">
        <is>
          <t>'451934</t>
        </is>
      </c>
      <c r="B87" t="inlineStr">
        <is>
          <t>SF5116616533351</t>
        </is>
      </c>
    </row>
    <row r="88">
      <c r="A88" t="inlineStr">
        <is>
          <t>'451939</t>
        </is>
      </c>
      <c r="B88" t="inlineStr">
        <is>
          <t>SF5119018988918</t>
        </is>
      </c>
    </row>
    <row r="89">
      <c r="A89" t="inlineStr">
        <is>
          <t>'452066</t>
        </is>
      </c>
      <c r="B89" t="inlineStr">
        <is>
          <t>SF5113427647585</t>
        </is>
      </c>
    </row>
    <row r="90">
      <c r="A90" t="inlineStr">
        <is>
          <t>'452077</t>
        </is>
      </c>
      <c r="B90" t="inlineStr">
        <is>
          <t>SF5113427647928</t>
        </is>
      </c>
    </row>
    <row r="91">
      <c r="A91" t="inlineStr">
        <is>
          <t>'452133</t>
        </is>
      </c>
      <c r="B91" t="inlineStr">
        <is>
          <t>SF5116616532037</t>
        </is>
      </c>
    </row>
    <row r="92">
      <c r="A92" t="inlineStr">
        <is>
          <t>'452170</t>
        </is>
      </c>
      <c r="B92" t="inlineStr">
        <is>
          <t>SF5116616188664</t>
        </is>
      </c>
    </row>
    <row r="93">
      <c r="A93" t="inlineStr">
        <is>
          <t>'452187</t>
        </is>
      </c>
      <c r="B93" t="inlineStr">
        <is>
          <t>SF5119115816137</t>
        </is>
      </c>
    </row>
    <row r="94">
      <c r="A94" t="inlineStr">
        <is>
          <t>'452189</t>
        </is>
      </c>
      <c r="B94" t="inlineStr">
        <is>
          <t>SF5113427647451</t>
        </is>
      </c>
    </row>
    <row r="95">
      <c r="A95" t="inlineStr">
        <is>
          <t>'452195</t>
        </is>
      </c>
      <c r="B95" t="inlineStr">
        <is>
          <t>SF5116616532073</t>
        </is>
      </c>
    </row>
    <row r="96">
      <c r="A96" t="inlineStr">
        <is>
          <t>'452220</t>
        </is>
      </c>
      <c r="B96" t="inlineStr">
        <is>
          <t>SF5113427647355</t>
        </is>
      </c>
    </row>
    <row r="97">
      <c r="A97" t="inlineStr">
        <is>
          <t>'452268</t>
        </is>
      </c>
      <c r="B97" t="inlineStr">
        <is>
          <t>SF5119115815867</t>
        </is>
      </c>
    </row>
    <row r="98">
      <c r="A98" t="inlineStr">
        <is>
          <t>'452299</t>
        </is>
      </c>
      <c r="B98" t="inlineStr">
        <is>
          <t>SF5116616189465</t>
        </is>
      </c>
    </row>
    <row r="99">
      <c r="A99" t="inlineStr">
        <is>
          <t>'452318</t>
        </is>
      </c>
      <c r="B99" t="inlineStr">
        <is>
          <t>SF5113427648298</t>
        </is>
      </c>
    </row>
    <row r="100">
      <c r="A100" t="inlineStr">
        <is>
          <t>'452355</t>
        </is>
      </c>
      <c r="B100" t="inlineStr">
        <is>
          <t>SF5113427647594</t>
        </is>
      </c>
    </row>
    <row r="101">
      <c r="A101" t="inlineStr">
        <is>
          <t>'453324</t>
        </is>
      </c>
      <c r="B101" t="inlineStr">
        <is>
          <t>SF5119018988723</t>
        </is>
      </c>
    </row>
    <row r="102">
      <c r="A102" t="inlineStr">
        <is>
          <t>'453328</t>
        </is>
      </c>
      <c r="B102" t="inlineStr">
        <is>
          <t>SF5113427648898</t>
        </is>
      </c>
    </row>
    <row r="103">
      <c r="A103" t="inlineStr">
        <is>
          <t>'453417</t>
        </is>
      </c>
      <c r="B103" t="inlineStr">
        <is>
          <t>SF5119018988884</t>
        </is>
      </c>
    </row>
    <row r="104">
      <c r="A104" t="inlineStr">
        <is>
          <t>'453571</t>
        </is>
      </c>
      <c r="B104" t="inlineStr">
        <is>
          <t>SF5113427647300</t>
        </is>
      </c>
    </row>
    <row r="105">
      <c r="A105" t="inlineStr">
        <is>
          <t>'453966</t>
        </is>
      </c>
      <c r="B105" t="inlineStr">
        <is>
          <t>SF5119115816289</t>
        </is>
      </c>
    </row>
    <row r="106">
      <c r="A106" t="inlineStr">
        <is>
          <t>'454353</t>
        </is>
      </c>
      <c r="B106" t="inlineStr">
        <is>
          <t>SF5113427647497</t>
        </is>
      </c>
    </row>
    <row r="107">
      <c r="A107" t="inlineStr">
        <is>
          <t>'454941</t>
        </is>
      </c>
      <c r="B107" t="inlineStr">
        <is>
          <t>SF5113427647964</t>
        </is>
      </c>
    </row>
    <row r="108">
      <c r="A108" t="inlineStr">
        <is>
          <t>'454995</t>
        </is>
      </c>
      <c r="B108" t="inlineStr">
        <is>
          <t>SF5116616533023</t>
        </is>
      </c>
    </row>
    <row r="109">
      <c r="A109" t="inlineStr">
        <is>
          <t>'455080</t>
        </is>
      </c>
      <c r="B109" t="inlineStr">
        <is>
          <t>SF5116616533050</t>
        </is>
      </c>
    </row>
    <row r="110">
      <c r="A110" t="inlineStr">
        <is>
          <t>'455086</t>
        </is>
      </c>
      <c r="B110" t="inlineStr">
        <is>
          <t>SF5116616533218</t>
        </is>
      </c>
    </row>
    <row r="111">
      <c r="A111" t="inlineStr">
        <is>
          <t>'455133</t>
        </is>
      </c>
      <c r="B111" t="inlineStr">
        <is>
          <t>SF5113427648419</t>
        </is>
      </c>
    </row>
    <row r="112">
      <c r="A112" t="inlineStr">
        <is>
          <t>'455146</t>
        </is>
      </c>
      <c r="B112" t="inlineStr">
        <is>
          <t>SF5113427653543</t>
        </is>
      </c>
    </row>
    <row r="113">
      <c r="A113" t="inlineStr">
        <is>
          <t>'455280</t>
        </is>
      </c>
      <c r="B113" t="inlineStr">
        <is>
          <t>SF5113427653067</t>
        </is>
      </c>
    </row>
    <row r="114">
      <c r="A114" t="inlineStr">
        <is>
          <t>'455332</t>
        </is>
      </c>
      <c r="B114" t="inlineStr">
        <is>
          <t>SF5113427647946</t>
        </is>
      </c>
    </row>
    <row r="115">
      <c r="A115" t="inlineStr">
        <is>
          <t>'455355</t>
        </is>
      </c>
      <c r="B115" t="inlineStr">
        <is>
          <t>SF5113427648137</t>
        </is>
      </c>
    </row>
    <row r="116">
      <c r="A116" t="inlineStr">
        <is>
          <t>'455391</t>
        </is>
      </c>
      <c r="B116" t="inlineStr">
        <is>
          <t>SF5113427653446</t>
        </is>
      </c>
    </row>
    <row r="117">
      <c r="A117" t="inlineStr">
        <is>
          <t>'455432</t>
        </is>
      </c>
      <c r="B117" t="inlineStr">
        <is>
          <t>SF5119115817593</t>
        </is>
      </c>
    </row>
    <row r="118">
      <c r="A118" t="inlineStr">
        <is>
          <t>'455433</t>
        </is>
      </c>
      <c r="B118" t="inlineStr">
        <is>
          <t>SF5119018988636</t>
        </is>
      </c>
    </row>
    <row r="119">
      <c r="A119" t="inlineStr">
        <is>
          <t>'455517</t>
        </is>
      </c>
      <c r="B119" t="inlineStr">
        <is>
          <t>SF5119018987571</t>
        </is>
      </c>
    </row>
    <row r="120">
      <c r="A120" t="inlineStr">
        <is>
          <t>'455523</t>
        </is>
      </c>
      <c r="B120" t="inlineStr">
        <is>
          <t>SF5116616188267</t>
        </is>
      </c>
    </row>
    <row r="121">
      <c r="A121" t="inlineStr">
        <is>
          <t>'455557</t>
        </is>
      </c>
      <c r="B121" t="inlineStr">
        <is>
          <t>SF5119115815885</t>
        </is>
      </c>
    </row>
    <row r="122">
      <c r="A122" t="inlineStr">
        <is>
          <t>'455592</t>
        </is>
      </c>
      <c r="B122" t="inlineStr">
        <is>
          <t>SF5119115817511</t>
        </is>
      </c>
    </row>
    <row r="123">
      <c r="A123" t="inlineStr">
        <is>
          <t>'455608</t>
        </is>
      </c>
      <c r="B123" t="inlineStr">
        <is>
          <t>SF5116616532725</t>
        </is>
      </c>
    </row>
    <row r="124">
      <c r="A124" t="inlineStr">
        <is>
          <t>'455623</t>
        </is>
      </c>
      <c r="B124" t="inlineStr">
        <is>
          <t>SF5119018988293</t>
        </is>
      </c>
    </row>
    <row r="125">
      <c r="A125" t="inlineStr">
        <is>
          <t>'456446</t>
        </is>
      </c>
      <c r="B125" t="inlineStr">
        <is>
          <t>SF5116616531907</t>
        </is>
      </c>
    </row>
    <row r="126">
      <c r="A126" t="inlineStr">
        <is>
          <t>'456729</t>
        </is>
      </c>
      <c r="B126" t="inlineStr">
        <is>
          <t>SF5119115818011</t>
        </is>
      </c>
    </row>
    <row r="127">
      <c r="A127" t="inlineStr">
        <is>
          <t>'457431</t>
        </is>
      </c>
      <c r="B127" t="inlineStr">
        <is>
          <t>SF5113427647706</t>
        </is>
      </c>
    </row>
    <row r="128">
      <c r="A128" t="inlineStr">
        <is>
          <t>'457633</t>
        </is>
      </c>
      <c r="B128" t="inlineStr">
        <is>
          <t>SF5113427653119</t>
        </is>
      </c>
    </row>
    <row r="129">
      <c r="A129" t="inlineStr">
        <is>
          <t>'458182</t>
        </is>
      </c>
      <c r="B129" t="inlineStr">
        <is>
          <t>SF5116616532770</t>
        </is>
      </c>
    </row>
    <row r="130">
      <c r="A130" t="inlineStr">
        <is>
          <t>'458228</t>
        </is>
      </c>
      <c r="B130" t="inlineStr">
        <is>
          <t>SF5116616188858</t>
        </is>
      </c>
    </row>
    <row r="131">
      <c r="A131" t="inlineStr">
        <is>
          <t>'458340</t>
        </is>
      </c>
      <c r="B131" t="inlineStr">
        <is>
          <t>SF5119018988866</t>
        </is>
      </c>
    </row>
    <row r="132">
      <c r="A132" t="inlineStr">
        <is>
          <t>'458369</t>
        </is>
      </c>
      <c r="B132" t="inlineStr">
        <is>
          <t>SF5116616188197</t>
        </is>
      </c>
    </row>
    <row r="133">
      <c r="A133" t="inlineStr">
        <is>
          <t>'458378</t>
        </is>
      </c>
      <c r="B133" t="inlineStr">
        <is>
          <t>SF5113427648570, SF5116616188530</t>
        </is>
      </c>
    </row>
    <row r="134">
      <c r="A134" t="inlineStr">
        <is>
          <t>'458379</t>
        </is>
      </c>
      <c r="B134" t="inlineStr">
        <is>
          <t>SF5116616532329</t>
        </is>
      </c>
    </row>
    <row r="135">
      <c r="A135" t="inlineStr">
        <is>
          <t>'458381</t>
        </is>
      </c>
      <c r="B135" t="inlineStr">
        <is>
          <t>SF5113427647682</t>
        </is>
      </c>
    </row>
    <row r="136">
      <c r="A136" t="inlineStr">
        <is>
          <t>'458440</t>
        </is>
      </c>
      <c r="B136" t="inlineStr">
        <is>
          <t>SF5113427648995</t>
        </is>
      </c>
    </row>
    <row r="137">
      <c r="A137" t="inlineStr">
        <is>
          <t>'458454</t>
        </is>
      </c>
      <c r="B137" t="inlineStr">
        <is>
          <t>SF5116616533324</t>
        </is>
      </c>
    </row>
    <row r="138">
      <c r="A138" t="inlineStr">
        <is>
          <t>'458462</t>
        </is>
      </c>
      <c r="B138" t="inlineStr">
        <is>
          <t>SF5113427647373</t>
        </is>
      </c>
    </row>
    <row r="139">
      <c r="A139" t="inlineStr">
        <is>
          <t>'458529</t>
        </is>
      </c>
      <c r="B139" t="inlineStr">
        <is>
          <t>SF5116616189208</t>
        </is>
      </c>
    </row>
    <row r="140">
      <c r="A140" t="inlineStr">
        <is>
          <t>'458558</t>
        </is>
      </c>
      <c r="B140" t="inlineStr">
        <is>
          <t>SF5119018988520</t>
        </is>
      </c>
    </row>
    <row r="141">
      <c r="A141" t="inlineStr">
        <is>
          <t>'458580</t>
        </is>
      </c>
      <c r="B141" t="inlineStr">
        <is>
          <t>SF5119115817539</t>
        </is>
      </c>
    </row>
    <row r="142">
      <c r="A142" t="inlineStr">
        <is>
          <t>'458581</t>
        </is>
      </c>
      <c r="B142" t="inlineStr">
        <is>
          <t>SF5113427648021</t>
        </is>
      </c>
    </row>
    <row r="143">
      <c r="A143" t="inlineStr">
        <is>
          <t>'458600</t>
        </is>
      </c>
      <c r="B143" t="inlineStr">
        <is>
          <t>SF5119115816825</t>
        </is>
      </c>
    </row>
    <row r="144">
      <c r="A144" t="inlineStr">
        <is>
          <t>'458647</t>
        </is>
      </c>
      <c r="B144" t="inlineStr">
        <is>
          <t>SF5116616531819</t>
        </is>
      </c>
    </row>
    <row r="145">
      <c r="A145" t="inlineStr">
        <is>
          <t>'458681</t>
        </is>
      </c>
      <c r="B145" t="inlineStr">
        <is>
          <t>SF5113427653377</t>
        </is>
      </c>
    </row>
    <row r="146">
      <c r="A146" t="inlineStr">
        <is>
          <t>'458696</t>
        </is>
      </c>
      <c r="B146" t="inlineStr">
        <is>
          <t>SF5113427647900</t>
        </is>
      </c>
    </row>
    <row r="147">
      <c r="A147" t="inlineStr">
        <is>
          <t>'458718</t>
        </is>
      </c>
      <c r="B147" t="inlineStr">
        <is>
          <t>SF5113427647442</t>
        </is>
      </c>
    </row>
    <row r="148">
      <c r="A148" t="inlineStr">
        <is>
          <t>'458731</t>
        </is>
      </c>
      <c r="B148" t="inlineStr">
        <is>
          <t>SF5119115817918</t>
        </is>
      </c>
    </row>
    <row r="149">
      <c r="A149" t="inlineStr">
        <is>
          <t>'458736</t>
        </is>
      </c>
      <c r="B149" t="inlineStr">
        <is>
          <t>SF5116616187818</t>
        </is>
      </c>
    </row>
    <row r="150">
      <c r="A150" t="inlineStr">
        <is>
          <t>'458764</t>
        </is>
      </c>
      <c r="B150" t="inlineStr">
        <is>
          <t>SF5113427647567</t>
        </is>
      </c>
    </row>
    <row r="151">
      <c r="A151" t="inlineStr">
        <is>
          <t>'458818</t>
        </is>
      </c>
      <c r="B151" t="inlineStr">
        <is>
          <t>SF5116616187890</t>
        </is>
      </c>
    </row>
    <row r="152">
      <c r="A152" t="inlineStr">
        <is>
          <t>'458842</t>
        </is>
      </c>
      <c r="B152" t="inlineStr">
        <is>
          <t>SF5113427648843</t>
        </is>
      </c>
    </row>
    <row r="153">
      <c r="A153" t="inlineStr">
        <is>
          <t>'458844</t>
        </is>
      </c>
      <c r="B153" t="inlineStr">
        <is>
          <t>SF5116616532189</t>
        </is>
      </c>
    </row>
    <row r="154">
      <c r="A154" t="inlineStr">
        <is>
          <t>'458855</t>
        </is>
      </c>
      <c r="B154" t="inlineStr">
        <is>
          <t>SF5119115817839</t>
        </is>
      </c>
    </row>
    <row r="155">
      <c r="A155" t="inlineStr">
        <is>
          <t>'458858</t>
        </is>
      </c>
      <c r="B155" t="inlineStr">
        <is>
          <t>SF5113427648313</t>
        </is>
      </c>
    </row>
    <row r="156">
      <c r="A156" t="inlineStr">
        <is>
          <t>'458864</t>
        </is>
      </c>
      <c r="B156" t="inlineStr">
        <is>
          <t>SF5119018988857</t>
        </is>
      </c>
    </row>
    <row r="157">
      <c r="A157" t="inlineStr">
        <is>
          <t>'458875</t>
        </is>
      </c>
      <c r="B157" t="inlineStr">
        <is>
          <t>SF5116616188151</t>
        </is>
      </c>
    </row>
    <row r="158">
      <c r="A158" t="inlineStr">
        <is>
          <t>'458876</t>
        </is>
      </c>
      <c r="B158" t="inlineStr">
        <is>
          <t>SF5116616187827</t>
        </is>
      </c>
    </row>
    <row r="159">
      <c r="A159" t="inlineStr">
        <is>
          <t>'458879</t>
        </is>
      </c>
      <c r="B159" t="inlineStr">
        <is>
          <t>SF5119018987650</t>
        </is>
      </c>
    </row>
    <row r="160">
      <c r="A160" t="inlineStr">
        <is>
          <t>'458880</t>
        </is>
      </c>
      <c r="B160" t="inlineStr">
        <is>
          <t>SF5113427648668</t>
        </is>
      </c>
    </row>
    <row r="161">
      <c r="A161" t="inlineStr">
        <is>
          <t>'458902</t>
        </is>
      </c>
      <c r="B161" t="inlineStr">
        <is>
          <t>SF5116616532392</t>
        </is>
      </c>
    </row>
    <row r="162">
      <c r="A162" t="inlineStr">
        <is>
          <t>'458909</t>
        </is>
      </c>
      <c r="B162" t="inlineStr">
        <is>
          <t>SF5116616532656</t>
        </is>
      </c>
    </row>
    <row r="163">
      <c r="A163" t="inlineStr">
        <is>
          <t>'458916</t>
        </is>
      </c>
      <c r="B163" t="inlineStr">
        <is>
          <t>SF5116616189535</t>
        </is>
      </c>
    </row>
    <row r="164">
      <c r="A164" t="inlineStr">
        <is>
          <t>'459759</t>
        </is>
      </c>
      <c r="B164" t="inlineStr">
        <is>
          <t>SF5116616188391</t>
        </is>
      </c>
    </row>
    <row r="165">
      <c r="A165" t="inlineStr">
        <is>
          <t>'459895</t>
        </is>
      </c>
      <c r="B165" t="inlineStr">
        <is>
          <t>SF5116616691213</t>
        </is>
      </c>
    </row>
    <row r="166">
      <c r="A166" t="inlineStr">
        <is>
          <t>'460383</t>
        </is>
      </c>
      <c r="B166" t="inlineStr">
        <is>
          <t>SF5113427648216, SF5119018988202</t>
        </is>
      </c>
    </row>
    <row r="167">
      <c r="A167" t="inlineStr">
        <is>
          <t>'460398</t>
        </is>
      </c>
      <c r="B167" t="inlineStr">
        <is>
          <t>SF5113427648128</t>
        </is>
      </c>
    </row>
    <row r="168">
      <c r="A168" t="inlineStr">
        <is>
          <t>'460854</t>
        </is>
      </c>
      <c r="B168" t="inlineStr">
        <is>
          <t>SF5119018987508</t>
        </is>
      </c>
    </row>
    <row r="169">
      <c r="A169" t="inlineStr">
        <is>
          <t>'460960</t>
        </is>
      </c>
      <c r="B169" t="inlineStr">
        <is>
          <t>SF5113427654186</t>
        </is>
      </c>
    </row>
    <row r="170">
      <c r="A170" t="inlineStr">
        <is>
          <t>'461457</t>
        </is>
      </c>
      <c r="B170" t="inlineStr">
        <is>
          <t>SF5119115817741</t>
        </is>
      </c>
    </row>
    <row r="171">
      <c r="A171" t="inlineStr">
        <is>
          <t>'461470</t>
        </is>
      </c>
      <c r="B171" t="inlineStr">
        <is>
          <t>SF5113427648525</t>
        </is>
      </c>
    </row>
    <row r="172">
      <c r="A172" t="inlineStr">
        <is>
          <t>'461659</t>
        </is>
      </c>
      <c r="B172" t="inlineStr">
        <is>
          <t>SF5116516599825</t>
        </is>
      </c>
    </row>
    <row r="173">
      <c r="A173" t="inlineStr">
        <is>
          <t>'461670</t>
        </is>
      </c>
      <c r="B173" t="inlineStr">
        <is>
          <t>SF5116616533642</t>
        </is>
      </c>
    </row>
    <row r="174">
      <c r="A174" t="inlineStr">
        <is>
          <t>'461694</t>
        </is>
      </c>
      <c r="B174" t="inlineStr">
        <is>
          <t>SF5116616187906</t>
        </is>
      </c>
    </row>
    <row r="175">
      <c r="A175" t="inlineStr">
        <is>
          <t>'461699</t>
        </is>
      </c>
      <c r="B175" t="inlineStr">
        <is>
          <t>SF5116616532055</t>
        </is>
      </c>
    </row>
    <row r="176">
      <c r="A176" t="inlineStr">
        <is>
          <t>'461721</t>
        </is>
      </c>
      <c r="B176" t="inlineStr">
        <is>
          <t>SF5119115817327</t>
        </is>
      </c>
    </row>
    <row r="177">
      <c r="A177" t="inlineStr">
        <is>
          <t>'461738</t>
        </is>
      </c>
      <c r="B177" t="inlineStr">
        <is>
          <t>SF5119018988327</t>
        </is>
      </c>
    </row>
    <row r="178">
      <c r="A178" t="inlineStr">
        <is>
          <t>'461744</t>
        </is>
      </c>
      <c r="B178" t="inlineStr">
        <is>
          <t>SF5119115818118</t>
        </is>
      </c>
    </row>
    <row r="179">
      <c r="A179" t="inlineStr">
        <is>
          <t>'461747</t>
        </is>
      </c>
      <c r="B179" t="inlineStr">
        <is>
          <t>SF5116616188876</t>
        </is>
      </c>
    </row>
    <row r="180">
      <c r="A180" t="inlineStr">
        <is>
          <t>'461749</t>
        </is>
      </c>
      <c r="B180" t="inlineStr">
        <is>
          <t>SF5116616187711</t>
        </is>
      </c>
    </row>
    <row r="181">
      <c r="A181" t="inlineStr">
        <is>
          <t>'461815</t>
        </is>
      </c>
      <c r="B181" t="inlineStr">
        <is>
          <t>SF5116616690988</t>
        </is>
      </c>
    </row>
    <row r="182">
      <c r="A182" t="inlineStr">
        <is>
          <t>'461844</t>
        </is>
      </c>
      <c r="B182" t="inlineStr">
        <is>
          <t>SF5116616188637, SF5119115817981</t>
        </is>
      </c>
    </row>
    <row r="183">
      <c r="A183" t="inlineStr">
        <is>
          <t>'461846</t>
        </is>
      </c>
      <c r="B183" t="inlineStr">
        <is>
          <t>SF5116616188018</t>
        </is>
      </c>
    </row>
    <row r="184">
      <c r="A184" t="inlineStr">
        <is>
          <t>'461903</t>
        </is>
      </c>
      <c r="B184" t="inlineStr">
        <is>
          <t>SF5113427648719</t>
        </is>
      </c>
    </row>
    <row r="185">
      <c r="A185" t="inlineStr">
        <is>
          <t>'461918</t>
        </is>
      </c>
      <c r="B185" t="inlineStr">
        <is>
          <t>SF5116616532901</t>
        </is>
      </c>
    </row>
    <row r="186">
      <c r="A186" t="inlineStr">
        <is>
          <t>'461928</t>
        </is>
      </c>
      <c r="B186" t="inlineStr">
        <is>
          <t>SF5113427654477</t>
        </is>
      </c>
    </row>
    <row r="187">
      <c r="A187" t="inlineStr">
        <is>
          <t>'461961</t>
        </is>
      </c>
      <c r="B187" t="inlineStr">
        <is>
          <t>SF5116616188803</t>
        </is>
      </c>
    </row>
    <row r="188">
      <c r="A188" t="inlineStr">
        <is>
          <t>'461983</t>
        </is>
      </c>
      <c r="B188" t="inlineStr">
        <is>
          <t>SF5119018988196, SF5119115817705</t>
        </is>
      </c>
    </row>
    <row r="189">
      <c r="A189" t="inlineStr">
        <is>
          <t>'462066</t>
        </is>
      </c>
      <c r="B189" t="inlineStr">
        <is>
          <t>SF5119018987438</t>
        </is>
      </c>
    </row>
    <row r="190">
      <c r="A190" t="inlineStr">
        <is>
          <t>'462067</t>
        </is>
      </c>
      <c r="B190" t="inlineStr">
        <is>
          <t>SF5119018987396</t>
        </is>
      </c>
    </row>
    <row r="191">
      <c r="A191" t="inlineStr">
        <is>
          <t>'462068</t>
        </is>
      </c>
      <c r="B191" t="inlineStr">
        <is>
          <t>SF5113427648755, SF5119115817080</t>
        </is>
      </c>
    </row>
    <row r="192">
      <c r="A192" t="inlineStr">
        <is>
          <t>'462094</t>
        </is>
      </c>
      <c r="B192" t="inlineStr">
        <is>
          <t>SF5113427648067</t>
        </is>
      </c>
    </row>
    <row r="193">
      <c r="A193" t="inlineStr">
        <is>
          <t>'462095</t>
        </is>
      </c>
      <c r="B193" t="inlineStr">
        <is>
          <t>SF5113427654413</t>
        </is>
      </c>
    </row>
    <row r="194">
      <c r="A194" t="inlineStr">
        <is>
          <t>'462112</t>
        </is>
      </c>
      <c r="B194" t="inlineStr">
        <is>
          <t>SF5113427654113</t>
        </is>
      </c>
    </row>
    <row r="195">
      <c r="A195" t="inlineStr">
        <is>
          <t>'462135</t>
        </is>
      </c>
      <c r="B195" t="inlineStr">
        <is>
          <t>SF5119115816977</t>
        </is>
      </c>
    </row>
    <row r="196">
      <c r="A196" t="inlineStr">
        <is>
          <t>'462157</t>
        </is>
      </c>
      <c r="B196" t="inlineStr">
        <is>
          <t>SF5116616188928</t>
        </is>
      </c>
    </row>
    <row r="197">
      <c r="A197" t="inlineStr">
        <is>
          <t>'462158</t>
        </is>
      </c>
      <c r="B197" t="inlineStr">
        <is>
          <t>SF5116616189614</t>
        </is>
      </c>
    </row>
    <row r="198">
      <c r="A198" t="inlineStr">
        <is>
          <t>'462212</t>
        </is>
      </c>
      <c r="B198" t="inlineStr">
        <is>
          <t>SF5113427653977</t>
        </is>
      </c>
    </row>
    <row r="199">
      <c r="A199" t="inlineStr">
        <is>
          <t>'462214</t>
        </is>
      </c>
      <c r="B199" t="inlineStr">
        <is>
          <t>SF5113427654052</t>
        </is>
      </c>
    </row>
    <row r="200">
      <c r="A200" t="inlineStr">
        <is>
          <t>'462217</t>
        </is>
      </c>
      <c r="B200" t="inlineStr">
        <is>
          <t>SF5116616188355</t>
        </is>
      </c>
    </row>
    <row r="201">
      <c r="A201" t="inlineStr">
        <is>
          <t>'462224</t>
        </is>
      </c>
      <c r="B201" t="inlineStr">
        <is>
          <t>SF5116616691286</t>
        </is>
      </c>
    </row>
    <row r="202">
      <c r="A202" t="inlineStr">
        <is>
          <t>'462228</t>
        </is>
      </c>
      <c r="B202" t="inlineStr">
        <is>
          <t>SF5116616188946</t>
        </is>
      </c>
    </row>
    <row r="203">
      <c r="A203" t="inlineStr">
        <is>
          <t>'462989</t>
        </is>
      </c>
      <c r="B203" t="inlineStr">
        <is>
          <t>SF5119018987844</t>
        </is>
      </c>
    </row>
    <row r="204">
      <c r="A204" t="inlineStr">
        <is>
          <t>'463043</t>
        </is>
      </c>
      <c r="B204" t="inlineStr">
        <is>
          <t>SF5116616188894</t>
        </is>
      </c>
    </row>
    <row r="205">
      <c r="A205" t="inlineStr">
        <is>
          <t>'463072</t>
        </is>
      </c>
      <c r="B205" t="inlineStr">
        <is>
          <t>SF5113427653986</t>
        </is>
      </c>
    </row>
    <row r="206">
      <c r="A206" t="inlineStr">
        <is>
          <t>'463442</t>
        </is>
      </c>
      <c r="B206" t="inlineStr">
        <is>
          <t>SF5119018987950</t>
        </is>
      </c>
    </row>
    <row r="207">
      <c r="A207" t="inlineStr">
        <is>
          <t>'463458</t>
        </is>
      </c>
      <c r="B207" t="inlineStr">
        <is>
          <t>SF5119018987599</t>
        </is>
      </c>
    </row>
    <row r="208">
      <c r="A208" t="inlineStr">
        <is>
          <t>'463602</t>
        </is>
      </c>
      <c r="B208" t="inlineStr">
        <is>
          <t>SF5113427653782</t>
        </is>
      </c>
    </row>
    <row r="209">
      <c r="A209" t="inlineStr">
        <is>
          <t>'464062</t>
        </is>
      </c>
      <c r="B209" t="inlineStr">
        <is>
          <t>SF5119018987914</t>
        </is>
      </c>
    </row>
    <row r="210">
      <c r="A210" t="inlineStr">
        <is>
          <t>'464316</t>
        </is>
      </c>
      <c r="B210" t="inlineStr">
        <is>
          <t>SF5113427654459</t>
        </is>
      </c>
    </row>
    <row r="211">
      <c r="A211" t="inlineStr">
        <is>
          <t>'464783</t>
        </is>
      </c>
      <c r="B211" t="inlineStr">
        <is>
          <t>SF5116616531712</t>
        </is>
      </c>
    </row>
    <row r="212">
      <c r="A212" t="inlineStr">
        <is>
          <t>'464805</t>
        </is>
      </c>
      <c r="B212" t="inlineStr">
        <is>
          <t>SF5119115817372</t>
        </is>
      </c>
    </row>
    <row r="213">
      <c r="A213" t="inlineStr">
        <is>
          <t>'464838</t>
        </is>
      </c>
      <c r="B213" t="inlineStr">
        <is>
          <t>SF5113427647655</t>
        </is>
      </c>
    </row>
    <row r="214">
      <c r="A214" t="inlineStr">
        <is>
          <t>'464853</t>
        </is>
      </c>
      <c r="B214" t="inlineStr">
        <is>
          <t>SF5116616533005</t>
        </is>
      </c>
    </row>
    <row r="215">
      <c r="A215" t="inlineStr">
        <is>
          <t>'464856</t>
        </is>
      </c>
      <c r="B215" t="inlineStr">
        <is>
          <t>SF5116616188488</t>
        </is>
      </c>
    </row>
    <row r="216">
      <c r="A216" t="inlineStr">
        <is>
          <t>'464871</t>
        </is>
      </c>
      <c r="B216" t="inlineStr">
        <is>
          <t>SF5113427649220, SF5119115818066</t>
        </is>
      </c>
    </row>
    <row r="217">
      <c r="A217" t="inlineStr">
        <is>
          <t>'464912</t>
        </is>
      </c>
      <c r="B217" t="inlineStr">
        <is>
          <t>SF5119115816085</t>
        </is>
      </c>
    </row>
    <row r="218">
      <c r="A218" t="inlineStr">
        <is>
          <t>'465022</t>
        </is>
      </c>
      <c r="B218" t="inlineStr">
        <is>
          <t>SF5116616691259</t>
        </is>
      </c>
    </row>
    <row r="219">
      <c r="A219" t="inlineStr">
        <is>
          <t>'465049</t>
        </is>
      </c>
      <c r="B219" t="inlineStr">
        <is>
          <t>SF5119115817848</t>
        </is>
      </c>
    </row>
    <row r="220">
      <c r="A220" t="inlineStr">
        <is>
          <t>'465079</t>
        </is>
      </c>
      <c r="B220" t="inlineStr">
        <is>
          <t>SF5116616189004</t>
        </is>
      </c>
    </row>
    <row r="221">
      <c r="A221" t="inlineStr">
        <is>
          <t>'465094</t>
        </is>
      </c>
      <c r="B221" t="inlineStr">
        <is>
          <t>SF5113427649196</t>
        </is>
      </c>
    </row>
    <row r="222">
      <c r="A222" t="inlineStr">
        <is>
          <t>'465110</t>
        </is>
      </c>
      <c r="B222" t="inlineStr">
        <is>
          <t>SF5113427654177, SF5119018988732</t>
        </is>
      </c>
    </row>
    <row r="223">
      <c r="A223" t="inlineStr">
        <is>
          <t>'465215</t>
        </is>
      </c>
      <c r="B223" t="inlineStr">
        <is>
          <t>SF5119018988654</t>
        </is>
      </c>
    </row>
    <row r="224">
      <c r="A224" t="inlineStr">
        <is>
          <t>'465331</t>
        </is>
      </c>
      <c r="B224" t="inlineStr">
        <is>
          <t>SF5113427648428</t>
        </is>
      </c>
    </row>
    <row r="225">
      <c r="A225" t="inlineStr">
        <is>
          <t>'465334</t>
        </is>
      </c>
      <c r="B225" t="inlineStr">
        <is>
          <t>SF5113427648507</t>
        </is>
      </c>
    </row>
    <row r="226">
      <c r="A226" t="inlineStr">
        <is>
          <t>'465351</t>
        </is>
      </c>
      <c r="B226" t="inlineStr">
        <is>
          <t>SF5113427653331</t>
        </is>
      </c>
    </row>
    <row r="227">
      <c r="A227" t="inlineStr">
        <is>
          <t>'465352</t>
        </is>
      </c>
      <c r="B227" t="inlineStr">
        <is>
          <t>SF5119115815751</t>
        </is>
      </c>
    </row>
    <row r="228">
      <c r="A228" t="inlineStr">
        <is>
          <t>'465353</t>
        </is>
      </c>
      <c r="B228" t="inlineStr">
        <is>
          <t>SF5119115817432</t>
        </is>
      </c>
    </row>
    <row r="229">
      <c r="A229" t="inlineStr">
        <is>
          <t>'465409</t>
        </is>
      </c>
      <c r="B229" t="inlineStr">
        <is>
          <t>SF5119018988062</t>
        </is>
      </c>
    </row>
    <row r="230">
      <c r="A230" t="inlineStr">
        <is>
          <t>'465441</t>
        </is>
      </c>
      <c r="B230" t="inlineStr">
        <is>
          <t>SF5119115816613</t>
        </is>
      </c>
    </row>
    <row r="231">
      <c r="A231" t="inlineStr">
        <is>
          <t>'465488</t>
        </is>
      </c>
      <c r="B231" t="inlineStr">
        <is>
          <t>SF5113427653243</t>
        </is>
      </c>
    </row>
    <row r="232">
      <c r="A232" t="inlineStr">
        <is>
          <t>'465489</t>
        </is>
      </c>
      <c r="B232" t="inlineStr">
        <is>
          <t>SF5113427653146</t>
        </is>
      </c>
    </row>
    <row r="233">
      <c r="A233" t="inlineStr">
        <is>
          <t>'466364</t>
        </is>
      </c>
      <c r="B233" t="inlineStr">
        <is>
          <t>SF5116616533493</t>
        </is>
      </c>
    </row>
    <row r="234">
      <c r="A234" t="inlineStr">
        <is>
          <t>'466761</t>
        </is>
      </c>
      <c r="B234" t="inlineStr">
        <is>
          <t>SF5119115816395</t>
        </is>
      </c>
    </row>
    <row r="235">
      <c r="A235" t="inlineStr">
        <is>
          <t>'467136</t>
        </is>
      </c>
      <c r="B235" t="inlineStr">
        <is>
          <t>SF5113427648100</t>
        </is>
      </c>
    </row>
    <row r="236">
      <c r="A236" t="inlineStr">
        <is>
          <t>'467391</t>
        </is>
      </c>
      <c r="B236" t="inlineStr">
        <is>
          <t>SF5113427653003</t>
        </is>
      </c>
    </row>
    <row r="237">
      <c r="A237" t="inlineStr">
        <is>
          <t>'467586</t>
        </is>
      </c>
      <c r="B237" t="inlineStr">
        <is>
          <t>SF5116616189605</t>
        </is>
      </c>
    </row>
    <row r="238">
      <c r="A238" t="inlineStr">
        <is>
          <t>'467626</t>
        </is>
      </c>
      <c r="B238" t="inlineStr">
        <is>
          <t>SF5113427648561, SF5116616189299</t>
        </is>
      </c>
    </row>
    <row r="239">
      <c r="A239" t="inlineStr">
        <is>
          <t>'468045</t>
        </is>
      </c>
      <c r="B239" t="inlineStr">
        <is>
          <t>SF5116616188285</t>
        </is>
      </c>
    </row>
    <row r="240">
      <c r="A240" t="inlineStr">
        <is>
          <t>'468087</t>
        </is>
      </c>
      <c r="B240" t="inlineStr">
        <is>
          <t>SF5116616187739</t>
        </is>
      </c>
    </row>
    <row r="241">
      <c r="A241" t="inlineStr">
        <is>
          <t>'468136</t>
        </is>
      </c>
      <c r="B241" t="inlineStr">
        <is>
          <t>SF5113427648728</t>
        </is>
      </c>
    </row>
    <row r="242">
      <c r="A242" t="inlineStr">
        <is>
          <t>'468229</t>
        </is>
      </c>
      <c r="B242" t="inlineStr">
        <is>
          <t>SF5113427648825</t>
        </is>
      </c>
    </row>
    <row r="243">
      <c r="A243" t="inlineStr">
        <is>
          <t>'468238</t>
        </is>
      </c>
      <c r="B243" t="inlineStr">
        <is>
          <t>SF5116616188415</t>
        </is>
      </c>
    </row>
    <row r="244">
      <c r="A244" t="inlineStr">
        <is>
          <t>'468273</t>
        </is>
      </c>
      <c r="B244" t="inlineStr">
        <is>
          <t>SF5113427653155</t>
        </is>
      </c>
    </row>
    <row r="245">
      <c r="A245" t="inlineStr">
        <is>
          <t>'468278</t>
        </is>
      </c>
      <c r="B245" t="inlineStr">
        <is>
          <t>SF5116616533360</t>
        </is>
      </c>
    </row>
    <row r="246">
      <c r="A246" t="inlineStr">
        <is>
          <t>'468288</t>
        </is>
      </c>
      <c r="B246" t="inlineStr">
        <is>
          <t>SF5119115816889</t>
        </is>
      </c>
    </row>
    <row r="247">
      <c r="A247" t="inlineStr">
        <is>
          <t>'468377</t>
        </is>
      </c>
      <c r="B247" t="inlineStr">
        <is>
          <t>SF5116616187809</t>
        </is>
      </c>
    </row>
    <row r="248">
      <c r="A248" t="inlineStr">
        <is>
          <t>'468413</t>
        </is>
      </c>
      <c r="B248" t="inlineStr">
        <is>
          <t>SF5113427648816</t>
        </is>
      </c>
    </row>
    <row r="249">
      <c r="A249" t="inlineStr">
        <is>
          <t>'468415</t>
        </is>
      </c>
      <c r="B249" t="inlineStr">
        <is>
          <t>SF5119018988690</t>
        </is>
      </c>
    </row>
    <row r="250">
      <c r="A250" t="inlineStr">
        <is>
          <t>'468475</t>
        </is>
      </c>
      <c r="B250" t="inlineStr">
        <is>
          <t>SF5119018987544, SF5119115817441</t>
        </is>
      </c>
    </row>
    <row r="251">
      <c r="A251" t="inlineStr">
        <is>
          <t>'468479</t>
        </is>
      </c>
      <c r="B251" t="inlineStr">
        <is>
          <t>SF5116616531855</t>
        </is>
      </c>
    </row>
    <row r="252">
      <c r="A252" t="inlineStr">
        <is>
          <t>'468524</t>
        </is>
      </c>
      <c r="B252" t="inlineStr">
        <is>
          <t>SF5119115816261</t>
        </is>
      </c>
    </row>
    <row r="253">
      <c r="A253" t="inlineStr">
        <is>
          <t>'468526</t>
        </is>
      </c>
      <c r="B253" t="inlineStr">
        <is>
          <t>SF5116616532425</t>
        </is>
      </c>
    </row>
    <row r="254">
      <c r="A254" t="inlineStr">
        <is>
          <t>'468569</t>
        </is>
      </c>
      <c r="B254" t="inlineStr">
        <is>
          <t>SF5113427647488</t>
        </is>
      </c>
    </row>
    <row r="255">
      <c r="A255" t="inlineStr">
        <is>
          <t>'468620</t>
        </is>
      </c>
      <c r="B255" t="inlineStr">
        <is>
          <t>SF5116616533254</t>
        </is>
      </c>
    </row>
    <row r="256">
      <c r="A256" t="inlineStr">
        <is>
          <t>'468622</t>
        </is>
      </c>
      <c r="B256" t="inlineStr">
        <is>
          <t>SF5116616533379</t>
        </is>
      </c>
    </row>
    <row r="257">
      <c r="A257" t="inlineStr">
        <is>
          <t>'468652</t>
        </is>
      </c>
      <c r="B257" t="inlineStr">
        <is>
          <t>SF5119018988257</t>
        </is>
      </c>
    </row>
    <row r="258">
      <c r="A258" t="inlineStr">
        <is>
          <t>'468687</t>
        </is>
      </c>
      <c r="B258" t="inlineStr">
        <is>
          <t>SF5113427647382</t>
        </is>
      </c>
    </row>
    <row r="259">
      <c r="A259" t="inlineStr">
        <is>
          <t>'468944</t>
        </is>
      </c>
      <c r="B259" t="inlineStr">
        <is>
          <t>SF5113427648746, SF5119115816870</t>
        </is>
      </c>
    </row>
    <row r="260">
      <c r="A260" t="inlineStr">
        <is>
          <t>'469762</t>
        </is>
      </c>
      <c r="B260" t="inlineStr">
        <is>
          <t>SF5116616532513</t>
        </is>
      </c>
    </row>
    <row r="261">
      <c r="A261" t="inlineStr">
        <is>
          <t>'469776</t>
        </is>
      </c>
      <c r="B261" t="inlineStr">
        <is>
          <t>SF5119115816146</t>
        </is>
      </c>
    </row>
    <row r="262">
      <c r="A262" t="inlineStr">
        <is>
          <t>'469818</t>
        </is>
      </c>
      <c r="B262" t="inlineStr">
        <is>
          <t>SF5113427653589</t>
        </is>
      </c>
    </row>
    <row r="263">
      <c r="A263" t="inlineStr">
        <is>
          <t>'469857</t>
        </is>
      </c>
      <c r="B263" t="inlineStr">
        <is>
          <t>SF5113427647991</t>
        </is>
      </c>
    </row>
    <row r="264">
      <c r="A264" t="inlineStr">
        <is>
          <t>'470818</t>
        </is>
      </c>
      <c r="B264" t="inlineStr">
        <is>
          <t>SF5119115816552</t>
        </is>
      </c>
    </row>
    <row r="265">
      <c r="A265" t="inlineStr">
        <is>
          <t>'471320</t>
        </is>
      </c>
      <c r="B265" t="inlineStr">
        <is>
          <t>SF5116616532804</t>
        </is>
      </c>
    </row>
    <row r="266">
      <c r="A266" t="inlineStr">
        <is>
          <t>'471376</t>
        </is>
      </c>
      <c r="B266" t="inlineStr">
        <is>
          <t>SF5113427648773</t>
        </is>
      </c>
    </row>
    <row r="267">
      <c r="A267" t="inlineStr">
        <is>
          <t>'471494</t>
        </is>
      </c>
      <c r="B267" t="inlineStr">
        <is>
          <t>SF5113427648613</t>
        </is>
      </c>
    </row>
    <row r="268">
      <c r="A268" t="inlineStr">
        <is>
          <t>'471513</t>
        </is>
      </c>
      <c r="B268" t="inlineStr">
        <is>
          <t>SF5113427647664</t>
        </is>
      </c>
    </row>
    <row r="269">
      <c r="A269" t="inlineStr">
        <is>
          <t>'471544</t>
        </is>
      </c>
      <c r="B269" t="inlineStr">
        <is>
          <t>SF5113427654229</t>
        </is>
      </c>
    </row>
    <row r="270">
      <c r="A270" t="inlineStr">
        <is>
          <t>'471639</t>
        </is>
      </c>
      <c r="B270" t="inlineStr">
        <is>
          <t>SF5113427653791</t>
        </is>
      </c>
    </row>
    <row r="271">
      <c r="A271" t="inlineStr">
        <is>
          <t>'471692</t>
        </is>
      </c>
      <c r="B271" t="inlineStr">
        <is>
          <t>SF5116616188479</t>
        </is>
      </c>
    </row>
    <row r="272">
      <c r="A272" t="inlineStr">
        <is>
          <t>'471739</t>
        </is>
      </c>
      <c r="B272" t="inlineStr">
        <is>
          <t>SF5116616188503</t>
        </is>
      </c>
    </row>
    <row r="273">
      <c r="A273" t="inlineStr">
        <is>
          <t>'471760</t>
        </is>
      </c>
      <c r="B273" t="inlineStr">
        <is>
          <t>SF5113427654274</t>
        </is>
      </c>
    </row>
    <row r="274">
      <c r="A274" t="inlineStr">
        <is>
          <t>'471761</t>
        </is>
      </c>
      <c r="B274" t="inlineStr">
        <is>
          <t>SF5119115817196</t>
        </is>
      </c>
    </row>
    <row r="275">
      <c r="A275" t="inlineStr">
        <is>
          <t>'471764</t>
        </is>
      </c>
      <c r="B275" t="inlineStr">
        <is>
          <t>SF5116616189456, SF5119018988008</t>
        </is>
      </c>
    </row>
    <row r="276">
      <c r="A276" t="inlineStr">
        <is>
          <t>'471770</t>
        </is>
      </c>
      <c r="B276" t="inlineStr">
        <is>
          <t>SF5116616532531</t>
        </is>
      </c>
    </row>
    <row r="277">
      <c r="A277" t="inlineStr">
        <is>
          <t>'471786</t>
        </is>
      </c>
      <c r="B277" t="inlineStr">
        <is>
          <t>SF5113427649169</t>
        </is>
      </c>
    </row>
    <row r="278">
      <c r="A278" t="inlineStr">
        <is>
          <t>'471795</t>
        </is>
      </c>
      <c r="B278" t="inlineStr">
        <is>
          <t>SF5119018987701</t>
        </is>
      </c>
    </row>
    <row r="279">
      <c r="A279" t="inlineStr">
        <is>
          <t>'471798</t>
        </is>
      </c>
      <c r="B279" t="inlineStr">
        <is>
          <t>SF5119115817609</t>
        </is>
      </c>
    </row>
    <row r="280">
      <c r="A280" t="inlineStr">
        <is>
          <t>'471830</t>
        </is>
      </c>
      <c r="B280" t="inlineStr">
        <is>
          <t>SF5113427654210</t>
        </is>
      </c>
    </row>
    <row r="281">
      <c r="A281" t="inlineStr">
        <is>
          <t>'471844</t>
        </is>
      </c>
      <c r="B281" t="inlineStr">
        <is>
          <t>SF5119018987669, SF5119115817178</t>
        </is>
      </c>
    </row>
    <row r="282">
      <c r="A282" t="inlineStr">
        <is>
          <t>'471861</t>
        </is>
      </c>
      <c r="B282" t="inlineStr">
        <is>
          <t>SF5113427653289</t>
        </is>
      </c>
    </row>
    <row r="283">
      <c r="A283" t="inlineStr">
        <is>
          <t>'471863</t>
        </is>
      </c>
      <c r="B283" t="inlineStr">
        <is>
          <t>SF5113427649099</t>
        </is>
      </c>
    </row>
    <row r="284">
      <c r="A284" t="inlineStr">
        <is>
          <t>'471895</t>
        </is>
      </c>
      <c r="B284" t="inlineStr">
        <is>
          <t>SF5116616532064</t>
        </is>
      </c>
    </row>
    <row r="285">
      <c r="A285" t="inlineStr">
        <is>
          <t>'471908</t>
        </is>
      </c>
      <c r="B285" t="inlineStr">
        <is>
          <t>SF5113427648604</t>
        </is>
      </c>
    </row>
    <row r="286">
      <c r="A286" t="inlineStr">
        <is>
          <t>'472019</t>
        </is>
      </c>
      <c r="B286" t="inlineStr">
        <is>
          <t>SF5119018988802</t>
        </is>
      </c>
    </row>
    <row r="287">
      <c r="A287" t="inlineStr">
        <is>
          <t>'472027</t>
        </is>
      </c>
      <c r="B287" t="inlineStr">
        <is>
          <t>SF5116616532789</t>
        </is>
      </c>
    </row>
    <row r="288">
      <c r="A288" t="inlineStr">
        <is>
          <t>'472038</t>
        </is>
      </c>
      <c r="B288" t="inlineStr">
        <is>
          <t>SF5116616188600</t>
        </is>
      </c>
    </row>
    <row r="289">
      <c r="A289" t="inlineStr">
        <is>
          <t>'472046</t>
        </is>
      </c>
      <c r="B289" t="inlineStr">
        <is>
          <t>SF5119018987410</t>
        </is>
      </c>
    </row>
    <row r="290">
      <c r="A290" t="inlineStr">
        <is>
          <t>'472047</t>
        </is>
      </c>
      <c r="B290" t="inlineStr">
        <is>
          <t>SF5113427649123</t>
        </is>
      </c>
    </row>
    <row r="291">
      <c r="A291" t="inlineStr">
        <is>
          <t>'472048</t>
        </is>
      </c>
      <c r="B291" t="inlineStr">
        <is>
          <t>SF5119115817990</t>
        </is>
      </c>
    </row>
    <row r="292">
      <c r="A292" t="inlineStr">
        <is>
          <t>'472076</t>
        </is>
      </c>
      <c r="B292" t="inlineStr">
        <is>
          <t>SF5113427653995</t>
        </is>
      </c>
    </row>
    <row r="293">
      <c r="A293" t="inlineStr">
        <is>
          <t>'472081</t>
        </is>
      </c>
      <c r="B293" t="inlineStr">
        <is>
          <t>SF5119018987987</t>
        </is>
      </c>
    </row>
    <row r="294">
      <c r="A294" t="inlineStr">
        <is>
          <t>'472838</t>
        </is>
      </c>
      <c r="B294" t="inlineStr">
        <is>
          <t>SF5116616189341</t>
        </is>
      </c>
    </row>
    <row r="295">
      <c r="A295" t="inlineStr">
        <is>
          <t>'472859</t>
        </is>
      </c>
      <c r="B295" t="inlineStr">
        <is>
          <t>SF5113427647600</t>
        </is>
      </c>
    </row>
    <row r="296">
      <c r="A296" t="inlineStr">
        <is>
          <t>'472966</t>
        </is>
      </c>
      <c r="B296" t="inlineStr">
        <is>
          <t>SF5116616188646</t>
        </is>
      </c>
    </row>
    <row r="297">
      <c r="A297" t="inlineStr">
        <is>
          <t>'473388</t>
        </is>
      </c>
      <c r="B297" t="inlineStr">
        <is>
          <t>SF5116616533651</t>
        </is>
      </c>
    </row>
    <row r="298">
      <c r="A298" t="inlineStr">
        <is>
          <t>'474026</t>
        </is>
      </c>
      <c r="B298" t="inlineStr">
        <is>
          <t>SF5116616189013</t>
        </is>
      </c>
    </row>
    <row r="299">
      <c r="A299" t="inlineStr">
        <is>
          <t>'474055</t>
        </is>
      </c>
      <c r="B299" t="inlineStr">
        <is>
          <t>SF5116616691143</t>
        </is>
      </c>
    </row>
    <row r="300">
      <c r="A300" t="inlineStr">
        <is>
          <t>'474092</t>
        </is>
      </c>
      <c r="B300" t="inlineStr">
        <is>
          <t>SF5113427647391</t>
        </is>
      </c>
    </row>
    <row r="301">
      <c r="A301" t="inlineStr">
        <is>
          <t>'474107</t>
        </is>
      </c>
      <c r="B301" t="inlineStr">
        <is>
          <t>SF5116616189571</t>
        </is>
      </c>
    </row>
    <row r="302">
      <c r="A302" t="inlineStr">
        <is>
          <t>'474149</t>
        </is>
      </c>
      <c r="B302" t="inlineStr">
        <is>
          <t>SF5113427647558</t>
        </is>
      </c>
    </row>
    <row r="303">
      <c r="A303" t="inlineStr">
        <is>
          <t>'474191</t>
        </is>
      </c>
      <c r="B303" t="inlineStr">
        <is>
          <t>SF5116616532000</t>
        </is>
      </c>
    </row>
    <row r="304">
      <c r="A304" t="inlineStr">
        <is>
          <t>'474683</t>
        </is>
      </c>
      <c r="B304" t="inlineStr">
        <is>
          <t>SF5113427648700</t>
        </is>
      </c>
    </row>
    <row r="305">
      <c r="A305" t="inlineStr">
        <is>
          <t>'474707</t>
        </is>
      </c>
      <c r="B305" t="inlineStr">
        <is>
          <t>SF5119115816764</t>
        </is>
      </c>
    </row>
    <row r="306">
      <c r="A306" t="inlineStr">
        <is>
          <t>'474739</t>
        </is>
      </c>
      <c r="B306" t="inlineStr">
        <is>
          <t>SF5116616188919</t>
        </is>
      </c>
    </row>
    <row r="307">
      <c r="A307" t="inlineStr">
        <is>
          <t>'474740</t>
        </is>
      </c>
      <c r="B307" t="inlineStr">
        <is>
          <t>SF5116616188497</t>
        </is>
      </c>
    </row>
    <row r="308">
      <c r="A308" t="inlineStr">
        <is>
          <t>'474806</t>
        </is>
      </c>
      <c r="B308" t="inlineStr">
        <is>
          <t>SF5113427647867</t>
        </is>
      </c>
    </row>
    <row r="309">
      <c r="A309" t="inlineStr">
        <is>
          <t>'474928</t>
        </is>
      </c>
      <c r="B309" t="inlineStr">
        <is>
          <t>SF5119018988750</t>
        </is>
      </c>
    </row>
    <row r="310">
      <c r="A310" t="inlineStr">
        <is>
          <t>'474936</t>
        </is>
      </c>
      <c r="B310" t="inlineStr">
        <is>
          <t>SF5119018987526</t>
        </is>
      </c>
    </row>
    <row r="311">
      <c r="A311" t="inlineStr">
        <is>
          <t>'474988</t>
        </is>
      </c>
      <c r="B311" t="inlineStr">
        <is>
          <t>SF5116616188179</t>
        </is>
      </c>
    </row>
    <row r="312">
      <c r="A312" t="inlineStr">
        <is>
          <t>'475029</t>
        </is>
      </c>
      <c r="B312" t="inlineStr">
        <is>
          <t>SF5119018987905</t>
        </is>
      </c>
    </row>
    <row r="313">
      <c r="A313" t="inlineStr">
        <is>
          <t>'475055</t>
        </is>
      </c>
      <c r="B313" t="inlineStr">
        <is>
          <t>SF5119115817141</t>
        </is>
      </c>
    </row>
    <row r="314">
      <c r="A314" t="inlineStr">
        <is>
          <t>'475056</t>
        </is>
      </c>
      <c r="B314" t="inlineStr">
        <is>
          <t>SF5119018988169, SF5119115817099</t>
        </is>
      </c>
    </row>
    <row r="315">
      <c r="A315" t="inlineStr">
        <is>
          <t>'475088</t>
        </is>
      </c>
      <c r="B315" t="inlineStr">
        <is>
          <t>SF5119018987614</t>
        </is>
      </c>
    </row>
    <row r="316">
      <c r="A316" t="inlineStr">
        <is>
          <t>'475091</t>
        </is>
      </c>
      <c r="B316" t="inlineStr">
        <is>
          <t>SF5113427647803</t>
        </is>
      </c>
    </row>
    <row r="317">
      <c r="A317" t="inlineStr">
        <is>
          <t>'475118</t>
        </is>
      </c>
      <c r="B317" t="inlineStr">
        <is>
          <t>SF5116616532522</t>
        </is>
      </c>
    </row>
    <row r="318">
      <c r="A318" t="inlineStr">
        <is>
          <t>'475151</t>
        </is>
      </c>
      <c r="B318" t="inlineStr">
        <is>
          <t>SF5119115817044</t>
        </is>
      </c>
    </row>
    <row r="319">
      <c r="A319" t="inlineStr">
        <is>
          <t>'475182</t>
        </is>
      </c>
      <c r="B319" t="inlineStr">
        <is>
          <t>SF5113427653395</t>
        </is>
      </c>
    </row>
    <row r="320">
      <c r="A320" t="inlineStr">
        <is>
          <t>'475183</t>
        </is>
      </c>
      <c r="B320" t="inlineStr">
        <is>
          <t>SF5113427647715</t>
        </is>
      </c>
    </row>
    <row r="321">
      <c r="A321" t="inlineStr">
        <is>
          <t>'475184</t>
        </is>
      </c>
      <c r="B321" t="inlineStr">
        <is>
          <t>SF5119115816359</t>
        </is>
      </c>
    </row>
    <row r="322">
      <c r="A322" t="inlineStr">
        <is>
          <t>'475196</t>
        </is>
      </c>
      <c r="B322" t="inlineStr">
        <is>
          <t>SF5116616189350</t>
        </is>
      </c>
    </row>
    <row r="323">
      <c r="A323" t="inlineStr">
        <is>
          <t>'475213</t>
        </is>
      </c>
      <c r="B323" t="inlineStr">
        <is>
          <t>SF5113427647576</t>
        </is>
      </c>
    </row>
    <row r="324">
      <c r="A324" t="inlineStr">
        <is>
          <t>'475253</t>
        </is>
      </c>
      <c r="B324" t="inlineStr">
        <is>
          <t>SF5119018987687</t>
        </is>
      </c>
    </row>
    <row r="325">
      <c r="A325" t="inlineStr">
        <is>
          <t>'475272</t>
        </is>
      </c>
      <c r="B325" t="inlineStr">
        <is>
          <t>SF5119018987710, SF5119115817169</t>
        </is>
      </c>
    </row>
    <row r="326">
      <c r="A326" t="inlineStr">
        <is>
          <t>'475276</t>
        </is>
      </c>
      <c r="B326" t="inlineStr">
        <is>
          <t>SF5116616189271</t>
        </is>
      </c>
    </row>
    <row r="327">
      <c r="A327" t="inlineStr">
        <is>
          <t>'475343</t>
        </is>
      </c>
      <c r="B327" t="inlineStr">
        <is>
          <t>SF5119115816243</t>
        </is>
      </c>
    </row>
    <row r="328">
      <c r="A328" t="inlineStr">
        <is>
          <t>'475373</t>
        </is>
      </c>
      <c r="B328" t="inlineStr">
        <is>
          <t>SF5116616531934</t>
        </is>
      </c>
    </row>
    <row r="329">
      <c r="A329" t="inlineStr">
        <is>
          <t>'476466</t>
        </is>
      </c>
      <c r="B329" t="inlineStr">
        <is>
          <t>SF5119115817627</t>
        </is>
      </c>
    </row>
    <row r="330">
      <c r="A330" t="inlineStr">
        <is>
          <t>'476496</t>
        </is>
      </c>
      <c r="B330" t="inlineStr">
        <is>
          <t>SF5113427654440</t>
        </is>
      </c>
    </row>
    <row r="331">
      <c r="A331" t="inlineStr">
        <is>
          <t>'477024</t>
        </is>
      </c>
      <c r="B331" t="inlineStr">
        <is>
          <t>SF5119115817654</t>
        </is>
      </c>
    </row>
    <row r="332">
      <c r="A332" t="inlineStr">
        <is>
          <t>'477943</t>
        </is>
      </c>
      <c r="B332" t="inlineStr">
        <is>
          <t>SF5116616188619</t>
        </is>
      </c>
    </row>
    <row r="333">
      <c r="A333" t="inlineStr">
        <is>
          <t>'477979</t>
        </is>
      </c>
      <c r="B333" t="inlineStr">
        <is>
          <t>SF5119115817132</t>
        </is>
      </c>
    </row>
    <row r="334">
      <c r="A334" t="inlineStr">
        <is>
          <t>'477980</t>
        </is>
      </c>
      <c r="B334" t="inlineStr">
        <is>
          <t>SF5116616189059</t>
        </is>
      </c>
    </row>
    <row r="335">
      <c r="A335" t="inlineStr">
        <is>
          <t>'478003</t>
        </is>
      </c>
      <c r="B335" t="inlineStr">
        <is>
          <t>SF5113427652990</t>
        </is>
      </c>
    </row>
    <row r="336">
      <c r="A336" t="inlineStr">
        <is>
          <t>'478046</t>
        </is>
      </c>
      <c r="B336" t="inlineStr">
        <is>
          <t>SF5116616532647</t>
        </is>
      </c>
    </row>
    <row r="337">
      <c r="A337" t="inlineStr">
        <is>
          <t>'478054</t>
        </is>
      </c>
      <c r="B337" t="inlineStr">
        <is>
          <t>SF5116616187651</t>
        </is>
      </c>
    </row>
    <row r="338">
      <c r="A338" t="inlineStr">
        <is>
          <t>'478093</t>
        </is>
      </c>
      <c r="B338" t="inlineStr">
        <is>
          <t>SF5116616532028</t>
        </is>
      </c>
    </row>
    <row r="339">
      <c r="A339" t="inlineStr">
        <is>
          <t>'478097</t>
        </is>
      </c>
      <c r="B339" t="inlineStr">
        <is>
          <t>SF5113427653700</t>
        </is>
      </c>
    </row>
    <row r="340">
      <c r="A340" t="inlineStr">
        <is>
          <t>'478114</t>
        </is>
      </c>
      <c r="B340" t="inlineStr">
        <is>
          <t>SF5119018988811</t>
        </is>
      </c>
    </row>
    <row r="341">
      <c r="A341" t="inlineStr">
        <is>
          <t>'478121</t>
        </is>
      </c>
      <c r="B341" t="inlineStr">
        <is>
          <t>SF5113427648852, SF5119115816737</t>
        </is>
      </c>
    </row>
    <row r="342">
      <c r="A342" t="inlineStr">
        <is>
          <t>'478148</t>
        </is>
      </c>
      <c r="B342" t="inlineStr">
        <is>
          <t>SF5116616531846</t>
        </is>
      </c>
    </row>
    <row r="343">
      <c r="A343" t="inlineStr">
        <is>
          <t>'478168</t>
        </is>
      </c>
      <c r="B343" t="inlineStr">
        <is>
          <t>SF5119115817884</t>
        </is>
      </c>
    </row>
    <row r="344">
      <c r="A344" t="inlineStr">
        <is>
          <t>'478182</t>
        </is>
      </c>
      <c r="B344" t="inlineStr">
        <is>
          <t>SF5116616531989</t>
        </is>
      </c>
    </row>
    <row r="345">
      <c r="A345" t="inlineStr">
        <is>
          <t>'478188</t>
        </is>
      </c>
      <c r="B345" t="inlineStr">
        <is>
          <t>SF5116616187933</t>
        </is>
      </c>
    </row>
    <row r="346">
      <c r="A346" t="inlineStr">
        <is>
          <t>'478213</t>
        </is>
      </c>
      <c r="B346" t="inlineStr">
        <is>
          <t>SF5116616189147</t>
        </is>
      </c>
    </row>
    <row r="347">
      <c r="A347" t="inlineStr">
        <is>
          <t>'478243</t>
        </is>
      </c>
      <c r="B347" t="inlineStr">
        <is>
          <t>SF5119115817017</t>
        </is>
      </c>
    </row>
    <row r="348">
      <c r="A348" t="inlineStr">
        <is>
          <t>'478308</t>
        </is>
      </c>
      <c r="B348" t="inlineStr">
        <is>
          <t>SF5116616189280</t>
        </is>
      </c>
    </row>
    <row r="349">
      <c r="A349" t="inlineStr">
        <is>
          <t>'478331</t>
        </is>
      </c>
      <c r="B349" t="inlineStr">
        <is>
          <t>SF5119018987492</t>
        </is>
      </c>
    </row>
    <row r="350">
      <c r="A350" t="inlineStr">
        <is>
          <t>'478372</t>
        </is>
      </c>
      <c r="B350" t="inlineStr">
        <is>
          <t>SF5113427653359</t>
        </is>
      </c>
    </row>
    <row r="351">
      <c r="A351" t="inlineStr">
        <is>
          <t>'478373</t>
        </is>
      </c>
      <c r="B351" t="inlineStr">
        <is>
          <t>SF5113427648395, SF5119115816807</t>
        </is>
      </c>
    </row>
    <row r="352">
      <c r="A352" t="inlineStr">
        <is>
          <t>'478385</t>
        </is>
      </c>
      <c r="B352" t="inlineStr">
        <is>
          <t>SF5116616532840</t>
        </is>
      </c>
    </row>
    <row r="353">
      <c r="A353" t="inlineStr">
        <is>
          <t>'478386</t>
        </is>
      </c>
      <c r="B353" t="inlineStr">
        <is>
          <t>SF5113427648589</t>
        </is>
      </c>
    </row>
    <row r="354">
      <c r="A354" t="inlineStr">
        <is>
          <t>'478407</t>
        </is>
      </c>
      <c r="B354" t="inlineStr">
        <is>
          <t>SF5116616532761</t>
        </is>
      </c>
    </row>
    <row r="355">
      <c r="A355" t="inlineStr">
        <is>
          <t>'478451</t>
        </is>
      </c>
      <c r="B355" t="inlineStr">
        <is>
          <t>SF5116616532434</t>
        </is>
      </c>
    </row>
    <row r="356">
      <c r="A356" t="inlineStr">
        <is>
          <t>'478491</t>
        </is>
      </c>
      <c r="B356" t="inlineStr">
        <is>
          <t>SF5116616188849</t>
        </is>
      </c>
    </row>
    <row r="357">
      <c r="A357" t="inlineStr">
        <is>
          <t>'478497</t>
        </is>
      </c>
      <c r="B357" t="inlineStr">
        <is>
          <t>SF5116616189031</t>
        </is>
      </c>
    </row>
    <row r="358">
      <c r="A358" t="inlineStr">
        <is>
          <t>'478523</t>
        </is>
      </c>
      <c r="B358" t="inlineStr">
        <is>
          <t>SF5119115817390</t>
        </is>
      </c>
    </row>
    <row r="359">
      <c r="A359" t="inlineStr">
        <is>
          <t>'478525</t>
        </is>
      </c>
      <c r="B359" t="inlineStr">
        <is>
          <t>SF5119115817450</t>
        </is>
      </c>
    </row>
    <row r="360">
      <c r="A360" t="inlineStr">
        <is>
          <t>'478558</t>
        </is>
      </c>
      <c r="B360" t="inlineStr">
        <is>
          <t>SF5119115816516</t>
        </is>
      </c>
    </row>
    <row r="361">
      <c r="A361" t="inlineStr">
        <is>
          <t>'478577</t>
        </is>
      </c>
      <c r="B361" t="inlineStr">
        <is>
          <t>SF5119115817062</t>
        </is>
      </c>
    </row>
    <row r="362">
      <c r="A362" t="inlineStr">
        <is>
          <t>'478631</t>
        </is>
      </c>
      <c r="B362" t="inlineStr">
        <is>
          <t>SF5113427647788</t>
        </is>
      </c>
    </row>
    <row r="363">
      <c r="A363" t="inlineStr">
        <is>
          <t>'478641</t>
        </is>
      </c>
      <c r="B363" t="inlineStr">
        <is>
          <t>SF5116616188760</t>
        </is>
      </c>
    </row>
    <row r="364">
      <c r="A364" t="inlineStr">
        <is>
          <t>'478647</t>
        </is>
      </c>
      <c r="B364" t="inlineStr">
        <is>
          <t>SF5116616532716</t>
        </is>
      </c>
    </row>
    <row r="365">
      <c r="A365" t="inlineStr">
        <is>
          <t>'478668</t>
        </is>
      </c>
      <c r="B365" t="inlineStr">
        <is>
          <t>SF5117718571071</t>
        </is>
      </c>
    </row>
    <row r="366">
      <c r="A366" t="inlineStr">
        <is>
          <t>'478676</t>
        </is>
      </c>
      <c r="B366" t="inlineStr">
        <is>
          <t>SF5116616533032</t>
        </is>
      </c>
    </row>
    <row r="367">
      <c r="A367" t="inlineStr">
        <is>
          <t>'478684</t>
        </is>
      </c>
      <c r="B367" t="inlineStr">
        <is>
          <t>SF5119115817575</t>
        </is>
      </c>
    </row>
    <row r="368">
      <c r="A368" t="inlineStr">
        <is>
          <t>'478699</t>
        </is>
      </c>
      <c r="B368" t="inlineStr">
        <is>
          <t>SF5116616188991</t>
        </is>
      </c>
    </row>
    <row r="369">
      <c r="A369" t="inlineStr">
        <is>
          <t>'479505</t>
        </is>
      </c>
      <c r="B369" t="inlineStr">
        <is>
          <t>SF5119115817114</t>
        </is>
      </c>
    </row>
    <row r="370">
      <c r="A370" t="inlineStr">
        <is>
          <t>'479664</t>
        </is>
      </c>
      <c r="B370" t="inlineStr">
        <is>
          <t>SF5113427653861</t>
        </is>
      </c>
    </row>
    <row r="371">
      <c r="A371" t="inlineStr">
        <is>
          <t>'479668</t>
        </is>
      </c>
      <c r="B371" t="inlineStr">
        <is>
          <t>SF5113427653173</t>
        </is>
      </c>
    </row>
    <row r="372">
      <c r="A372" t="inlineStr">
        <is>
          <t>'479694</t>
        </is>
      </c>
      <c r="B372" t="inlineStr">
        <is>
          <t>SF5116616533545</t>
        </is>
      </c>
    </row>
    <row r="373">
      <c r="A373" t="inlineStr">
        <is>
          <t>'479969</t>
        </is>
      </c>
      <c r="B373" t="inlineStr">
        <is>
          <t>SF5116616187702</t>
        </is>
      </c>
    </row>
    <row r="374">
      <c r="A374" t="inlineStr">
        <is>
          <t>'480486</t>
        </is>
      </c>
      <c r="B374" t="inlineStr">
        <is>
          <t>SF5113427647637</t>
        </is>
      </c>
    </row>
    <row r="375">
      <c r="A375" t="inlineStr">
        <is>
          <t>'481194</t>
        </is>
      </c>
      <c r="B375" t="inlineStr">
        <is>
          <t>SF5116616533245</t>
        </is>
      </c>
    </row>
    <row r="376">
      <c r="A376" t="inlineStr">
        <is>
          <t>'481220</t>
        </is>
      </c>
      <c r="B376" t="inlineStr">
        <is>
          <t>SF5113427654317</t>
        </is>
      </c>
    </row>
    <row r="377">
      <c r="A377" t="inlineStr">
        <is>
          <t>'481260</t>
        </is>
      </c>
      <c r="B377" t="inlineStr">
        <is>
          <t>SF5113427649150</t>
        </is>
      </c>
    </row>
    <row r="378">
      <c r="A378" t="inlineStr">
        <is>
          <t>'481345</t>
        </is>
      </c>
      <c r="B378" t="inlineStr">
        <is>
          <t>SF5116616188036</t>
        </is>
      </c>
    </row>
    <row r="379">
      <c r="A379" t="inlineStr">
        <is>
          <t>'481353</t>
        </is>
      </c>
      <c r="B379" t="inlineStr">
        <is>
          <t>SF5116616532407</t>
        </is>
      </c>
    </row>
    <row r="380">
      <c r="A380" t="inlineStr">
        <is>
          <t>'481376</t>
        </is>
      </c>
      <c r="B380" t="inlineStr">
        <is>
          <t>SF5116616187642</t>
        </is>
      </c>
    </row>
    <row r="381">
      <c r="A381" t="inlineStr">
        <is>
          <t>'481390</t>
        </is>
      </c>
      <c r="B381" t="inlineStr">
        <is>
          <t>SF5119115816773</t>
        </is>
      </c>
    </row>
    <row r="382">
      <c r="A382" t="inlineStr">
        <is>
          <t>'481395</t>
        </is>
      </c>
      <c r="B382" t="inlineStr">
        <is>
          <t>SF5116616533272</t>
        </is>
      </c>
    </row>
    <row r="383">
      <c r="A383" t="inlineStr">
        <is>
          <t>'481397</t>
        </is>
      </c>
      <c r="B383" t="inlineStr">
        <is>
          <t>SF5113427653816</t>
        </is>
      </c>
    </row>
    <row r="384">
      <c r="A384" t="inlineStr">
        <is>
          <t>'481400</t>
        </is>
      </c>
      <c r="B384" t="inlineStr">
        <is>
          <t>SF5116616188812</t>
        </is>
      </c>
    </row>
    <row r="385">
      <c r="A385" t="inlineStr">
        <is>
          <t>'481465</t>
        </is>
      </c>
      <c r="B385" t="inlineStr">
        <is>
          <t>SF5116616187942</t>
        </is>
      </c>
    </row>
    <row r="386">
      <c r="A386" t="inlineStr">
        <is>
          <t>'481537</t>
        </is>
      </c>
      <c r="B386" t="inlineStr">
        <is>
          <t>SF5116616188009</t>
        </is>
      </c>
    </row>
    <row r="387">
      <c r="A387" t="inlineStr">
        <is>
          <t>'481601</t>
        </is>
      </c>
      <c r="B387" t="inlineStr">
        <is>
          <t>SF5116616691134</t>
        </is>
      </c>
    </row>
    <row r="388">
      <c r="A388" t="inlineStr">
        <is>
          <t>'481602</t>
        </is>
      </c>
      <c r="B388" t="inlineStr">
        <is>
          <t>SF5116616691161</t>
        </is>
      </c>
    </row>
    <row r="389">
      <c r="A389" t="inlineStr">
        <is>
          <t>'481652</t>
        </is>
      </c>
      <c r="B389" t="inlineStr">
        <is>
          <t>SF5119115816719</t>
        </is>
      </c>
    </row>
    <row r="390">
      <c r="A390" t="inlineStr">
        <is>
          <t>'481688</t>
        </is>
      </c>
      <c r="B390" t="inlineStr">
        <is>
          <t>SF5119115817220</t>
        </is>
      </c>
    </row>
    <row r="391">
      <c r="A391" t="inlineStr">
        <is>
          <t>'481698</t>
        </is>
      </c>
      <c r="B391" t="inlineStr">
        <is>
          <t>SF5113427648400</t>
        </is>
      </c>
    </row>
    <row r="392">
      <c r="A392" t="inlineStr">
        <is>
          <t>'481762</t>
        </is>
      </c>
      <c r="B392" t="inlineStr">
        <is>
          <t>SF5113427653764</t>
        </is>
      </c>
    </row>
    <row r="393">
      <c r="A393" t="inlineStr">
        <is>
          <t>'481791</t>
        </is>
      </c>
      <c r="B393" t="inlineStr">
        <is>
          <t>SF5113427653473</t>
        </is>
      </c>
    </row>
    <row r="394">
      <c r="A394" t="inlineStr">
        <is>
          <t>'481891</t>
        </is>
      </c>
      <c r="B394" t="inlineStr">
        <is>
          <t>SF5113427649114</t>
        </is>
      </c>
    </row>
    <row r="395">
      <c r="A395" t="inlineStr">
        <is>
          <t>'481910</t>
        </is>
      </c>
      <c r="B395" t="inlineStr">
        <is>
          <t>SF5116616188142</t>
        </is>
      </c>
    </row>
    <row r="396">
      <c r="A396" t="inlineStr">
        <is>
          <t>'481912</t>
        </is>
      </c>
      <c r="B396" t="inlineStr">
        <is>
          <t>SF5119115816959</t>
        </is>
      </c>
    </row>
    <row r="397">
      <c r="A397" t="inlineStr">
        <is>
          <t>'482739</t>
        </is>
      </c>
      <c r="B397" t="inlineStr">
        <is>
          <t>SF5116616533457</t>
        </is>
      </c>
    </row>
    <row r="398">
      <c r="A398" t="inlineStr">
        <is>
          <t>'482751</t>
        </is>
      </c>
      <c r="B398" t="inlineStr">
        <is>
          <t>SF5119018988150</t>
        </is>
      </c>
    </row>
    <row r="399">
      <c r="A399" t="inlineStr">
        <is>
          <t>'482766</t>
        </is>
      </c>
      <c r="B399" t="inlineStr">
        <is>
          <t>SF5116616189165</t>
        </is>
      </c>
    </row>
    <row r="400">
      <c r="A400" t="inlineStr">
        <is>
          <t>'482921</t>
        </is>
      </c>
      <c r="B400" t="inlineStr">
        <is>
          <t>SF5116616189562</t>
        </is>
      </c>
    </row>
    <row r="401">
      <c r="A401" t="inlineStr">
        <is>
          <t>'482968</t>
        </is>
      </c>
      <c r="B401" t="inlineStr">
        <is>
          <t>SF5113427647406</t>
        </is>
      </c>
    </row>
    <row r="402">
      <c r="A402" t="inlineStr">
        <is>
          <t>'482981</t>
        </is>
      </c>
      <c r="B402" t="inlineStr">
        <is>
          <t>SF5119115817423</t>
        </is>
      </c>
    </row>
    <row r="403">
      <c r="A403" t="inlineStr">
        <is>
          <t>'483032</t>
        </is>
      </c>
      <c r="B403" t="inlineStr">
        <is>
          <t>SF5113427648552</t>
        </is>
      </c>
    </row>
    <row r="404">
      <c r="A404" t="inlineStr">
        <is>
          <t>'483033</t>
        </is>
      </c>
      <c r="B404" t="inlineStr">
        <is>
          <t>SF5113427648030</t>
        </is>
      </c>
    </row>
    <row r="405">
      <c r="A405" t="inlineStr">
        <is>
          <t>'483686</t>
        </is>
      </c>
      <c r="B405" t="inlineStr">
        <is>
          <t>SF5119115817123</t>
        </is>
      </c>
    </row>
    <row r="406">
      <c r="A406" t="inlineStr">
        <is>
          <t>'483723</t>
        </is>
      </c>
      <c r="B406" t="inlineStr">
        <is>
          <t>SF5116616691000</t>
        </is>
      </c>
    </row>
    <row r="407">
      <c r="A407" t="inlineStr">
        <is>
          <t>'483758</t>
        </is>
      </c>
      <c r="B407" t="inlineStr">
        <is>
          <t>SF5119115816631</t>
        </is>
      </c>
    </row>
    <row r="408">
      <c r="A408" t="inlineStr">
        <is>
          <t>'483791</t>
        </is>
      </c>
      <c r="B408" t="inlineStr">
        <is>
          <t>SF5119018988026</t>
        </is>
      </c>
    </row>
    <row r="409">
      <c r="A409" t="inlineStr">
        <is>
          <t>'484463</t>
        </is>
      </c>
      <c r="B409" t="inlineStr">
        <is>
          <t>SF5113427647779</t>
        </is>
      </c>
    </row>
    <row r="410">
      <c r="A410" t="inlineStr">
        <is>
          <t>'484537</t>
        </is>
      </c>
      <c r="B410" t="inlineStr">
        <is>
          <t>SF5119115817618</t>
        </is>
      </c>
    </row>
    <row r="411">
      <c r="A411" t="inlineStr">
        <is>
          <t>'484574</t>
        </is>
      </c>
      <c r="B411" t="inlineStr">
        <is>
          <t>SF5116616187757</t>
        </is>
      </c>
    </row>
    <row r="412">
      <c r="A412" t="inlineStr">
        <is>
          <t>'484577</t>
        </is>
      </c>
      <c r="B412" t="inlineStr">
        <is>
          <t>SF5113427654061</t>
        </is>
      </c>
    </row>
    <row r="413">
      <c r="A413" t="inlineStr">
        <is>
          <t>'484591</t>
        </is>
      </c>
      <c r="B413" t="inlineStr">
        <is>
          <t>SF5116616188567</t>
        </is>
      </c>
    </row>
    <row r="414">
      <c r="A414" t="inlineStr">
        <is>
          <t>'484615</t>
        </is>
      </c>
      <c r="B414" t="inlineStr">
        <is>
          <t>SF5116616691189</t>
        </is>
      </c>
    </row>
    <row r="415">
      <c r="A415" t="inlineStr">
        <is>
          <t>'484626</t>
        </is>
      </c>
      <c r="B415" t="inlineStr">
        <is>
          <t>SF5119018988053</t>
        </is>
      </c>
    </row>
    <row r="416">
      <c r="A416" t="inlineStr">
        <is>
          <t>'484651</t>
        </is>
      </c>
      <c r="B416" t="inlineStr">
        <is>
          <t>SF5113427647364</t>
        </is>
      </c>
    </row>
    <row r="417">
      <c r="A417" t="inlineStr">
        <is>
          <t>'484653</t>
        </is>
      </c>
      <c r="B417" t="inlineStr">
        <is>
          <t>SF5113427647619</t>
        </is>
      </c>
    </row>
    <row r="418">
      <c r="A418" t="inlineStr">
        <is>
          <t>'484656</t>
        </is>
      </c>
      <c r="B418" t="inlineStr">
        <is>
          <t>SF5113427647955</t>
        </is>
      </c>
    </row>
    <row r="419">
      <c r="A419" t="inlineStr">
        <is>
          <t>'484673</t>
        </is>
      </c>
      <c r="B419" t="inlineStr">
        <is>
          <t>SF5119018988778</t>
        </is>
      </c>
    </row>
    <row r="420">
      <c r="A420" t="inlineStr">
        <is>
          <t>'484731</t>
        </is>
      </c>
      <c r="B420" t="inlineStr">
        <is>
          <t>SF5113427654140</t>
        </is>
      </c>
    </row>
    <row r="421">
      <c r="A421" t="inlineStr">
        <is>
          <t>'484742</t>
        </is>
      </c>
      <c r="B421" t="inlineStr">
        <is>
          <t>SF5116616188203</t>
        </is>
      </c>
    </row>
    <row r="422">
      <c r="A422" t="inlineStr">
        <is>
          <t>'484763</t>
        </is>
      </c>
      <c r="B422" t="inlineStr">
        <is>
          <t>SF5119115815900</t>
        </is>
      </c>
    </row>
    <row r="423">
      <c r="A423" t="inlineStr">
        <is>
          <t>'484840</t>
        </is>
      </c>
      <c r="B423" t="inlineStr">
        <is>
          <t>SF5116616187775</t>
        </is>
      </c>
    </row>
    <row r="424">
      <c r="A424" t="inlineStr">
        <is>
          <t>'484841</t>
        </is>
      </c>
      <c r="B424" t="inlineStr">
        <is>
          <t>SF5116616189174</t>
        </is>
      </c>
    </row>
    <row r="425">
      <c r="A425" t="inlineStr">
        <is>
          <t>'484842</t>
        </is>
      </c>
      <c r="B425" t="inlineStr">
        <is>
          <t>SF5116616188576</t>
        </is>
      </c>
    </row>
    <row r="426">
      <c r="A426" t="inlineStr">
        <is>
          <t>'484843</t>
        </is>
      </c>
      <c r="B426" t="inlineStr">
        <is>
          <t>SF5116616188063</t>
        </is>
      </c>
    </row>
    <row r="427">
      <c r="A427" t="inlineStr">
        <is>
          <t>'484893</t>
        </is>
      </c>
      <c r="B427" t="inlineStr">
        <is>
          <t>SF5116616533439</t>
        </is>
      </c>
    </row>
    <row r="428">
      <c r="A428" t="inlineStr">
        <is>
          <t>'484913</t>
        </is>
      </c>
      <c r="B428" t="inlineStr">
        <is>
          <t>SF5119018988099</t>
        </is>
      </c>
    </row>
    <row r="429">
      <c r="A429" t="inlineStr">
        <is>
          <t>'484997</t>
        </is>
      </c>
      <c r="B429" t="inlineStr">
        <is>
          <t>SF5116616691125</t>
        </is>
      </c>
    </row>
    <row r="430">
      <c r="A430" t="inlineStr">
        <is>
          <t>'485023</t>
        </is>
      </c>
      <c r="B430" t="inlineStr">
        <is>
          <t>SF5119115816164</t>
        </is>
      </c>
    </row>
    <row r="431">
      <c r="A431" t="inlineStr">
        <is>
          <t>'485032</t>
        </is>
      </c>
      <c r="B431" t="inlineStr">
        <is>
          <t>SF5116616691301</t>
        </is>
      </c>
    </row>
    <row r="432">
      <c r="A432" t="inlineStr">
        <is>
          <t>'485057</t>
        </is>
      </c>
      <c r="B432" t="inlineStr">
        <is>
          <t>SF5113427653834</t>
        </is>
      </c>
    </row>
    <row r="433">
      <c r="A433" t="inlineStr">
        <is>
          <t>'485058</t>
        </is>
      </c>
      <c r="B433" t="inlineStr">
        <is>
          <t>SF5119115816270</t>
        </is>
      </c>
    </row>
    <row r="434">
      <c r="A434" t="inlineStr">
        <is>
          <t>'485110</t>
        </is>
      </c>
      <c r="B434" t="inlineStr">
        <is>
          <t>SF5119018987387</t>
        </is>
      </c>
    </row>
    <row r="435">
      <c r="A435" t="inlineStr">
        <is>
          <t>'485142</t>
        </is>
      </c>
      <c r="B435" t="inlineStr">
        <is>
          <t>SF5119018987729, SF5119115817469</t>
        </is>
      </c>
    </row>
    <row r="436">
      <c r="A436" t="inlineStr">
        <is>
          <t>'485145</t>
        </is>
      </c>
      <c r="B436" t="inlineStr">
        <is>
          <t>SF5119115817211</t>
        </is>
      </c>
    </row>
    <row r="437">
      <c r="A437" t="inlineStr">
        <is>
          <t>'485149</t>
        </is>
      </c>
      <c r="B437" t="inlineStr">
        <is>
          <t>SF5116616532443</t>
        </is>
      </c>
    </row>
    <row r="438">
      <c r="A438" t="inlineStr">
        <is>
          <t>'485165</t>
        </is>
      </c>
      <c r="B438" t="inlineStr">
        <is>
          <t>SF5113427647937</t>
        </is>
      </c>
    </row>
    <row r="439">
      <c r="A439" t="inlineStr">
        <is>
          <t>'485191</t>
        </is>
      </c>
      <c r="B439" t="inlineStr">
        <is>
          <t>SF5116616187881</t>
        </is>
      </c>
    </row>
    <row r="440">
      <c r="A440" t="inlineStr">
        <is>
          <t>'485213</t>
        </is>
      </c>
      <c r="B440" t="inlineStr">
        <is>
          <t>SF5116616532082</t>
        </is>
      </c>
    </row>
    <row r="441">
      <c r="A441" t="inlineStr">
        <is>
          <t>'485237</t>
        </is>
      </c>
      <c r="B441" t="inlineStr">
        <is>
          <t>SF5116616690951</t>
        </is>
      </c>
    </row>
    <row r="442">
      <c r="A442" t="inlineStr">
        <is>
          <t>'485244</t>
        </is>
      </c>
      <c r="B442" t="inlineStr">
        <is>
          <t>SF5113427654007</t>
        </is>
      </c>
    </row>
    <row r="443">
      <c r="A443" t="inlineStr">
        <is>
          <t>'486101</t>
        </is>
      </c>
      <c r="B443" t="inlineStr">
        <is>
          <t>SF5116616532910</t>
        </is>
      </c>
    </row>
    <row r="444">
      <c r="A444" t="inlineStr">
        <is>
          <t>'486206</t>
        </is>
      </c>
      <c r="B444" t="inlineStr">
        <is>
          <t>SF5116616532198</t>
        </is>
      </c>
    </row>
    <row r="445">
      <c r="A445" t="inlineStr">
        <is>
          <t>'486521</t>
        </is>
      </c>
      <c r="B445" t="inlineStr">
        <is>
          <t>SF5113427653898</t>
        </is>
      </c>
    </row>
    <row r="446">
      <c r="A446" t="inlineStr">
        <is>
          <t>'486970</t>
        </is>
      </c>
      <c r="B446" t="inlineStr">
        <is>
          <t>SF5116616533615</t>
        </is>
      </c>
    </row>
    <row r="447">
      <c r="A447" t="inlineStr">
        <is>
          <t>'487069</t>
        </is>
      </c>
      <c r="B447" t="inlineStr">
        <is>
          <t>SF5116616189262</t>
        </is>
      </c>
    </row>
    <row r="448">
      <c r="A448" t="inlineStr">
        <is>
          <t>'487235</t>
        </is>
      </c>
      <c r="B448" t="inlineStr">
        <is>
          <t>SF5116616533315</t>
        </is>
      </c>
    </row>
    <row r="449">
      <c r="A449" t="inlineStr">
        <is>
          <t>'487246</t>
        </is>
      </c>
      <c r="B449" t="inlineStr">
        <is>
          <t>SF5113427649044</t>
        </is>
      </c>
    </row>
    <row r="450">
      <c r="A450" t="inlineStr">
        <is>
          <t>'487770</t>
        </is>
      </c>
      <c r="B450" t="inlineStr">
        <is>
          <t>SF5119018988318</t>
        </is>
      </c>
    </row>
    <row r="451">
      <c r="A451" t="inlineStr">
        <is>
          <t>'487827</t>
        </is>
      </c>
      <c r="B451" t="inlineStr">
        <is>
          <t>SF5113427654283</t>
        </is>
      </c>
    </row>
    <row r="452">
      <c r="A452" t="inlineStr">
        <is>
          <t>'487837</t>
        </is>
      </c>
      <c r="B452" t="inlineStr">
        <is>
          <t>SF5116616533466</t>
        </is>
      </c>
    </row>
    <row r="453">
      <c r="A453" t="inlineStr">
        <is>
          <t>'487838</t>
        </is>
      </c>
      <c r="B453" t="inlineStr">
        <is>
          <t>SF5119018988839, SF5119115816386</t>
        </is>
      </c>
    </row>
    <row r="454">
      <c r="A454" t="inlineStr">
        <is>
          <t>'487883</t>
        </is>
      </c>
      <c r="B454" t="inlineStr">
        <is>
          <t>SF5113427653728, SF5116616189217</t>
        </is>
      </c>
    </row>
    <row r="455">
      <c r="A455" t="inlineStr">
        <is>
          <t>'487912</t>
        </is>
      </c>
      <c r="B455" t="inlineStr">
        <is>
          <t>SF5116616532586</t>
        </is>
      </c>
    </row>
    <row r="456">
      <c r="A456" t="inlineStr">
        <is>
          <t>'487937</t>
        </is>
      </c>
      <c r="B456" t="inlineStr">
        <is>
          <t>SF5116616188460</t>
        </is>
      </c>
    </row>
    <row r="457">
      <c r="A457" t="inlineStr">
        <is>
          <t>'487946</t>
        </is>
      </c>
      <c r="B457" t="inlineStr">
        <is>
          <t>SF5116616188337</t>
        </is>
      </c>
    </row>
    <row r="458">
      <c r="A458" t="inlineStr">
        <is>
          <t>'487951</t>
        </is>
      </c>
      <c r="B458" t="inlineStr">
        <is>
          <t>SF5116616533281</t>
        </is>
      </c>
    </row>
    <row r="459">
      <c r="A459" t="inlineStr">
        <is>
          <t>'487953</t>
        </is>
      </c>
      <c r="B459" t="inlineStr">
        <is>
          <t>SF5116616533209</t>
        </is>
      </c>
    </row>
    <row r="460">
      <c r="A460" t="inlineStr">
        <is>
          <t>'487960</t>
        </is>
      </c>
      <c r="B460" t="inlineStr">
        <is>
          <t>SF5113427648094</t>
        </is>
      </c>
    </row>
    <row r="461">
      <c r="A461" t="inlineStr">
        <is>
          <t>'487991</t>
        </is>
      </c>
      <c r="B461" t="inlineStr">
        <is>
          <t>SF5117718571105</t>
        </is>
      </c>
    </row>
    <row r="462">
      <c r="A462" t="inlineStr">
        <is>
          <t>'488070</t>
        </is>
      </c>
      <c r="B462" t="inlineStr">
        <is>
          <t>SF5113427649211</t>
        </is>
      </c>
    </row>
    <row r="463">
      <c r="A463" t="inlineStr">
        <is>
          <t>'488108</t>
        </is>
      </c>
      <c r="B463" t="inlineStr">
        <is>
          <t>SF5119018987792</t>
        </is>
      </c>
    </row>
    <row r="464">
      <c r="A464" t="inlineStr">
        <is>
          <t>'488109</t>
        </is>
      </c>
      <c r="B464" t="inlineStr">
        <is>
          <t>SF5119115817150</t>
        </is>
      </c>
    </row>
    <row r="465">
      <c r="A465" t="inlineStr">
        <is>
          <t>'488129</t>
        </is>
      </c>
      <c r="B465" t="inlineStr">
        <is>
          <t>SF5113427649053</t>
        </is>
      </c>
    </row>
    <row r="466">
      <c r="A466" t="inlineStr">
        <is>
          <t>'488148</t>
        </is>
      </c>
      <c r="B466" t="inlineStr">
        <is>
          <t>SF5119115815742</t>
        </is>
      </c>
    </row>
    <row r="467">
      <c r="A467" t="inlineStr">
        <is>
          <t>'488178</t>
        </is>
      </c>
      <c r="B467" t="inlineStr">
        <is>
          <t>SF5113427654089</t>
        </is>
      </c>
    </row>
    <row r="468">
      <c r="A468" t="inlineStr">
        <is>
          <t>'488205</t>
        </is>
      </c>
      <c r="B468" t="inlineStr">
        <is>
          <t>SF5119115816604</t>
        </is>
      </c>
    </row>
    <row r="469">
      <c r="A469" t="inlineStr">
        <is>
          <t>'488206</t>
        </is>
      </c>
      <c r="B469" t="inlineStr">
        <is>
          <t>SF5119018988309</t>
        </is>
      </c>
    </row>
    <row r="470">
      <c r="A470" t="inlineStr">
        <is>
          <t>'488208</t>
        </is>
      </c>
      <c r="B470" t="inlineStr">
        <is>
          <t>SF5113427653085</t>
        </is>
      </c>
    </row>
    <row r="471">
      <c r="A471" t="inlineStr">
        <is>
          <t>'488210</t>
        </is>
      </c>
      <c r="B471" t="inlineStr">
        <is>
          <t>SF5119115816898</t>
        </is>
      </c>
    </row>
    <row r="472">
      <c r="A472" t="inlineStr">
        <is>
          <t>'488263</t>
        </is>
      </c>
      <c r="B472" t="inlineStr">
        <is>
          <t>SF5113427654122</t>
        </is>
      </c>
    </row>
    <row r="473">
      <c r="A473" t="inlineStr">
        <is>
          <t>'488311</t>
        </is>
      </c>
      <c r="B473" t="inlineStr">
        <is>
          <t>SF5116616532204</t>
        </is>
      </c>
    </row>
    <row r="474">
      <c r="A474" t="inlineStr">
        <is>
          <t>'488352</t>
        </is>
      </c>
      <c r="B474" t="inlineStr">
        <is>
          <t>SF5113427654344</t>
        </is>
      </c>
    </row>
    <row r="475">
      <c r="A475" t="inlineStr">
        <is>
          <t>'488371</t>
        </is>
      </c>
      <c r="B475" t="inlineStr">
        <is>
          <t>SF5116616189101</t>
        </is>
      </c>
    </row>
    <row r="476">
      <c r="A476" t="inlineStr">
        <is>
          <t>'488372</t>
        </is>
      </c>
      <c r="B476" t="inlineStr">
        <is>
          <t>SF5119115815955</t>
        </is>
      </c>
    </row>
    <row r="477">
      <c r="A477" t="inlineStr">
        <is>
          <t>'488415</t>
        </is>
      </c>
      <c r="B477" t="inlineStr">
        <is>
          <t>SF5113427654422</t>
        </is>
      </c>
    </row>
    <row r="478">
      <c r="A478" t="inlineStr">
        <is>
          <t>'488425</t>
        </is>
      </c>
      <c r="B478" t="inlineStr">
        <is>
          <t>SF5119115817405</t>
        </is>
      </c>
    </row>
    <row r="479">
      <c r="A479" t="inlineStr">
        <is>
          <t>'488426</t>
        </is>
      </c>
      <c r="B479" t="inlineStr">
        <is>
          <t>SF5116616532956</t>
        </is>
      </c>
    </row>
    <row r="480">
      <c r="A480" t="inlineStr">
        <is>
          <t>'488462</t>
        </is>
      </c>
      <c r="B480" t="inlineStr">
        <is>
          <t>SF5113427652954</t>
        </is>
      </c>
    </row>
    <row r="481">
      <c r="A481" t="inlineStr">
        <is>
          <t>'488482</t>
        </is>
      </c>
      <c r="B481" t="inlineStr">
        <is>
          <t>SF5116616531925</t>
        </is>
      </c>
    </row>
    <row r="482">
      <c r="A482" t="inlineStr">
        <is>
          <t>'488483</t>
        </is>
      </c>
      <c r="B482" t="inlineStr">
        <is>
          <t>SF5116616189244</t>
        </is>
      </c>
    </row>
    <row r="483">
      <c r="A483" t="inlineStr">
        <is>
          <t>'488489</t>
        </is>
      </c>
      <c r="B483" t="inlineStr">
        <is>
          <t>SF5116616533139</t>
        </is>
      </c>
    </row>
    <row r="484">
      <c r="A484" t="inlineStr">
        <is>
          <t>'489442</t>
        </is>
      </c>
      <c r="B484" t="inlineStr">
        <is>
          <t>SF5113427653737</t>
        </is>
      </c>
    </row>
    <row r="485">
      <c r="A485" t="inlineStr">
        <is>
          <t>'489523</t>
        </is>
      </c>
      <c r="B485" t="inlineStr">
        <is>
          <t>SF5119018988220</t>
        </is>
      </c>
    </row>
    <row r="486">
      <c r="A486" t="inlineStr">
        <is>
          <t>'489525</t>
        </is>
      </c>
      <c r="B486" t="inlineStr">
        <is>
          <t>SF5119018988123</t>
        </is>
      </c>
    </row>
    <row r="487">
      <c r="A487" t="inlineStr">
        <is>
          <t>'490436</t>
        </is>
      </c>
      <c r="B487" t="inlineStr">
        <is>
          <t>SF5119115817690</t>
        </is>
      </c>
    </row>
    <row r="488">
      <c r="A488" t="inlineStr">
        <is>
          <t>'491056</t>
        </is>
      </c>
      <c r="B488" t="inlineStr">
        <is>
          <t>SF5113427654353</t>
        </is>
      </c>
    </row>
    <row r="489">
      <c r="A489" t="inlineStr">
        <is>
          <t>'491125</t>
        </is>
      </c>
      <c r="B489" t="inlineStr">
        <is>
          <t>SF5113427654431</t>
        </is>
      </c>
    </row>
    <row r="490">
      <c r="A490" t="inlineStr">
        <is>
          <t>'491148</t>
        </is>
      </c>
      <c r="B490" t="inlineStr">
        <is>
          <t>SF5116616533563</t>
        </is>
      </c>
    </row>
    <row r="491">
      <c r="A491" t="inlineStr">
        <is>
          <t>'491153</t>
        </is>
      </c>
      <c r="B491" t="inlineStr">
        <is>
          <t>SF5116616189314</t>
        </is>
      </c>
    </row>
    <row r="492">
      <c r="A492" t="inlineStr">
        <is>
          <t>'491214</t>
        </is>
      </c>
      <c r="B492" t="inlineStr">
        <is>
          <t>SF5116616188212</t>
        </is>
      </c>
    </row>
    <row r="493">
      <c r="A493" t="inlineStr">
        <is>
          <t>'491264</t>
        </is>
      </c>
      <c r="B493" t="inlineStr">
        <is>
          <t>SF5116616532665</t>
        </is>
      </c>
    </row>
    <row r="494">
      <c r="A494" t="inlineStr">
        <is>
          <t>'491328</t>
        </is>
      </c>
      <c r="B494" t="inlineStr">
        <is>
          <t>SF5119018988266</t>
        </is>
      </c>
    </row>
    <row r="495">
      <c r="A495" t="inlineStr">
        <is>
          <t>'491374</t>
        </is>
      </c>
      <c r="B495" t="inlineStr">
        <is>
          <t>SF5116616531794</t>
        </is>
      </c>
    </row>
    <row r="496">
      <c r="A496" t="inlineStr">
        <is>
          <t>'491447</t>
        </is>
      </c>
      <c r="B496" t="inlineStr">
        <is>
          <t>SF5119018988284</t>
        </is>
      </c>
    </row>
    <row r="497">
      <c r="A497" t="inlineStr">
        <is>
          <t>'491448</t>
        </is>
      </c>
      <c r="B497" t="inlineStr">
        <is>
          <t>SF5119115816058</t>
        </is>
      </c>
    </row>
    <row r="498">
      <c r="A498" t="inlineStr">
        <is>
          <t>'491458</t>
        </is>
      </c>
      <c r="B498" t="inlineStr">
        <is>
          <t>SF5116616188328</t>
        </is>
      </c>
    </row>
    <row r="499">
      <c r="A499" t="inlineStr">
        <is>
          <t>'491477</t>
        </is>
      </c>
      <c r="B499" t="inlineStr">
        <is>
          <t>SF5116616531873</t>
        </is>
      </c>
    </row>
    <row r="500">
      <c r="A500" t="inlineStr">
        <is>
          <t>'491478</t>
        </is>
      </c>
      <c r="B500" t="inlineStr">
        <is>
          <t>SF5116616532222</t>
        </is>
      </c>
    </row>
    <row r="501">
      <c r="A501" t="inlineStr">
        <is>
          <t>'491486</t>
        </is>
      </c>
      <c r="B501" t="inlineStr">
        <is>
          <t>SF5116616532707</t>
        </is>
      </c>
    </row>
    <row r="502">
      <c r="A502" t="inlineStr">
        <is>
          <t>'491487</t>
        </is>
      </c>
      <c r="B502" t="inlineStr">
        <is>
          <t>SF5119115816234</t>
        </is>
      </c>
    </row>
    <row r="503">
      <c r="A503" t="inlineStr">
        <is>
          <t>'491488</t>
        </is>
      </c>
      <c r="B503" t="inlineStr">
        <is>
          <t>SF5119018988893</t>
        </is>
      </c>
    </row>
    <row r="504">
      <c r="A504" t="inlineStr">
        <is>
          <t>'491490</t>
        </is>
      </c>
      <c r="B504" t="inlineStr">
        <is>
          <t>SF5113427647733</t>
        </is>
      </c>
    </row>
    <row r="505">
      <c r="A505" t="inlineStr">
        <is>
          <t>'491491</t>
        </is>
      </c>
      <c r="B505" t="inlineStr">
        <is>
          <t>SF5113427647797, SF5119115816668</t>
        </is>
      </c>
    </row>
    <row r="506">
      <c r="A506" t="inlineStr">
        <is>
          <t>'491516</t>
        </is>
      </c>
      <c r="B506" t="inlineStr">
        <is>
          <t>SF5119115816622</t>
        </is>
      </c>
    </row>
    <row r="507">
      <c r="A507" t="inlineStr">
        <is>
          <t>'491527</t>
        </is>
      </c>
      <c r="B507" t="inlineStr">
        <is>
          <t>SF5113427648191</t>
        </is>
      </c>
    </row>
    <row r="508">
      <c r="A508" t="inlineStr">
        <is>
          <t>'491642</t>
        </is>
      </c>
      <c r="B508" t="inlineStr">
        <is>
          <t>SF5119115815937</t>
        </is>
      </c>
    </row>
    <row r="509">
      <c r="A509" t="inlineStr">
        <is>
          <t>'491656</t>
        </is>
      </c>
      <c r="B509" t="inlineStr">
        <is>
          <t>SF5113427648598</t>
        </is>
      </c>
    </row>
    <row r="510">
      <c r="A510" t="inlineStr">
        <is>
          <t>'491668</t>
        </is>
      </c>
      <c r="B510" t="inlineStr">
        <is>
          <t>SF5113427653437</t>
        </is>
      </c>
    </row>
    <row r="511">
      <c r="A511" t="inlineStr">
        <is>
          <t>'491674</t>
        </is>
      </c>
      <c r="B511" t="inlineStr">
        <is>
          <t>SF5119018988132</t>
        </is>
      </c>
    </row>
    <row r="512">
      <c r="A512" t="inlineStr">
        <is>
          <t>'491721</t>
        </is>
      </c>
      <c r="B512" t="inlineStr">
        <is>
          <t>SF5119115816659</t>
        </is>
      </c>
    </row>
    <row r="513">
      <c r="A513" t="inlineStr">
        <is>
          <t>'491782</t>
        </is>
      </c>
      <c r="B513" t="inlineStr">
        <is>
          <t>SF5116616532046</t>
        </is>
      </c>
    </row>
    <row r="514">
      <c r="A514" t="inlineStr">
        <is>
          <t>'491794</t>
        </is>
      </c>
      <c r="B514" t="inlineStr">
        <is>
          <t>SF5113427652936</t>
        </is>
      </c>
    </row>
    <row r="515">
      <c r="A515" t="inlineStr">
        <is>
          <t>'491795</t>
        </is>
      </c>
      <c r="B515" t="inlineStr">
        <is>
          <t>SF5113427648182</t>
        </is>
      </c>
    </row>
    <row r="516">
      <c r="A516" t="inlineStr">
        <is>
          <t>'491807</t>
        </is>
      </c>
      <c r="B516" t="inlineStr">
        <is>
          <t>SF5116616533388</t>
        </is>
      </c>
    </row>
    <row r="517">
      <c r="A517" t="inlineStr">
        <is>
          <t>'492742</t>
        </is>
      </c>
      <c r="B517" t="inlineStr">
        <is>
          <t>SF5116616691240</t>
        </is>
      </c>
    </row>
    <row r="518">
      <c r="A518" t="inlineStr">
        <is>
          <t>'492850</t>
        </is>
      </c>
      <c r="B518" t="inlineStr">
        <is>
          <t>SF5119115816640</t>
        </is>
      </c>
    </row>
    <row r="519">
      <c r="A519" t="inlineStr">
        <is>
          <t>'493114</t>
        </is>
      </c>
      <c r="B519" t="inlineStr">
        <is>
          <t>SF5116616533624</t>
        </is>
      </c>
    </row>
    <row r="520">
      <c r="A520" t="inlineStr">
        <is>
          <t>'493819</t>
        </is>
      </c>
      <c r="B520" t="inlineStr">
        <is>
          <t>SF5119018987996</t>
        </is>
      </c>
    </row>
    <row r="521">
      <c r="A521" t="inlineStr">
        <is>
          <t>'493913</t>
        </is>
      </c>
      <c r="B521" t="inlineStr">
        <is>
          <t>SF5116616189599</t>
        </is>
      </c>
    </row>
    <row r="522">
      <c r="A522" t="inlineStr">
        <is>
          <t>'493919</t>
        </is>
      </c>
      <c r="B522" t="inlineStr">
        <is>
          <t>SF5116616532743</t>
        </is>
      </c>
    </row>
    <row r="523">
      <c r="A523" t="inlineStr">
        <is>
          <t>'494395</t>
        </is>
      </c>
      <c r="B523" t="inlineStr">
        <is>
          <t>SF5119115815691</t>
        </is>
      </c>
    </row>
    <row r="524">
      <c r="A524" t="inlineStr">
        <is>
          <t>'494396</t>
        </is>
      </c>
      <c r="B524" t="inlineStr">
        <is>
          <t>SF5113427648931</t>
        </is>
      </c>
    </row>
    <row r="525">
      <c r="A525" t="inlineStr">
        <is>
          <t>'494425</t>
        </is>
      </c>
      <c r="B525" t="inlineStr">
        <is>
          <t>SF5113427648695</t>
        </is>
      </c>
    </row>
    <row r="526">
      <c r="A526" t="inlineStr">
        <is>
          <t>'494469</t>
        </is>
      </c>
      <c r="B526" t="inlineStr">
        <is>
          <t>SF5113427653640</t>
        </is>
      </c>
    </row>
    <row r="527">
      <c r="A527" t="inlineStr">
        <is>
          <t>'494480</t>
        </is>
      </c>
      <c r="B527" t="inlineStr">
        <is>
          <t>SF5116616533633</t>
        </is>
      </c>
    </row>
    <row r="528">
      <c r="A528" t="inlineStr">
        <is>
          <t>'494495</t>
        </is>
      </c>
      <c r="B528" t="inlineStr">
        <is>
          <t>SF5113427654168</t>
        </is>
      </c>
    </row>
    <row r="529">
      <c r="A529" t="inlineStr">
        <is>
          <t>'494508</t>
        </is>
      </c>
      <c r="B529" t="inlineStr">
        <is>
          <t>SF5119018987678</t>
        </is>
      </c>
    </row>
    <row r="530">
      <c r="A530" t="inlineStr">
        <is>
          <t>'494564</t>
        </is>
      </c>
      <c r="B530" t="inlineStr">
        <is>
          <t>SF5116616532152</t>
        </is>
      </c>
    </row>
    <row r="531">
      <c r="A531" t="inlineStr">
        <is>
          <t>'494592</t>
        </is>
      </c>
      <c r="B531" t="inlineStr">
        <is>
          <t>SF5116616531689</t>
        </is>
      </c>
    </row>
    <row r="532">
      <c r="A532" t="inlineStr">
        <is>
          <t>'494611</t>
        </is>
      </c>
      <c r="B532" t="inlineStr">
        <is>
          <t>SF5116616691082</t>
        </is>
      </c>
    </row>
    <row r="533">
      <c r="A533" t="inlineStr">
        <is>
          <t>'494646</t>
        </is>
      </c>
      <c r="B533" t="inlineStr">
        <is>
          <t>SF5116616531837</t>
        </is>
      </c>
    </row>
    <row r="534">
      <c r="A534" t="inlineStr">
        <is>
          <t>'494661</t>
        </is>
      </c>
      <c r="B534" t="inlineStr">
        <is>
          <t>SF5119018987862</t>
        </is>
      </c>
    </row>
    <row r="535">
      <c r="A535" t="inlineStr">
        <is>
          <t>'494704</t>
        </is>
      </c>
      <c r="B535" t="inlineStr">
        <is>
          <t>SF5119115816252</t>
        </is>
      </c>
    </row>
    <row r="536">
      <c r="A536" t="inlineStr">
        <is>
          <t>'494744</t>
        </is>
      </c>
      <c r="B536" t="inlineStr">
        <is>
          <t>SF5119115817035</t>
        </is>
      </c>
    </row>
    <row r="537">
      <c r="A537" t="inlineStr">
        <is>
          <t>'494805</t>
        </is>
      </c>
      <c r="B537" t="inlineStr">
        <is>
          <t>SF5113427648543</t>
        </is>
      </c>
    </row>
    <row r="538">
      <c r="A538" t="inlineStr">
        <is>
          <t>'494812</t>
        </is>
      </c>
      <c r="B538" t="inlineStr">
        <is>
          <t>SF5116616532213</t>
        </is>
      </c>
    </row>
    <row r="539">
      <c r="A539" t="inlineStr">
        <is>
          <t>'494908</t>
        </is>
      </c>
      <c r="B539" t="inlineStr">
        <is>
          <t>SF5119018988114</t>
        </is>
      </c>
    </row>
    <row r="540">
      <c r="A540" t="inlineStr">
        <is>
          <t>'494946</t>
        </is>
      </c>
      <c r="B540" t="inlineStr">
        <is>
          <t>SF5116616533509</t>
        </is>
      </c>
    </row>
    <row r="541">
      <c r="A541" t="inlineStr">
        <is>
          <t>'495013</t>
        </is>
      </c>
      <c r="B541" t="inlineStr">
        <is>
          <t>SF5113427648791, SF5119115817336</t>
        </is>
      </c>
    </row>
    <row r="542">
      <c r="A542" t="inlineStr">
        <is>
          <t>'495025</t>
        </is>
      </c>
      <c r="B542" t="inlineStr">
        <is>
          <t>SF5119018988487</t>
        </is>
      </c>
    </row>
    <row r="543">
      <c r="A543" t="inlineStr">
        <is>
          <t>'495029</t>
        </is>
      </c>
      <c r="B543" t="inlineStr">
        <is>
          <t>SF5119018988345</t>
        </is>
      </c>
    </row>
    <row r="544">
      <c r="A544" t="inlineStr">
        <is>
          <t>'495048</t>
        </is>
      </c>
      <c r="B544" t="inlineStr">
        <is>
          <t>SF5116616533120</t>
        </is>
      </c>
    </row>
    <row r="545">
      <c r="A545" t="inlineStr">
        <is>
          <t>'495055</t>
        </is>
      </c>
      <c r="B545" t="inlineStr">
        <is>
          <t>SF5116616531767</t>
        </is>
      </c>
    </row>
    <row r="546">
      <c r="A546" t="inlineStr">
        <is>
          <t>'495087</t>
        </is>
      </c>
      <c r="B546" t="inlineStr">
        <is>
          <t>SF5116616189623</t>
        </is>
      </c>
    </row>
    <row r="547">
      <c r="A547" t="inlineStr">
        <is>
          <t>'495096</t>
        </is>
      </c>
      <c r="B547" t="inlineStr">
        <is>
          <t>SF5116616188742</t>
        </is>
      </c>
    </row>
    <row r="548">
      <c r="A548" t="inlineStr">
        <is>
          <t>'495101</t>
        </is>
      </c>
      <c r="B548" t="inlineStr">
        <is>
          <t>SF5119018988178</t>
        </is>
      </c>
    </row>
    <row r="549">
      <c r="A549" t="inlineStr">
        <is>
          <t>'495107</t>
        </is>
      </c>
      <c r="B549" t="inlineStr">
        <is>
          <t>SF5113427648359</t>
        </is>
      </c>
    </row>
    <row r="550">
      <c r="A550" t="inlineStr">
        <is>
          <t>'496196</t>
        </is>
      </c>
      <c r="B550" t="inlineStr">
        <is>
          <t>SF5119115817187</t>
        </is>
      </c>
    </row>
    <row r="551">
      <c r="A551" t="inlineStr">
        <is>
          <t>'496228</t>
        </is>
      </c>
      <c r="B551" t="inlineStr">
        <is>
          <t>SF5119115816340</t>
        </is>
      </c>
    </row>
    <row r="552">
      <c r="A552" t="inlineStr">
        <is>
          <t>'496429</t>
        </is>
      </c>
      <c r="B552" t="inlineStr">
        <is>
          <t>SF5116616532895</t>
        </is>
      </c>
    </row>
    <row r="553">
      <c r="A553" t="inlineStr">
        <is>
          <t>'496922</t>
        </is>
      </c>
      <c r="B553" t="inlineStr">
        <is>
          <t>SF5116616189068</t>
        </is>
      </c>
    </row>
    <row r="554">
      <c r="A554" t="inlineStr">
        <is>
          <t>'52395656</t>
        </is>
      </c>
      <c r="B554" t="inlineStr">
        <is>
          <t>SF5119115815715</t>
        </is>
      </c>
    </row>
    <row r="555">
      <c r="A555" t="inlineStr">
        <is>
          <t>'560078</t>
        </is>
      </c>
      <c r="B555" t="inlineStr">
        <is>
          <t>SF5119115816598</t>
        </is>
      </c>
    </row>
    <row r="556">
      <c r="A556" t="inlineStr">
        <is>
          <t>'560121</t>
        </is>
      </c>
      <c r="B556" t="inlineStr">
        <is>
          <t>SF5116616691064</t>
        </is>
      </c>
    </row>
    <row r="557">
      <c r="A557" t="inlineStr">
        <is>
          <t>'560123</t>
        </is>
      </c>
      <c r="B557" t="inlineStr">
        <is>
          <t>SF5116616691091</t>
        </is>
      </c>
    </row>
    <row r="558">
      <c r="A558" t="inlineStr">
        <is>
          <t>'560126</t>
        </is>
      </c>
      <c r="B558" t="inlineStr">
        <is>
          <t>SF5116616533420</t>
        </is>
      </c>
    </row>
    <row r="559">
      <c r="A559" t="inlineStr">
        <is>
          <t>'560142</t>
        </is>
      </c>
      <c r="B559" t="inlineStr">
        <is>
          <t>SF5119018988105</t>
        </is>
      </c>
    </row>
    <row r="560">
      <c r="A560" t="inlineStr">
        <is>
          <t>'560143</t>
        </is>
      </c>
      <c r="B560" t="inlineStr">
        <is>
          <t>SF5119115816100</t>
        </is>
      </c>
    </row>
    <row r="561">
      <c r="A561" t="inlineStr">
        <is>
          <t>'560145</t>
        </is>
      </c>
      <c r="B561" t="inlineStr">
        <is>
          <t>SF5116616531749</t>
        </is>
      </c>
    </row>
    <row r="562">
      <c r="A562" t="inlineStr">
        <is>
          <t>'560146</t>
        </is>
      </c>
      <c r="B562" t="inlineStr">
        <is>
          <t>SF5119018988584</t>
        </is>
      </c>
    </row>
    <row r="563">
      <c r="A563" t="inlineStr">
        <is>
          <t>'560153</t>
        </is>
      </c>
      <c r="B563" t="inlineStr">
        <is>
          <t>SF5113427647821</t>
        </is>
      </c>
    </row>
    <row r="564">
      <c r="A564" t="inlineStr">
        <is>
          <t>'560158</t>
        </is>
      </c>
      <c r="B564" t="inlineStr">
        <is>
          <t>SF5119115816534</t>
        </is>
      </c>
    </row>
    <row r="565">
      <c r="A565" t="inlineStr">
        <is>
          <t>'560185</t>
        </is>
      </c>
      <c r="B565" t="inlineStr">
        <is>
          <t>SF5116616533342</t>
        </is>
      </c>
    </row>
    <row r="566">
      <c r="A566" t="inlineStr">
        <is>
          <t>'561061</t>
        </is>
      </c>
      <c r="B566" t="inlineStr">
        <is>
          <t>SF5116616533157</t>
        </is>
      </c>
    </row>
    <row r="567">
      <c r="A567" t="inlineStr">
        <is>
          <t>'561114</t>
        </is>
      </c>
      <c r="B567" t="inlineStr">
        <is>
          <t>SF5113427647479</t>
        </is>
      </c>
    </row>
    <row r="568">
      <c r="A568" t="inlineStr">
        <is>
          <t>'561128</t>
        </is>
      </c>
      <c r="B568" t="inlineStr">
        <is>
          <t>SF5113427647337</t>
        </is>
      </c>
    </row>
    <row r="569">
      <c r="A569" t="inlineStr">
        <is>
          <t>'561141</t>
        </is>
      </c>
      <c r="B569" t="inlineStr">
        <is>
          <t>SF5116616531670</t>
        </is>
      </c>
    </row>
    <row r="570">
      <c r="A570" t="inlineStr">
        <is>
          <t>'561774</t>
        </is>
      </c>
      <c r="B570" t="inlineStr">
        <is>
          <t>SF5113427648234</t>
        </is>
      </c>
    </row>
    <row r="571">
      <c r="A571" t="inlineStr">
        <is>
          <t>'561974</t>
        </is>
      </c>
      <c r="B571" t="inlineStr">
        <is>
          <t>SF5113427649008</t>
        </is>
      </c>
    </row>
    <row r="572">
      <c r="A572" t="inlineStr">
        <is>
          <t>'562262</t>
        </is>
      </c>
      <c r="B572" t="inlineStr">
        <is>
          <t>SF5119115816695</t>
        </is>
      </c>
    </row>
    <row r="573">
      <c r="A573" t="inlineStr">
        <is>
          <t>'566661</t>
        </is>
      </c>
      <c r="B573" t="inlineStr">
        <is>
          <t>SF5119115816464</t>
        </is>
      </c>
    </row>
    <row r="574">
      <c r="A574" t="inlineStr">
        <is>
          <t>'566666</t>
        </is>
      </c>
      <c r="B574" t="inlineStr">
        <is>
          <t>SF5119115816437</t>
        </is>
      </c>
    </row>
    <row r="575">
      <c r="A575" t="inlineStr">
        <is>
          <t>'566712</t>
        </is>
      </c>
      <c r="B575" t="inlineStr">
        <is>
          <t>SF5113427647460</t>
        </is>
      </c>
    </row>
    <row r="576">
      <c r="A576" t="inlineStr">
        <is>
          <t>'566729</t>
        </is>
      </c>
      <c r="B576" t="inlineStr">
        <is>
          <t>SF5116616532577</t>
        </is>
      </c>
    </row>
    <row r="577">
      <c r="A577" t="inlineStr">
        <is>
          <t>'566730</t>
        </is>
      </c>
      <c r="B577" t="inlineStr">
        <is>
          <t>SF5119115817053</t>
        </is>
      </c>
    </row>
    <row r="578">
      <c r="A578" t="inlineStr">
        <is>
          <t>'566732</t>
        </is>
      </c>
      <c r="B578" t="inlineStr">
        <is>
          <t>SF5113427648889</t>
        </is>
      </c>
    </row>
    <row r="579">
      <c r="A579" t="inlineStr">
        <is>
          <t>'567603</t>
        </is>
      </c>
      <c r="B579" t="inlineStr">
        <is>
          <t>SF5119018988432</t>
        </is>
      </c>
    </row>
    <row r="580">
      <c r="A580" t="inlineStr">
        <is>
          <t>'567722</t>
        </is>
      </c>
      <c r="B580" t="inlineStr">
        <is>
          <t>SF5113427647858</t>
        </is>
      </c>
    </row>
    <row r="581">
      <c r="A581" t="inlineStr">
        <is>
          <t>'567840</t>
        </is>
      </c>
      <c r="B581" t="inlineStr">
        <is>
          <t>SF5113427648482</t>
        </is>
      </c>
    </row>
    <row r="582">
      <c r="A582" t="inlineStr">
        <is>
          <t>'568035</t>
        </is>
      </c>
      <c r="B582" t="inlineStr">
        <is>
          <t>SF5117718571080</t>
        </is>
      </c>
    </row>
    <row r="583">
      <c r="A583" t="inlineStr">
        <is>
          <t>'568557</t>
        </is>
      </c>
      <c r="B583" t="inlineStr">
        <is>
          <t>SF5116616533518</t>
        </is>
      </c>
    </row>
    <row r="584">
      <c r="A584" t="inlineStr">
        <is>
          <t>'56935895</t>
        </is>
      </c>
      <c r="B584" t="inlineStr">
        <is>
          <t>SF5119115817681</t>
        </is>
      </c>
    </row>
    <row r="585">
      <c r="A585" t="inlineStr">
        <is>
          <t>'569984</t>
        </is>
      </c>
      <c r="B585" t="inlineStr">
        <is>
          <t>SF5116616533148</t>
        </is>
      </c>
    </row>
    <row r="586">
      <c r="A586" t="inlineStr">
        <is>
          <t>'570009</t>
        </is>
      </c>
      <c r="B586" t="inlineStr">
        <is>
          <t>SF5113427647433</t>
        </is>
      </c>
    </row>
    <row r="587">
      <c r="A587" t="inlineStr">
        <is>
          <t>'570010</t>
        </is>
      </c>
      <c r="B587" t="inlineStr">
        <is>
          <t>SF5113427647894</t>
        </is>
      </c>
    </row>
    <row r="588">
      <c r="A588" t="inlineStr">
        <is>
          <t>'571619</t>
        </is>
      </c>
      <c r="B588" t="inlineStr">
        <is>
          <t>SF5119115816012</t>
        </is>
      </c>
    </row>
    <row r="589">
      <c r="A589" t="inlineStr">
        <is>
          <t>'571621</t>
        </is>
      </c>
      <c r="B589" t="inlineStr">
        <is>
          <t>SF5116616691170</t>
        </is>
      </c>
    </row>
    <row r="590">
      <c r="A590" t="inlineStr">
        <is>
          <t>'572031</t>
        </is>
      </c>
      <c r="B590" t="inlineStr">
        <is>
          <t>SF5119018987738</t>
        </is>
      </c>
    </row>
    <row r="591">
      <c r="A591" t="inlineStr">
        <is>
          <t>'572120</t>
        </is>
      </c>
      <c r="B591" t="inlineStr">
        <is>
          <t>SF5119115817008</t>
        </is>
      </c>
    </row>
    <row r="592">
      <c r="A592" t="inlineStr">
        <is>
          <t>'573224</t>
        </is>
      </c>
      <c r="B592" t="inlineStr">
        <is>
          <t>SF5113427648464</t>
        </is>
      </c>
    </row>
    <row r="593">
      <c r="A593" t="inlineStr">
        <is>
          <t>'573232</t>
        </is>
      </c>
      <c r="B593" t="inlineStr">
        <is>
          <t>SF5116616189192</t>
        </is>
      </c>
    </row>
    <row r="594">
      <c r="A594" t="inlineStr">
        <is>
          <t>'573242</t>
        </is>
      </c>
      <c r="B594" t="inlineStr">
        <is>
          <t>SF5119115815803</t>
        </is>
      </c>
    </row>
    <row r="595">
      <c r="A595" t="inlineStr">
        <is>
          <t>'573292</t>
        </is>
      </c>
      <c r="B595" t="inlineStr">
        <is>
          <t>SF5113427648340</t>
        </is>
      </c>
    </row>
    <row r="596">
      <c r="A596" t="inlineStr">
        <is>
          <t>'573294</t>
        </is>
      </c>
      <c r="B596" t="inlineStr">
        <is>
          <t>SF5113427647646</t>
        </is>
      </c>
    </row>
    <row r="597">
      <c r="A597" t="inlineStr">
        <is>
          <t>'573311</t>
        </is>
      </c>
      <c r="B597" t="inlineStr">
        <is>
          <t>SF5116616532268</t>
        </is>
      </c>
    </row>
    <row r="598">
      <c r="A598" t="inlineStr">
        <is>
          <t>'573317</t>
        </is>
      </c>
      <c r="B598" t="inlineStr">
        <is>
          <t>SF5113427647503</t>
        </is>
      </c>
    </row>
    <row r="599">
      <c r="A599" t="inlineStr">
        <is>
          <t>'574120</t>
        </is>
      </c>
      <c r="B599" t="inlineStr">
        <is>
          <t>SF5116616532489</t>
        </is>
      </c>
    </row>
    <row r="600">
      <c r="A600" t="inlineStr">
        <is>
          <t>'574178</t>
        </is>
      </c>
      <c r="B600" t="inlineStr">
        <is>
          <t>SF5113427652963</t>
        </is>
      </c>
    </row>
    <row r="601">
      <c r="A601" t="inlineStr">
        <is>
          <t>'574300</t>
        </is>
      </c>
      <c r="B601" t="inlineStr">
        <is>
          <t>SF5116616189438</t>
        </is>
      </c>
    </row>
    <row r="602">
      <c r="A602" t="inlineStr">
        <is>
          <t>'575001</t>
        </is>
      </c>
      <c r="B602" t="inlineStr">
        <is>
          <t>SF5119018988875</t>
        </is>
      </c>
    </row>
    <row r="603">
      <c r="A603" t="inlineStr">
        <is>
          <t>'575468</t>
        </is>
      </c>
      <c r="B603" t="inlineStr">
        <is>
          <t>SF5116616532629</t>
        </is>
      </c>
    </row>
    <row r="604">
      <c r="A604" t="inlineStr">
        <is>
          <t>'575485</t>
        </is>
      </c>
      <c r="B604" t="inlineStr">
        <is>
          <t>SF5113427648173</t>
        </is>
      </c>
    </row>
    <row r="605">
      <c r="A605" t="inlineStr">
        <is>
          <t>'576494</t>
        </is>
      </c>
      <c r="B605" t="inlineStr">
        <is>
          <t>SF5119018987535</t>
        </is>
      </c>
    </row>
    <row r="606">
      <c r="A606" t="inlineStr">
        <is>
          <t>'576504</t>
        </is>
      </c>
      <c r="B606" t="inlineStr">
        <is>
          <t>SF5119018987756</t>
        </is>
      </c>
    </row>
    <row r="607">
      <c r="A607" t="inlineStr">
        <is>
          <t>'576506</t>
        </is>
      </c>
      <c r="B607" t="inlineStr">
        <is>
          <t>SF5119115817071</t>
        </is>
      </c>
    </row>
    <row r="608">
      <c r="A608" t="inlineStr">
        <is>
          <t>'576508</t>
        </is>
      </c>
      <c r="B608" t="inlineStr">
        <is>
          <t>SF5116616532734</t>
        </is>
      </c>
    </row>
    <row r="609">
      <c r="A609" t="inlineStr">
        <is>
          <t>'576521</t>
        </is>
      </c>
      <c r="B609" t="inlineStr">
        <is>
          <t>SF5113427648207</t>
        </is>
      </c>
    </row>
    <row r="610">
      <c r="A610" t="inlineStr">
        <is>
          <t>'576545</t>
        </is>
      </c>
      <c r="B610" t="inlineStr">
        <is>
          <t>SF5116616533290</t>
        </is>
      </c>
    </row>
    <row r="611">
      <c r="A611" t="inlineStr">
        <is>
          <t>'576559</t>
        </is>
      </c>
      <c r="B611" t="inlineStr">
        <is>
          <t>SF5119018988354</t>
        </is>
      </c>
    </row>
    <row r="612">
      <c r="A612" t="inlineStr">
        <is>
          <t>'576561</t>
        </is>
      </c>
      <c r="B612" t="inlineStr">
        <is>
          <t>SF5116616533411</t>
        </is>
      </c>
    </row>
    <row r="613">
      <c r="A613" t="inlineStr">
        <is>
          <t>'576564</t>
        </is>
      </c>
      <c r="B613" t="inlineStr">
        <is>
          <t>SF5119115816782</t>
        </is>
      </c>
    </row>
    <row r="614">
      <c r="A614" t="inlineStr">
        <is>
          <t>'576565</t>
        </is>
      </c>
      <c r="B614" t="inlineStr">
        <is>
          <t>SF5113427653322</t>
        </is>
      </c>
    </row>
    <row r="615">
      <c r="A615" t="inlineStr">
        <is>
          <t>'576566</t>
        </is>
      </c>
      <c r="B615" t="inlineStr">
        <is>
          <t>SF5113427648304, SF5119018987401</t>
        </is>
      </c>
    </row>
    <row r="616">
      <c r="A616" t="inlineStr">
        <is>
          <t>'576584</t>
        </is>
      </c>
      <c r="B616" t="inlineStr">
        <is>
          <t>SF5116616188512</t>
        </is>
      </c>
    </row>
    <row r="617">
      <c r="A617" t="inlineStr">
        <is>
          <t>'577326</t>
        </is>
      </c>
      <c r="B617" t="inlineStr">
        <is>
          <t>SF5119018988663</t>
        </is>
      </c>
    </row>
    <row r="618">
      <c r="A618" t="inlineStr">
        <is>
          <t>'577772</t>
        </is>
      </c>
      <c r="B618" t="inlineStr">
        <is>
          <t>SF5113427653030</t>
        </is>
      </c>
    </row>
    <row r="619">
      <c r="A619" t="inlineStr">
        <is>
          <t>'578199</t>
        </is>
      </c>
      <c r="B619" t="inlineStr">
        <is>
          <t>SF5116616187915</t>
        </is>
      </c>
    </row>
    <row r="620">
      <c r="A620" t="inlineStr">
        <is>
          <t>'578205</t>
        </is>
      </c>
      <c r="B620" t="inlineStr">
        <is>
          <t>SF5113427647982</t>
        </is>
      </c>
    </row>
    <row r="621">
      <c r="A621" t="inlineStr">
        <is>
          <t>'578206</t>
        </is>
      </c>
      <c r="B621" t="inlineStr">
        <is>
          <t>SF5113427647849</t>
        </is>
      </c>
    </row>
    <row r="622">
      <c r="A622" t="inlineStr">
        <is>
          <t>'579787</t>
        </is>
      </c>
      <c r="B622" t="inlineStr">
        <is>
          <t>SF5119018988372</t>
        </is>
      </c>
    </row>
    <row r="623">
      <c r="A623" t="inlineStr">
        <is>
          <t>'579828</t>
        </is>
      </c>
      <c r="B623" t="inlineStr">
        <is>
          <t>SF5116616533448</t>
        </is>
      </c>
    </row>
    <row r="624">
      <c r="A624" t="inlineStr">
        <is>
          <t>'579831</t>
        </is>
      </c>
      <c r="B624" t="inlineStr">
        <is>
          <t>SF5116616691231</t>
        </is>
      </c>
    </row>
    <row r="625">
      <c r="A625" t="inlineStr">
        <is>
          <t>'579833</t>
        </is>
      </c>
      <c r="B625" t="inlineStr">
        <is>
          <t>SF5116616188937</t>
        </is>
      </c>
    </row>
    <row r="626">
      <c r="A626" t="inlineStr">
        <is>
          <t>'579848</t>
        </is>
      </c>
      <c r="B626" t="inlineStr">
        <is>
          <t>SF5116616532877</t>
        </is>
      </c>
    </row>
    <row r="627">
      <c r="A627" t="inlineStr">
        <is>
          <t>'579849</t>
        </is>
      </c>
      <c r="B627" t="inlineStr">
        <is>
          <t>SF5116616533175</t>
        </is>
      </c>
    </row>
    <row r="628">
      <c r="A628" t="inlineStr">
        <is>
          <t>'579850</t>
        </is>
      </c>
      <c r="B628" t="inlineStr">
        <is>
          <t>SF5116616532116</t>
        </is>
      </c>
    </row>
    <row r="629">
      <c r="A629" t="inlineStr">
        <is>
          <t>'580692</t>
        </is>
      </c>
      <c r="B629" t="inlineStr">
        <is>
          <t>SF5116616533102</t>
        </is>
      </c>
    </row>
    <row r="630">
      <c r="A630" t="inlineStr">
        <is>
          <t>'580794</t>
        </is>
      </c>
      <c r="B630" t="inlineStr">
        <is>
          <t>SF5116616187660</t>
        </is>
      </c>
    </row>
    <row r="631">
      <c r="A631" t="inlineStr">
        <is>
          <t>'580821</t>
        </is>
      </c>
      <c r="B631" t="inlineStr">
        <is>
          <t>SF5116616533193</t>
        </is>
      </c>
    </row>
    <row r="632">
      <c r="A632" t="inlineStr">
        <is>
          <t>'581378</t>
        </is>
      </c>
      <c r="B632" t="inlineStr">
        <is>
          <t>SF5113427653400</t>
        </is>
      </c>
    </row>
    <row r="633">
      <c r="A633" t="inlineStr">
        <is>
          <t>'581589</t>
        </is>
      </c>
      <c r="B633" t="inlineStr">
        <is>
          <t>SF5119115815928</t>
        </is>
      </c>
    </row>
    <row r="634">
      <c r="A634" t="inlineStr">
        <is>
          <t>'581941</t>
        </is>
      </c>
      <c r="B634" t="inlineStr">
        <is>
          <t>SF5119115816968</t>
        </is>
      </c>
    </row>
    <row r="635">
      <c r="A635" t="inlineStr">
        <is>
          <t>'583094</t>
        </is>
      </c>
      <c r="B635" t="inlineStr">
        <is>
          <t>SF5116616531970</t>
        </is>
      </c>
    </row>
    <row r="636">
      <c r="A636" t="inlineStr">
        <is>
          <t>'583098</t>
        </is>
      </c>
      <c r="B636" t="inlineStr">
        <is>
          <t>SF5116616188160</t>
        </is>
      </c>
    </row>
    <row r="637">
      <c r="A637" t="inlineStr">
        <is>
          <t>'583108</t>
        </is>
      </c>
      <c r="B637" t="inlineStr">
        <is>
          <t>SF5113427653668</t>
        </is>
      </c>
    </row>
    <row r="638">
      <c r="A638" t="inlineStr">
        <is>
          <t>'583112</t>
        </is>
      </c>
      <c r="B638" t="inlineStr">
        <is>
          <t>SF5116616532452</t>
        </is>
      </c>
    </row>
    <row r="639">
      <c r="A639" t="inlineStr">
        <is>
          <t>'583140</t>
        </is>
      </c>
      <c r="B639" t="inlineStr">
        <is>
          <t>SF5113427653552</t>
        </is>
      </c>
    </row>
    <row r="640">
      <c r="A640" t="inlineStr">
        <is>
          <t>'583155</t>
        </is>
      </c>
      <c r="B640" t="inlineStr">
        <is>
          <t>SF5113427653252</t>
        </is>
      </c>
    </row>
    <row r="641">
      <c r="A641" t="inlineStr">
        <is>
          <t>'583173</t>
        </is>
      </c>
      <c r="B641" t="inlineStr">
        <is>
          <t>SF5119018988336</t>
        </is>
      </c>
    </row>
    <row r="642">
      <c r="A642" t="inlineStr">
        <is>
          <t>'583176</t>
        </is>
      </c>
      <c r="B642" t="inlineStr">
        <is>
          <t>SF5119115816067</t>
        </is>
      </c>
    </row>
    <row r="643">
      <c r="A643" t="inlineStr">
        <is>
          <t>'583989</t>
        </is>
      </c>
      <c r="B643" t="inlineStr">
        <is>
          <t>SF5119018988954</t>
        </is>
      </c>
    </row>
    <row r="644">
      <c r="A644" t="inlineStr">
        <is>
          <t>'584153</t>
        </is>
      </c>
      <c r="B644" t="inlineStr">
        <is>
          <t>SF5113427653298</t>
        </is>
      </c>
    </row>
    <row r="645">
      <c r="A645" t="inlineStr">
        <is>
          <t>'584616</t>
        </is>
      </c>
      <c r="B645" t="inlineStr">
        <is>
          <t>SF5119018987456</t>
        </is>
      </c>
    </row>
    <row r="646">
      <c r="A646" t="inlineStr">
        <is>
          <t>'584747</t>
        </is>
      </c>
      <c r="B646" t="inlineStr">
        <is>
          <t>SF5119115815982</t>
        </is>
      </c>
    </row>
    <row r="647">
      <c r="A647" t="inlineStr">
        <is>
          <t>'584807</t>
        </is>
      </c>
      <c r="B647" t="inlineStr">
        <is>
          <t>SF5116616188779</t>
        </is>
      </c>
    </row>
    <row r="648">
      <c r="A648" t="inlineStr">
        <is>
          <t>'584928</t>
        </is>
      </c>
      <c r="B648" t="inlineStr">
        <is>
          <t>SF5119018987808</t>
        </is>
      </c>
    </row>
    <row r="649">
      <c r="A649" t="inlineStr">
        <is>
          <t>'584980</t>
        </is>
      </c>
      <c r="B649" t="inlineStr">
        <is>
          <t>SF5116616189544</t>
        </is>
      </c>
    </row>
    <row r="650">
      <c r="A650" t="inlineStr">
        <is>
          <t>'586372</t>
        </is>
      </c>
      <c r="B650" t="inlineStr">
        <is>
          <t>SF5116616690960</t>
        </is>
      </c>
    </row>
    <row r="651">
      <c r="A651" t="inlineStr">
        <is>
          <t>'586378</t>
        </is>
      </c>
      <c r="B651" t="inlineStr">
        <is>
          <t>SF5113427653058</t>
        </is>
      </c>
    </row>
    <row r="652">
      <c r="A652" t="inlineStr">
        <is>
          <t>'586379</t>
        </is>
      </c>
      <c r="B652" t="inlineStr">
        <is>
          <t>SF5116616188433</t>
        </is>
      </c>
    </row>
    <row r="653">
      <c r="A653" t="inlineStr">
        <is>
          <t>'589642</t>
        </is>
      </c>
      <c r="B653" t="inlineStr">
        <is>
          <t>SF5116616532240</t>
        </is>
      </c>
    </row>
    <row r="654">
      <c r="A654" t="inlineStr">
        <is>
          <t>'589645</t>
        </is>
      </c>
      <c r="B654" t="inlineStr">
        <is>
          <t>SF5113427648225, SF5119018988539</t>
        </is>
      </c>
    </row>
    <row r="655">
      <c r="A655" t="inlineStr">
        <is>
          <t>'589649</t>
        </is>
      </c>
      <c r="B655" t="inlineStr">
        <is>
          <t>SF5113427648861</t>
        </is>
      </c>
    </row>
    <row r="656">
      <c r="A656" t="inlineStr">
        <is>
          <t>'589658</t>
        </is>
      </c>
      <c r="B656" t="inlineStr">
        <is>
          <t>SF5113427654335</t>
        </is>
      </c>
    </row>
    <row r="657">
      <c r="A657" t="inlineStr">
        <is>
          <t>'589678</t>
        </is>
      </c>
      <c r="B657" t="inlineStr">
        <is>
          <t>SF5116616691268</t>
        </is>
      </c>
    </row>
    <row r="658">
      <c r="A658" t="inlineStr">
        <is>
          <t>'590535</t>
        </is>
      </c>
      <c r="B658" t="inlineStr">
        <is>
          <t>SF5116616532813</t>
        </is>
      </c>
    </row>
    <row r="659">
      <c r="A659" t="inlineStr">
        <is>
          <t>'590987</t>
        </is>
      </c>
      <c r="B659" t="inlineStr">
        <is>
          <t>SF5116616533581</t>
        </is>
      </c>
    </row>
    <row r="660">
      <c r="A660" t="inlineStr">
        <is>
          <t>'592943</t>
        </is>
      </c>
      <c r="B660" t="inlineStr">
        <is>
          <t>SF5116616532938</t>
        </is>
      </c>
    </row>
    <row r="661">
      <c r="A661" t="inlineStr">
        <is>
          <t>'593881</t>
        </is>
      </c>
      <c r="B661" t="inlineStr">
        <is>
          <t>SF5116616532301</t>
        </is>
      </c>
    </row>
    <row r="662">
      <c r="A662" t="inlineStr">
        <is>
          <t>'593883</t>
        </is>
      </c>
      <c r="B662" t="inlineStr">
        <is>
          <t>SF5113427653428, SF5116616188885</t>
        </is>
      </c>
    </row>
    <row r="663">
      <c r="A663" t="inlineStr">
        <is>
          <t>'593970</t>
        </is>
      </c>
      <c r="B663" t="inlineStr">
        <is>
          <t>SF5116616188867, SF5119115816400</t>
        </is>
      </c>
    </row>
    <row r="664">
      <c r="A664" t="inlineStr">
        <is>
          <t>'594115</t>
        </is>
      </c>
      <c r="B664" t="inlineStr">
        <is>
          <t>SF5119018987580</t>
        </is>
      </c>
    </row>
    <row r="665">
      <c r="A665" t="inlineStr">
        <is>
          <t>'594122</t>
        </is>
      </c>
      <c r="B665" t="inlineStr">
        <is>
          <t>SF5119115816304</t>
        </is>
      </c>
    </row>
    <row r="666">
      <c r="A666" t="inlineStr">
        <is>
          <t>'594474</t>
        </is>
      </c>
      <c r="B666" t="inlineStr">
        <is>
          <t>SF5116616187697</t>
        </is>
      </c>
    </row>
    <row r="667">
      <c r="A667" t="inlineStr">
        <is>
          <t>'596225</t>
        </is>
      </c>
      <c r="B667" t="inlineStr">
        <is>
          <t>SF5119115816173</t>
        </is>
      </c>
    </row>
    <row r="668">
      <c r="A668" t="inlineStr">
        <is>
          <t>'596246</t>
        </is>
      </c>
      <c r="B668" t="inlineStr">
        <is>
          <t>SF5113427653843</t>
        </is>
      </c>
    </row>
    <row r="669">
      <c r="A669" t="inlineStr">
        <is>
          <t>'596288</t>
        </is>
      </c>
      <c r="B669" t="inlineStr">
        <is>
          <t>SF5119115816377</t>
        </is>
      </c>
    </row>
    <row r="670">
      <c r="A670" t="inlineStr">
        <is>
          <t>'596292</t>
        </is>
      </c>
      <c r="B670" t="inlineStr">
        <is>
          <t>SF5113427653340, SF5119115815788</t>
        </is>
      </c>
    </row>
    <row r="671">
      <c r="A671" t="inlineStr">
        <is>
          <t>'596303</t>
        </is>
      </c>
      <c r="B671" t="inlineStr">
        <is>
          <t>SF5116616188382</t>
        </is>
      </c>
    </row>
    <row r="672">
      <c r="A672" t="inlineStr">
        <is>
          <t>'597163</t>
        </is>
      </c>
      <c r="B672" t="inlineStr">
        <is>
          <t>SF5116616187688</t>
        </is>
      </c>
    </row>
    <row r="673">
      <c r="A673" t="inlineStr">
        <is>
          <t>'597166</t>
        </is>
      </c>
      <c r="B673" t="inlineStr">
        <is>
          <t>SF5113427653807</t>
        </is>
      </c>
    </row>
    <row r="674">
      <c r="A674" t="inlineStr">
        <is>
          <t>'597180</t>
        </is>
      </c>
      <c r="B674" t="inlineStr">
        <is>
          <t>SF5113427653570</t>
        </is>
      </c>
    </row>
    <row r="675">
      <c r="A675" t="inlineStr">
        <is>
          <t>'597288</t>
        </is>
      </c>
      <c r="B675" t="inlineStr">
        <is>
          <t>SF5116616691028</t>
        </is>
      </c>
    </row>
    <row r="676">
      <c r="A676" t="inlineStr">
        <is>
          <t>'597423</t>
        </is>
      </c>
      <c r="B676" t="inlineStr">
        <is>
          <t>SF5119018987765</t>
        </is>
      </c>
    </row>
    <row r="677">
      <c r="A677" t="inlineStr">
        <is>
          <t>'597923</t>
        </is>
      </c>
      <c r="B677" t="inlineStr">
        <is>
          <t>SF5113427648516</t>
        </is>
      </c>
    </row>
    <row r="678">
      <c r="A678" t="inlineStr">
        <is>
          <t>'598109</t>
        </is>
      </c>
      <c r="B678" t="inlineStr">
        <is>
          <t>SF5119115815682</t>
        </is>
      </c>
    </row>
    <row r="679">
      <c r="A679" t="inlineStr">
        <is>
          <t>'598445</t>
        </is>
      </c>
      <c r="B679" t="inlineStr">
        <is>
          <t>SF5119018988741</t>
        </is>
      </c>
    </row>
    <row r="680">
      <c r="A680" t="inlineStr">
        <is>
          <t>'599514</t>
        </is>
      </c>
      <c r="B680" t="inlineStr">
        <is>
          <t>SF5116616691295</t>
        </is>
      </c>
    </row>
    <row r="681">
      <c r="A681" t="inlineStr">
        <is>
          <t>'599565</t>
        </is>
      </c>
      <c r="B681" t="inlineStr">
        <is>
          <t>SF5116616189410</t>
        </is>
      </c>
    </row>
    <row r="682">
      <c r="A682" t="inlineStr">
        <is>
          <t>'599598</t>
        </is>
      </c>
      <c r="B682" t="inlineStr">
        <is>
          <t>SF5113427648252</t>
        </is>
      </c>
    </row>
    <row r="683">
      <c r="A683" t="inlineStr">
        <is>
          <t>'600404</t>
        </is>
      </c>
      <c r="B683" t="inlineStr">
        <is>
          <t>SF5119018988609</t>
        </is>
      </c>
    </row>
    <row r="684">
      <c r="A684" t="inlineStr">
        <is>
          <t>'600433</t>
        </is>
      </c>
      <c r="B684" t="inlineStr">
        <is>
          <t>SF5116616188072</t>
        </is>
      </c>
    </row>
    <row r="685">
      <c r="A685" t="inlineStr">
        <is>
          <t>'600439</t>
        </is>
      </c>
      <c r="B685" t="inlineStr">
        <is>
          <t>SF5119018988035</t>
        </is>
      </c>
    </row>
    <row r="686">
      <c r="A686" t="inlineStr">
        <is>
          <t>'600539</t>
        </is>
      </c>
      <c r="B686" t="inlineStr">
        <is>
          <t>SF5116616187679</t>
        </is>
      </c>
    </row>
    <row r="687">
      <c r="A687" t="inlineStr">
        <is>
          <t>'600595</t>
        </is>
      </c>
      <c r="B687" t="inlineStr">
        <is>
          <t>SF5116616691116</t>
        </is>
      </c>
    </row>
    <row r="688">
      <c r="A688" t="inlineStr">
        <is>
          <t>'600655</t>
        </is>
      </c>
      <c r="B688" t="inlineStr">
        <is>
          <t>SF5113427653598</t>
        </is>
      </c>
    </row>
    <row r="689">
      <c r="A689" t="inlineStr">
        <is>
          <t>'600656</t>
        </is>
      </c>
      <c r="B689" t="inlineStr">
        <is>
          <t>SF5119115816491</t>
        </is>
      </c>
    </row>
    <row r="690">
      <c r="A690" t="inlineStr">
        <is>
          <t>'600658</t>
        </is>
      </c>
      <c r="B690" t="inlineStr">
        <is>
          <t>SF5113427653631</t>
        </is>
      </c>
    </row>
    <row r="691">
      <c r="A691" t="inlineStr">
        <is>
          <t>'600691</t>
        </is>
      </c>
      <c r="B691" t="inlineStr">
        <is>
          <t>SF5119018987632</t>
        </is>
      </c>
    </row>
    <row r="692">
      <c r="A692" t="inlineStr">
        <is>
          <t>'600696</t>
        </is>
      </c>
      <c r="B692" t="inlineStr">
        <is>
          <t>SF5116616189474</t>
        </is>
      </c>
    </row>
    <row r="693">
      <c r="A693" t="inlineStr">
        <is>
          <t>'600698</t>
        </is>
      </c>
      <c r="B693" t="inlineStr">
        <is>
          <t>SF5119115817275</t>
        </is>
      </c>
    </row>
    <row r="694">
      <c r="A694" t="inlineStr">
        <is>
          <t>'600811</t>
        </is>
      </c>
      <c r="B694" t="inlineStr">
        <is>
          <t>SF5119115816322</t>
        </is>
      </c>
    </row>
    <row r="695">
      <c r="A695" t="inlineStr">
        <is>
          <t>'600942</t>
        </is>
      </c>
      <c r="B695" t="inlineStr">
        <is>
          <t>SF5113427649202</t>
        </is>
      </c>
    </row>
    <row r="696">
      <c r="A696" t="inlineStr">
        <is>
          <t>'601024</t>
        </is>
      </c>
      <c r="B696" t="inlineStr">
        <is>
          <t>SF5113427654159</t>
        </is>
      </c>
    </row>
    <row r="697">
      <c r="A697" t="inlineStr">
        <is>
          <t>'602862</t>
        </is>
      </c>
      <c r="B697" t="inlineStr">
        <is>
          <t>SF5116616533263</t>
        </is>
      </c>
    </row>
    <row r="698">
      <c r="A698" t="inlineStr">
        <is>
          <t>'602868</t>
        </is>
      </c>
      <c r="B698" t="inlineStr">
        <is>
          <t>SF5116616189396</t>
        </is>
      </c>
    </row>
    <row r="699">
      <c r="A699" t="inlineStr">
        <is>
          <t>'602874</t>
        </is>
      </c>
      <c r="B699" t="inlineStr">
        <is>
          <t>SF5113427654195</t>
        </is>
      </c>
    </row>
    <row r="700">
      <c r="A700" t="inlineStr">
        <is>
          <t>'602877</t>
        </is>
      </c>
      <c r="B700" t="inlineStr">
        <is>
          <t>SF5119018987553</t>
        </is>
      </c>
    </row>
    <row r="701">
      <c r="A701" t="inlineStr">
        <is>
          <t>'603700</t>
        </is>
      </c>
      <c r="B701" t="inlineStr">
        <is>
          <t>SF5119115816216</t>
        </is>
      </c>
    </row>
    <row r="702">
      <c r="A702" t="inlineStr">
        <is>
          <t>'603724</t>
        </is>
      </c>
      <c r="B702" t="inlineStr">
        <is>
          <t>SF5116616187854</t>
        </is>
      </c>
    </row>
    <row r="703">
      <c r="A703" t="inlineStr">
        <is>
          <t>'603829</t>
        </is>
      </c>
      <c r="B703" t="inlineStr">
        <is>
          <t>SF5116616691073</t>
        </is>
      </c>
    </row>
    <row r="704">
      <c r="A704" t="inlineStr">
        <is>
          <t>'603977</t>
        </is>
      </c>
      <c r="B704" t="inlineStr">
        <is>
          <t>SF5119115815779</t>
        </is>
      </c>
    </row>
    <row r="705">
      <c r="A705" t="inlineStr">
        <is>
          <t>'604045</t>
        </is>
      </c>
      <c r="B705" t="inlineStr">
        <is>
          <t>SF5113427654371</t>
        </is>
      </c>
    </row>
    <row r="706">
      <c r="A706" t="inlineStr">
        <is>
          <t>'604078</t>
        </is>
      </c>
      <c r="B706" t="inlineStr">
        <is>
          <t>SF5119018988141</t>
        </is>
      </c>
    </row>
    <row r="707">
      <c r="A707" t="inlineStr">
        <is>
          <t>'604117</t>
        </is>
      </c>
      <c r="B707" t="inlineStr">
        <is>
          <t>SF5119018987923</t>
        </is>
      </c>
    </row>
    <row r="708">
      <c r="A708" t="inlineStr">
        <is>
          <t>'604180</t>
        </is>
      </c>
      <c r="B708" t="inlineStr">
        <is>
          <t>SF5113427654468</t>
        </is>
      </c>
    </row>
    <row r="709">
      <c r="A709" t="inlineStr">
        <is>
          <t>'604498</t>
        </is>
      </c>
      <c r="B709" t="inlineStr">
        <is>
          <t>SF5119115816191</t>
        </is>
      </c>
    </row>
    <row r="710">
      <c r="A710" t="inlineStr">
        <is>
          <t>'604539</t>
        </is>
      </c>
      <c r="B710" t="inlineStr">
        <is>
          <t>SF5119115816843</t>
        </is>
      </c>
    </row>
    <row r="711">
      <c r="A711" t="inlineStr">
        <is>
          <t>'604897</t>
        </is>
      </c>
      <c r="B711" t="inlineStr">
        <is>
          <t>SF5116616187720</t>
        </is>
      </c>
    </row>
    <row r="712">
      <c r="A712" t="inlineStr">
        <is>
          <t>'606088</t>
        </is>
      </c>
      <c r="B712" t="inlineStr">
        <is>
          <t>SF5113427652945</t>
        </is>
      </c>
    </row>
    <row r="713">
      <c r="A713" t="inlineStr">
        <is>
          <t>'606112</t>
        </is>
      </c>
      <c r="B713" t="inlineStr">
        <is>
          <t>SF5116616532277</t>
        </is>
      </c>
    </row>
    <row r="714">
      <c r="A714" t="inlineStr">
        <is>
          <t>'606146</t>
        </is>
      </c>
      <c r="B714" t="inlineStr">
        <is>
          <t>SF5113427653137</t>
        </is>
      </c>
    </row>
    <row r="715">
      <c r="A715" t="inlineStr">
        <is>
          <t>'606148</t>
        </is>
      </c>
      <c r="B715" t="inlineStr">
        <is>
          <t>SF5119018988645</t>
        </is>
      </c>
    </row>
    <row r="716">
      <c r="A716" t="inlineStr">
        <is>
          <t>'606154</t>
        </is>
      </c>
      <c r="B716" t="inlineStr">
        <is>
          <t>SF5113427653261, SF5119115816543</t>
        </is>
      </c>
    </row>
    <row r="717">
      <c r="A717" t="inlineStr">
        <is>
          <t>'606164</t>
        </is>
      </c>
      <c r="B717" t="inlineStr">
        <is>
          <t>SF5119115816155</t>
        </is>
      </c>
    </row>
    <row r="718">
      <c r="A718" t="inlineStr">
        <is>
          <t>'606166</t>
        </is>
      </c>
      <c r="B718" t="inlineStr">
        <is>
          <t>SF5113427654308</t>
        </is>
      </c>
    </row>
    <row r="719">
      <c r="A719" t="inlineStr">
        <is>
          <t>'60640874</t>
        </is>
      </c>
      <c r="B719" t="inlineStr">
        <is>
          <t>SF5119115817936</t>
        </is>
      </c>
    </row>
    <row r="720">
      <c r="A720" t="inlineStr">
        <is>
          <t>'607018</t>
        </is>
      </c>
      <c r="B720" t="inlineStr">
        <is>
          <t>SF5116616533087</t>
        </is>
      </c>
    </row>
    <row r="721">
      <c r="A721" t="inlineStr">
        <is>
          <t>'607284</t>
        </is>
      </c>
      <c r="B721" t="inlineStr">
        <is>
          <t>SF5113427647973</t>
        </is>
      </c>
    </row>
    <row r="722">
      <c r="A722" t="inlineStr">
        <is>
          <t>'607379</t>
        </is>
      </c>
      <c r="B722" t="inlineStr">
        <is>
          <t>SF5113427653076</t>
        </is>
      </c>
    </row>
    <row r="723">
      <c r="A723" t="inlineStr">
        <is>
          <t>'607391</t>
        </is>
      </c>
      <c r="B723" t="inlineStr">
        <is>
          <t>SF5116616187793</t>
        </is>
      </c>
    </row>
    <row r="724">
      <c r="A724" t="inlineStr">
        <is>
          <t>'607427</t>
        </is>
      </c>
      <c r="B724" t="inlineStr">
        <is>
          <t>SF5113427648922</t>
        </is>
      </c>
    </row>
    <row r="725">
      <c r="A725" t="inlineStr">
        <is>
          <t>'607534</t>
        </is>
      </c>
      <c r="B725" t="inlineStr">
        <is>
          <t>SF5116616532231</t>
        </is>
      </c>
    </row>
    <row r="726">
      <c r="A726" t="inlineStr">
        <is>
          <t>'607799</t>
        </is>
      </c>
      <c r="B726" t="inlineStr">
        <is>
          <t>SF5119018987483</t>
        </is>
      </c>
    </row>
    <row r="727">
      <c r="A727" t="inlineStr">
        <is>
          <t>'607817</t>
        </is>
      </c>
      <c r="B727" t="inlineStr">
        <is>
          <t>SF5116616533590</t>
        </is>
      </c>
    </row>
    <row r="728">
      <c r="A728" t="inlineStr">
        <is>
          <t>'608024</t>
        </is>
      </c>
      <c r="B728" t="inlineStr">
        <is>
          <t>SF5116616532752, SF5119115816182</t>
        </is>
      </c>
    </row>
    <row r="729">
      <c r="A729" t="inlineStr">
        <is>
          <t>'608249</t>
        </is>
      </c>
      <c r="B729" t="inlineStr">
        <is>
          <t>SF5116616189129</t>
        </is>
      </c>
    </row>
    <row r="730">
      <c r="A730" t="inlineStr">
        <is>
          <t>'609403</t>
        </is>
      </c>
      <c r="B730" t="inlineStr">
        <is>
          <t>SF5116616187988</t>
        </is>
      </c>
    </row>
    <row r="731">
      <c r="A731" t="inlineStr">
        <is>
          <t>'609417</t>
        </is>
      </c>
      <c r="B731" t="inlineStr">
        <is>
          <t>SF5113427653216</t>
        </is>
      </c>
    </row>
    <row r="732">
      <c r="A732" t="inlineStr">
        <is>
          <t>'609418</t>
        </is>
      </c>
      <c r="B732" t="inlineStr">
        <is>
          <t>SF5113427653021</t>
        </is>
      </c>
    </row>
    <row r="733">
      <c r="A733" t="inlineStr">
        <is>
          <t>'609421</t>
        </is>
      </c>
      <c r="B733" t="inlineStr">
        <is>
          <t>SF5116616691329</t>
        </is>
      </c>
    </row>
    <row r="734">
      <c r="A734" t="inlineStr">
        <is>
          <t>'609449</t>
        </is>
      </c>
      <c r="B734" t="inlineStr">
        <is>
          <t>SF5116616189305</t>
        </is>
      </c>
    </row>
    <row r="735">
      <c r="A735" t="inlineStr">
        <is>
          <t>'609450</t>
        </is>
      </c>
      <c r="B735" t="inlineStr">
        <is>
          <t>SF5117718571044</t>
        </is>
      </c>
    </row>
    <row r="736">
      <c r="A736" t="inlineStr">
        <is>
          <t>'610296</t>
        </is>
      </c>
      <c r="B736" t="inlineStr">
        <is>
          <t>SF5119115816746</t>
        </is>
      </c>
    </row>
    <row r="737">
      <c r="A737" t="inlineStr">
        <is>
          <t>'610404</t>
        </is>
      </c>
      <c r="B737" t="inlineStr">
        <is>
          <t>SF5116616189632</t>
        </is>
      </c>
    </row>
    <row r="738">
      <c r="A738" t="inlineStr">
        <is>
          <t>'610460</t>
        </is>
      </c>
      <c r="B738" t="inlineStr">
        <is>
          <t>SF5116616532568</t>
        </is>
      </c>
    </row>
    <row r="739">
      <c r="A739" t="inlineStr">
        <is>
          <t>'611093</t>
        </is>
      </c>
      <c r="B739" t="inlineStr">
        <is>
          <t>SF5113427653604</t>
        </is>
      </c>
    </row>
    <row r="740">
      <c r="A740" t="inlineStr">
        <is>
          <t>'611167</t>
        </is>
      </c>
      <c r="B740" t="inlineStr">
        <is>
          <t>SF5113427648940</t>
        </is>
      </c>
    </row>
    <row r="741">
      <c r="A741" t="inlineStr">
        <is>
          <t>'612655</t>
        </is>
      </c>
      <c r="B741" t="inlineStr">
        <is>
          <t>SF5119115817202</t>
        </is>
      </c>
    </row>
    <row r="742">
      <c r="A742" t="inlineStr">
        <is>
          <t>'612674</t>
        </is>
      </c>
      <c r="B742" t="inlineStr">
        <is>
          <t>SF5116616189156</t>
        </is>
      </c>
    </row>
    <row r="743">
      <c r="A743" t="inlineStr">
        <is>
          <t>'612675</t>
        </is>
      </c>
      <c r="B743" t="inlineStr">
        <is>
          <t>SF5116616189253</t>
        </is>
      </c>
    </row>
    <row r="744">
      <c r="A744" t="inlineStr">
        <is>
          <t>'612688</t>
        </is>
      </c>
      <c r="B744" t="inlineStr">
        <is>
          <t>SF5116616188973</t>
        </is>
      </c>
    </row>
    <row r="745">
      <c r="A745" t="inlineStr">
        <is>
          <t>'613541</t>
        </is>
      </c>
      <c r="B745" t="inlineStr">
        <is>
          <t>SF5113427648764</t>
        </is>
      </c>
    </row>
    <row r="746">
      <c r="A746" t="inlineStr">
        <is>
          <t>'613660</t>
        </is>
      </c>
      <c r="B746" t="inlineStr">
        <is>
          <t>SF5116616187924</t>
        </is>
      </c>
    </row>
    <row r="747">
      <c r="A747" t="inlineStr">
        <is>
          <t>'614349</t>
        </is>
      </c>
      <c r="B747" t="inlineStr">
        <is>
          <t>SF5119115815797</t>
        </is>
      </c>
    </row>
    <row r="748">
      <c r="A748" t="inlineStr">
        <is>
          <t>'614374</t>
        </is>
      </c>
      <c r="B748" t="inlineStr">
        <is>
          <t>SF5116616690979</t>
        </is>
      </c>
    </row>
    <row r="749">
      <c r="A749" t="inlineStr">
        <is>
          <t>'614769</t>
        </is>
      </c>
      <c r="B749" t="inlineStr">
        <is>
          <t>SF5119018987871</t>
        </is>
      </c>
    </row>
    <row r="750">
      <c r="A750" t="inlineStr">
        <is>
          <t>'614789</t>
        </is>
      </c>
      <c r="B750" t="inlineStr">
        <is>
          <t>SF5113427648659</t>
        </is>
      </c>
    </row>
    <row r="751">
      <c r="A751" t="inlineStr">
        <is>
          <t>'63535973</t>
        </is>
      </c>
      <c r="B751" t="inlineStr">
        <is>
          <t>SF5119115816428</t>
        </is>
      </c>
    </row>
    <row r="752">
      <c r="A752" t="inlineStr">
        <is>
          <t>'65725682</t>
        </is>
      </c>
      <c r="B752" t="inlineStr">
        <is>
          <t>SF5119115816128</t>
        </is>
      </c>
    </row>
    <row r="753">
      <c r="A753" t="inlineStr">
        <is>
          <t>'668564</t>
        </is>
      </c>
      <c r="B753" t="inlineStr">
        <is>
          <t>SF5113427653613</t>
        </is>
      </c>
    </row>
    <row r="754">
      <c r="A754" t="inlineStr">
        <is>
          <t>'66906042</t>
        </is>
      </c>
      <c r="B754" t="inlineStr">
        <is>
          <t>SF5119115817927</t>
        </is>
      </c>
    </row>
    <row r="755">
      <c r="A755" t="inlineStr">
        <is>
          <t>'671865</t>
        </is>
      </c>
      <c r="B755" t="inlineStr">
        <is>
          <t>SF5116616189483</t>
        </is>
      </c>
    </row>
    <row r="756">
      <c r="A756" t="inlineStr">
        <is>
          <t>'671889</t>
        </is>
      </c>
      <c r="B756" t="inlineStr">
        <is>
          <t>SF5119018988275</t>
        </is>
      </c>
    </row>
    <row r="757">
      <c r="A757" t="inlineStr">
        <is>
          <t>'67365258</t>
        </is>
      </c>
      <c r="B757" t="inlineStr">
        <is>
          <t>SF5119115817972</t>
        </is>
      </c>
    </row>
    <row r="758">
      <c r="A758" t="inlineStr">
        <is>
          <t>'675119</t>
        </is>
      </c>
      <c r="B758" t="inlineStr">
        <is>
          <t>SF5116616532286</t>
        </is>
      </c>
    </row>
    <row r="759">
      <c r="A759" t="inlineStr">
        <is>
          <t>'678422</t>
        </is>
      </c>
      <c r="B759" t="inlineStr">
        <is>
          <t>SF5113427654265</t>
        </is>
      </c>
    </row>
    <row r="760">
      <c r="A760" t="inlineStr">
        <is>
          <t>'678445</t>
        </is>
      </c>
      <c r="B760" t="inlineStr">
        <is>
          <t>SF5113427648968</t>
        </is>
      </c>
    </row>
    <row r="761">
      <c r="A761" t="inlineStr">
        <is>
          <t>'681727</t>
        </is>
      </c>
      <c r="B761" t="inlineStr">
        <is>
          <t>SF5113427648331</t>
        </is>
      </c>
    </row>
    <row r="762">
      <c r="A762" t="inlineStr">
        <is>
          <t>'685011</t>
        </is>
      </c>
      <c r="B762" t="inlineStr">
        <is>
          <t>SF5119115816986</t>
        </is>
      </c>
    </row>
    <row r="763">
      <c r="A763" t="inlineStr">
        <is>
          <t>'691574</t>
        </is>
      </c>
      <c r="B763" t="inlineStr">
        <is>
          <t>SF5113427649105</t>
        </is>
      </c>
    </row>
    <row r="764">
      <c r="A764" t="inlineStr">
        <is>
          <t>'694862</t>
        </is>
      </c>
      <c r="B764" t="inlineStr">
        <is>
          <t>SF5117718571132</t>
        </is>
      </c>
    </row>
    <row r="765">
      <c r="A765" t="inlineStr">
        <is>
          <t>'711268</t>
        </is>
      </c>
      <c r="B765" t="inlineStr">
        <is>
          <t>SF5116616533096</t>
        </is>
      </c>
    </row>
    <row r="766">
      <c r="A766" t="inlineStr">
        <is>
          <t>'711269</t>
        </is>
      </c>
      <c r="B766" t="inlineStr">
        <is>
          <t>SF5116616188982</t>
        </is>
      </c>
    </row>
    <row r="767">
      <c r="A767" t="inlineStr">
        <is>
          <t>'711283</t>
        </is>
      </c>
      <c r="B767" t="inlineStr">
        <is>
          <t>SF5116616189323</t>
        </is>
      </c>
    </row>
    <row r="768">
      <c r="A768" t="inlineStr">
        <is>
          <t>'711299</t>
        </is>
      </c>
      <c r="B768" t="inlineStr">
        <is>
          <t>SF5113427648686</t>
        </is>
      </c>
    </row>
    <row r="769">
      <c r="A769" t="inlineStr">
        <is>
          <t>'711302</t>
        </is>
      </c>
      <c r="B769" t="inlineStr">
        <is>
          <t>SF5113427648782</t>
        </is>
      </c>
    </row>
    <row r="770">
      <c r="A770" t="inlineStr">
        <is>
          <t>'714605</t>
        </is>
      </c>
      <c r="B770" t="inlineStr">
        <is>
          <t>SF5119018988381</t>
        </is>
      </c>
    </row>
    <row r="771">
      <c r="A771" t="inlineStr">
        <is>
          <t>'717848</t>
        </is>
      </c>
      <c r="B771" t="inlineStr">
        <is>
          <t>SF5116616188655</t>
        </is>
      </c>
    </row>
    <row r="772">
      <c r="A772" t="inlineStr">
        <is>
          <t>'721144</t>
        </is>
      </c>
      <c r="B772" t="inlineStr">
        <is>
          <t>SF5113427647628</t>
        </is>
      </c>
    </row>
    <row r="773">
      <c r="A773" t="inlineStr">
        <is>
          <t>'721155</t>
        </is>
      </c>
      <c r="B773" t="inlineStr">
        <is>
          <t>SF5119115817787</t>
        </is>
      </c>
    </row>
    <row r="774">
      <c r="A774" t="inlineStr">
        <is>
          <t>'721421310</t>
        </is>
      </c>
      <c r="B774" t="inlineStr">
        <is>
          <t>SF5116616188081</t>
        </is>
      </c>
    </row>
    <row r="775">
      <c r="A775" t="inlineStr">
        <is>
          <t>'721421318</t>
        </is>
      </c>
      <c r="B775" t="inlineStr">
        <is>
          <t>SF5119115818048</t>
        </is>
      </c>
    </row>
    <row r="776">
      <c r="A776" t="inlineStr">
        <is>
          <t>'721421337</t>
        </is>
      </c>
      <c r="B776" t="inlineStr">
        <is>
          <t>SF5119115816225</t>
        </is>
      </c>
    </row>
    <row r="777">
      <c r="A777" t="inlineStr">
        <is>
          <t>'721421375</t>
        </is>
      </c>
      <c r="B777" t="inlineStr">
        <is>
          <t>SF5113427649080</t>
        </is>
      </c>
    </row>
    <row r="778">
      <c r="A778" t="inlineStr">
        <is>
          <t>'721421384</t>
        </is>
      </c>
      <c r="B778" t="inlineStr">
        <is>
          <t>SF5113427649026</t>
        </is>
      </c>
    </row>
    <row r="779">
      <c r="A779" t="inlineStr">
        <is>
          <t>'721421393</t>
        </is>
      </c>
      <c r="B779" t="inlineStr">
        <is>
          <t>SF5116616189086</t>
        </is>
      </c>
    </row>
    <row r="780">
      <c r="A780" t="inlineStr">
        <is>
          <t>'721422317</t>
        </is>
      </c>
      <c r="B780" t="inlineStr">
        <is>
          <t>SF5117718571053</t>
        </is>
      </c>
    </row>
    <row r="781">
      <c r="A781" t="inlineStr">
        <is>
          <t>'721422338</t>
        </is>
      </c>
      <c r="B781" t="inlineStr">
        <is>
          <t>SF5119115818127</t>
        </is>
      </c>
    </row>
    <row r="782">
      <c r="A782" t="inlineStr">
        <is>
          <t>'721422376</t>
        </is>
      </c>
      <c r="B782" t="inlineStr">
        <is>
          <t>SF5113427648622</t>
        </is>
      </c>
    </row>
    <row r="783">
      <c r="A783" t="inlineStr">
        <is>
          <t>'721423325</t>
        </is>
      </c>
      <c r="B783" t="inlineStr">
        <is>
          <t>SF5113427648473</t>
        </is>
      </c>
    </row>
    <row r="784">
      <c r="A784" t="inlineStr">
        <is>
          <t>'721423334</t>
        </is>
      </c>
      <c r="B784" t="inlineStr">
        <is>
          <t>SF5116616188521</t>
        </is>
      </c>
    </row>
    <row r="785">
      <c r="A785" t="inlineStr">
        <is>
          <t>'721423344</t>
        </is>
      </c>
      <c r="B785" t="inlineStr">
        <is>
          <t>SF5116616532461</t>
        </is>
      </c>
    </row>
    <row r="786">
      <c r="A786" t="inlineStr">
        <is>
          <t>'721423360</t>
        </is>
      </c>
      <c r="B786" t="inlineStr">
        <is>
          <t>SF5113427653825</t>
        </is>
      </c>
    </row>
    <row r="787">
      <c r="A787" t="inlineStr">
        <is>
          <t>'721424319</t>
        </is>
      </c>
      <c r="B787" t="inlineStr">
        <is>
          <t>SF5113427649017</t>
        </is>
      </c>
    </row>
    <row r="788">
      <c r="A788" t="inlineStr">
        <is>
          <t>'721424336</t>
        </is>
      </c>
      <c r="B788" t="inlineStr">
        <is>
          <t>SF5119115817893</t>
        </is>
      </c>
    </row>
    <row r="789">
      <c r="A789" t="inlineStr">
        <is>
          <t>'721424347</t>
        </is>
      </c>
      <c r="B789" t="inlineStr">
        <is>
          <t>SF5119115817714</t>
        </is>
      </c>
    </row>
    <row r="790">
      <c r="A790" t="inlineStr">
        <is>
          <t>'721424348</t>
        </is>
      </c>
      <c r="B790" t="inlineStr">
        <is>
          <t>SF5116616187872</t>
        </is>
      </c>
    </row>
    <row r="791">
      <c r="A791" t="inlineStr">
        <is>
          <t>'721424360</t>
        </is>
      </c>
      <c r="B791" t="inlineStr">
        <is>
          <t>SF5113427653534</t>
        </is>
      </c>
    </row>
    <row r="792">
      <c r="A792" t="inlineStr">
        <is>
          <t>'721424367</t>
        </is>
      </c>
      <c r="B792" t="inlineStr">
        <is>
          <t>SF5113427654486, SF5116616532504</t>
        </is>
      </c>
    </row>
    <row r="793">
      <c r="A793" t="inlineStr">
        <is>
          <t>'721424370</t>
        </is>
      </c>
      <c r="B793" t="inlineStr">
        <is>
          <t>SF5116616189022</t>
        </is>
      </c>
    </row>
    <row r="794">
      <c r="A794" t="inlineStr">
        <is>
          <t>'721425289</t>
        </is>
      </c>
      <c r="B794" t="inlineStr">
        <is>
          <t>SF5119018988945</t>
        </is>
      </c>
    </row>
    <row r="795">
      <c r="A795" t="inlineStr">
        <is>
          <t>'721425303</t>
        </is>
      </c>
      <c r="B795" t="inlineStr">
        <is>
          <t>SF5113427654495</t>
        </is>
      </c>
    </row>
    <row r="796">
      <c r="A796" t="inlineStr">
        <is>
          <t>'721425361</t>
        </is>
      </c>
      <c r="B796" t="inlineStr">
        <is>
          <t>SF5119018988672</t>
        </is>
      </c>
    </row>
    <row r="797">
      <c r="A797" t="inlineStr">
        <is>
          <t>'721425363</t>
        </is>
      </c>
      <c r="B797" t="inlineStr">
        <is>
          <t>SF5116616532338</t>
        </is>
      </c>
    </row>
    <row r="798">
      <c r="A798" t="inlineStr">
        <is>
          <t>'721425366</t>
        </is>
      </c>
      <c r="B798" t="inlineStr">
        <is>
          <t>SF5116616189095</t>
        </is>
      </c>
    </row>
    <row r="799">
      <c r="A799" t="inlineStr">
        <is>
          <t>'721426291</t>
        </is>
      </c>
      <c r="B799" t="inlineStr">
        <is>
          <t>SF5119018988557</t>
        </is>
      </c>
    </row>
    <row r="800">
      <c r="A800" t="inlineStr">
        <is>
          <t>'721426298</t>
        </is>
      </c>
      <c r="B800" t="inlineStr">
        <is>
          <t>SF5119115816913</t>
        </is>
      </c>
    </row>
    <row r="801">
      <c r="A801" t="inlineStr">
        <is>
          <t>'721426320</t>
        </is>
      </c>
      <c r="B801" t="inlineStr">
        <is>
          <t>SF5116616188733</t>
        </is>
      </c>
    </row>
    <row r="802">
      <c r="A802" t="inlineStr">
        <is>
          <t>'721427329</t>
        </is>
      </c>
      <c r="B802" t="inlineStr">
        <is>
          <t>SF5113427649141</t>
        </is>
      </c>
    </row>
    <row r="803">
      <c r="A803" t="inlineStr">
        <is>
          <t>'721427341</t>
        </is>
      </c>
      <c r="B803" t="inlineStr">
        <is>
          <t>SF5116616188221</t>
        </is>
      </c>
    </row>
    <row r="804">
      <c r="A804" t="inlineStr">
        <is>
          <t>'721427363</t>
        </is>
      </c>
      <c r="B804" t="inlineStr">
        <is>
          <t>SF5116616532992</t>
        </is>
      </c>
    </row>
    <row r="805">
      <c r="A805" t="inlineStr">
        <is>
          <t>'721428296</t>
        </is>
      </c>
      <c r="B805" t="inlineStr">
        <is>
          <t>SF5113427654326</t>
        </is>
      </c>
    </row>
    <row r="806">
      <c r="A806" t="inlineStr">
        <is>
          <t>'721428300</t>
        </is>
      </c>
      <c r="B806" t="inlineStr">
        <is>
          <t>SF5119115817636</t>
        </is>
      </c>
    </row>
    <row r="807">
      <c r="A807" t="inlineStr">
        <is>
          <t>'721428306</t>
        </is>
      </c>
      <c r="B807" t="inlineStr">
        <is>
          <t>SF5113427647424</t>
        </is>
      </c>
    </row>
    <row r="808">
      <c r="A808" t="inlineStr">
        <is>
          <t>'721428337</t>
        </is>
      </c>
      <c r="B808" t="inlineStr">
        <is>
          <t>SF5116616188133</t>
        </is>
      </c>
    </row>
    <row r="809">
      <c r="A809" t="inlineStr">
        <is>
          <t>'721428386</t>
        </is>
      </c>
      <c r="B809" t="inlineStr">
        <is>
          <t>SF5116616188451</t>
        </is>
      </c>
    </row>
    <row r="810">
      <c r="A810" t="inlineStr">
        <is>
          <t>'721428399</t>
        </is>
      </c>
      <c r="B810" t="inlineStr">
        <is>
          <t>SF5116616533078</t>
        </is>
      </c>
    </row>
    <row r="811">
      <c r="A811" t="inlineStr">
        <is>
          <t>'721429334</t>
        </is>
      </c>
      <c r="B811" t="inlineStr">
        <is>
          <t>SF5116616188682</t>
        </is>
      </c>
    </row>
    <row r="812">
      <c r="A812" t="inlineStr">
        <is>
          <t>'721429361</t>
        </is>
      </c>
      <c r="B812" t="inlineStr">
        <is>
          <t>SF5119115817875</t>
        </is>
      </c>
    </row>
    <row r="813">
      <c r="A813" t="inlineStr">
        <is>
          <t>'721429366</t>
        </is>
      </c>
      <c r="B813" t="inlineStr">
        <is>
          <t>SF5119018988848</t>
        </is>
      </c>
    </row>
    <row r="814">
      <c r="A814" t="inlineStr">
        <is>
          <t>'721429377</t>
        </is>
      </c>
      <c r="B814" t="inlineStr">
        <is>
          <t>SF5116616691055</t>
        </is>
      </c>
    </row>
    <row r="815">
      <c r="A815" t="inlineStr">
        <is>
          <t>'721429401</t>
        </is>
      </c>
      <c r="B815" t="inlineStr">
        <is>
          <t>SF5116616188054</t>
        </is>
      </c>
    </row>
    <row r="816">
      <c r="A816" t="inlineStr">
        <is>
          <t>'721429406</t>
        </is>
      </c>
      <c r="B816" t="inlineStr">
        <is>
          <t>SF5119018988187</t>
        </is>
      </c>
    </row>
    <row r="817">
      <c r="A817" t="inlineStr">
        <is>
          <t>'721430318</t>
        </is>
      </c>
      <c r="B817" t="inlineStr">
        <is>
          <t>SF5113427652981</t>
        </is>
      </c>
    </row>
    <row r="818">
      <c r="A818" t="inlineStr">
        <is>
          <t>'721430327</t>
        </is>
      </c>
      <c r="B818" t="inlineStr">
        <is>
          <t>SF5116616188373</t>
        </is>
      </c>
    </row>
    <row r="819">
      <c r="A819" t="inlineStr">
        <is>
          <t>'721430346</t>
        </is>
      </c>
      <c r="B819" t="inlineStr">
        <is>
          <t>SF5116616532798</t>
        </is>
      </c>
    </row>
    <row r="820">
      <c r="A820" t="inlineStr">
        <is>
          <t>'721431296</t>
        </is>
      </c>
      <c r="B820" t="inlineStr">
        <is>
          <t>SF5116616532347</t>
        </is>
      </c>
    </row>
    <row r="821">
      <c r="A821" t="inlineStr">
        <is>
          <t>'721431301</t>
        </is>
      </c>
      <c r="B821" t="inlineStr">
        <is>
          <t>SF5113427653368</t>
        </is>
      </c>
    </row>
    <row r="822">
      <c r="A822" t="inlineStr">
        <is>
          <t>'721431306</t>
        </is>
      </c>
      <c r="B822" t="inlineStr">
        <is>
          <t>SF5119018988963</t>
        </is>
      </c>
    </row>
    <row r="823">
      <c r="A823" t="inlineStr">
        <is>
          <t>'721431310</t>
        </is>
      </c>
      <c r="B823" t="inlineStr">
        <is>
          <t>SF5119018987774</t>
        </is>
      </c>
    </row>
    <row r="824">
      <c r="A824" t="inlineStr">
        <is>
          <t>'721431372</t>
        </is>
      </c>
      <c r="B824" t="inlineStr">
        <is>
          <t>SF5113427653773</t>
        </is>
      </c>
    </row>
    <row r="825">
      <c r="A825" t="inlineStr">
        <is>
          <t>'721432293</t>
        </is>
      </c>
      <c r="B825" t="inlineStr">
        <is>
          <t>SF5116616533527</t>
        </is>
      </c>
    </row>
    <row r="826">
      <c r="A826" t="inlineStr">
        <is>
          <t>'721432332</t>
        </is>
      </c>
      <c r="B826" t="inlineStr">
        <is>
          <t>SF5113427653182</t>
        </is>
      </c>
    </row>
    <row r="827">
      <c r="A827" t="inlineStr">
        <is>
          <t>'721432337</t>
        </is>
      </c>
      <c r="B827" t="inlineStr">
        <is>
          <t>SF5116616532107</t>
        </is>
      </c>
    </row>
    <row r="828">
      <c r="A828" t="inlineStr">
        <is>
          <t>'721433319</t>
        </is>
      </c>
      <c r="B828" t="inlineStr">
        <is>
          <t>SF5116616188788</t>
        </is>
      </c>
    </row>
    <row r="829">
      <c r="A829" t="inlineStr">
        <is>
          <t>'721433336</t>
        </is>
      </c>
      <c r="B829" t="inlineStr">
        <is>
          <t>SF5119115817796</t>
        </is>
      </c>
    </row>
    <row r="830">
      <c r="A830" t="inlineStr">
        <is>
          <t>'721433347</t>
        </is>
      </c>
      <c r="B830" t="inlineStr">
        <is>
          <t>SF5116616532683</t>
        </is>
      </c>
    </row>
    <row r="831">
      <c r="A831" t="inlineStr">
        <is>
          <t>'721434325</t>
        </is>
      </c>
      <c r="B831" t="inlineStr">
        <is>
          <t>SF5113427653419</t>
        </is>
      </c>
    </row>
    <row r="832">
      <c r="A832" t="inlineStr">
        <is>
          <t>'721434353</t>
        </is>
      </c>
      <c r="B832" t="inlineStr">
        <is>
          <t>SF5116616188319</t>
        </is>
      </c>
    </row>
    <row r="833">
      <c r="A833" t="inlineStr">
        <is>
          <t>'721434359</t>
        </is>
      </c>
      <c r="B833" t="inlineStr">
        <is>
          <t>SF5116516599816</t>
        </is>
      </c>
    </row>
    <row r="834">
      <c r="A834" t="inlineStr">
        <is>
          <t>'721434379</t>
        </is>
      </c>
      <c r="B834" t="inlineStr">
        <is>
          <t>SF5116616189401</t>
        </is>
      </c>
    </row>
    <row r="835">
      <c r="A835" t="inlineStr">
        <is>
          <t>'721434399</t>
        </is>
      </c>
      <c r="B835" t="inlineStr">
        <is>
          <t>SF5113427647742</t>
        </is>
      </c>
    </row>
    <row r="836">
      <c r="A836" t="inlineStr">
        <is>
          <t>'721435328</t>
        </is>
      </c>
      <c r="B836" t="inlineStr">
        <is>
          <t>SF5116616531916</t>
        </is>
      </c>
    </row>
    <row r="837">
      <c r="A837" t="inlineStr">
        <is>
          <t>'721435347</t>
        </is>
      </c>
      <c r="B837" t="inlineStr">
        <is>
          <t>SF5113427648119</t>
        </is>
      </c>
    </row>
    <row r="838">
      <c r="A838" t="inlineStr">
        <is>
          <t>'721436387</t>
        </is>
      </c>
      <c r="B838" t="inlineStr">
        <is>
          <t>SF5116616531961</t>
        </is>
      </c>
    </row>
    <row r="839">
      <c r="A839" t="inlineStr">
        <is>
          <t>'721436390</t>
        </is>
      </c>
      <c r="B839" t="inlineStr">
        <is>
          <t>SF5113427648640</t>
        </is>
      </c>
    </row>
    <row r="840">
      <c r="A840" t="inlineStr">
        <is>
          <t>'721436392</t>
        </is>
      </c>
      <c r="B840" t="inlineStr">
        <is>
          <t>SF5113427648977</t>
        </is>
      </c>
    </row>
    <row r="841">
      <c r="A841" t="inlineStr">
        <is>
          <t>'721436393</t>
        </is>
      </c>
      <c r="B841" t="inlineStr">
        <is>
          <t>SF5116616691198</t>
        </is>
      </c>
    </row>
    <row r="842">
      <c r="A842" t="inlineStr">
        <is>
          <t>'721437317</t>
        </is>
      </c>
      <c r="B842" t="inlineStr">
        <is>
          <t>SF5113427648959, SF5119115817723</t>
        </is>
      </c>
    </row>
    <row r="843">
      <c r="A843" t="inlineStr">
        <is>
          <t>'721437397</t>
        </is>
      </c>
      <c r="B843" t="inlineStr">
        <is>
          <t>SF5116616532929</t>
        </is>
      </c>
    </row>
    <row r="844">
      <c r="A844" t="inlineStr">
        <is>
          <t>'721438379</t>
        </is>
      </c>
      <c r="B844" t="inlineStr">
        <is>
          <t>SF5113427653094</t>
        </is>
      </c>
    </row>
    <row r="845">
      <c r="A845" t="inlineStr">
        <is>
          <t>'721438382</t>
        </is>
      </c>
      <c r="B845" t="inlineStr">
        <is>
          <t>SF5116616532868</t>
        </is>
      </c>
    </row>
    <row r="846">
      <c r="A846" t="inlineStr">
        <is>
          <t>'721439313</t>
        </is>
      </c>
      <c r="B846" t="inlineStr">
        <is>
          <t>SF5116616188230</t>
        </is>
      </c>
    </row>
    <row r="847">
      <c r="A847" t="inlineStr">
        <is>
          <t>'721440332</t>
        </is>
      </c>
      <c r="B847" t="inlineStr">
        <is>
          <t>SF5113427647521</t>
        </is>
      </c>
    </row>
    <row r="848">
      <c r="A848" t="inlineStr">
        <is>
          <t>'721440382</t>
        </is>
      </c>
      <c r="B848" t="inlineStr">
        <is>
          <t>SF5116616189447</t>
        </is>
      </c>
    </row>
    <row r="849">
      <c r="A849" t="inlineStr">
        <is>
          <t>'721441295</t>
        </is>
      </c>
      <c r="B849" t="inlineStr">
        <is>
          <t>SF5116616532540</t>
        </is>
      </c>
    </row>
    <row r="850">
      <c r="A850" t="inlineStr">
        <is>
          <t>'721441305</t>
        </is>
      </c>
      <c r="B850" t="inlineStr">
        <is>
          <t>SF5119115816852</t>
        </is>
      </c>
    </row>
    <row r="851">
      <c r="A851" t="inlineStr">
        <is>
          <t>'721441327</t>
        </is>
      </c>
      <c r="B851" t="inlineStr">
        <is>
          <t>SF5116616188724</t>
        </is>
      </c>
    </row>
    <row r="852">
      <c r="A852" t="inlineStr">
        <is>
          <t>'721441340</t>
        </is>
      </c>
      <c r="B852" t="inlineStr">
        <is>
          <t>SF5116616531943</t>
        </is>
      </c>
    </row>
    <row r="853">
      <c r="A853" t="inlineStr">
        <is>
          <t>'721441343</t>
        </is>
      </c>
      <c r="B853" t="inlineStr">
        <is>
          <t>SF5113427647751</t>
        </is>
      </c>
    </row>
    <row r="854">
      <c r="A854" t="inlineStr">
        <is>
          <t>'721441352</t>
        </is>
      </c>
      <c r="B854" t="inlineStr">
        <is>
          <t>SF5116616533166</t>
        </is>
      </c>
    </row>
    <row r="855">
      <c r="A855" t="inlineStr">
        <is>
          <t>'721441355</t>
        </is>
      </c>
      <c r="B855" t="inlineStr">
        <is>
          <t>SF5116616189183</t>
        </is>
      </c>
    </row>
    <row r="856">
      <c r="A856" t="inlineStr">
        <is>
          <t>'721442305</t>
        </is>
      </c>
      <c r="B856" t="inlineStr">
        <is>
          <t>SF5113427653225</t>
        </is>
      </c>
    </row>
    <row r="857">
      <c r="A857" t="inlineStr">
        <is>
          <t>'721442321</t>
        </is>
      </c>
      <c r="B857" t="inlineStr">
        <is>
          <t>SF5119018988211</t>
        </is>
      </c>
    </row>
    <row r="858">
      <c r="A858" t="inlineStr">
        <is>
          <t>'721442356</t>
        </is>
      </c>
      <c r="B858" t="inlineStr">
        <is>
          <t>SF5113427647673</t>
        </is>
      </c>
    </row>
    <row r="859">
      <c r="A859" t="inlineStr">
        <is>
          <t>'721442361</t>
        </is>
      </c>
      <c r="B859" t="inlineStr">
        <is>
          <t>SF5116616533606, SF5119018988405</t>
        </is>
      </c>
    </row>
    <row r="860">
      <c r="A860" t="inlineStr">
        <is>
          <t>'721443323</t>
        </is>
      </c>
      <c r="B860" t="inlineStr">
        <is>
          <t>SF5113427647830</t>
        </is>
      </c>
    </row>
    <row r="861">
      <c r="A861" t="inlineStr">
        <is>
          <t>'721443344</t>
        </is>
      </c>
      <c r="B861" t="inlineStr">
        <is>
          <t>SF5113427647691</t>
        </is>
      </c>
    </row>
    <row r="862">
      <c r="A862" t="inlineStr">
        <is>
          <t>'721443345</t>
        </is>
      </c>
      <c r="B862" t="inlineStr">
        <is>
          <t>SF5119018988769</t>
        </is>
      </c>
    </row>
    <row r="863">
      <c r="A863" t="inlineStr">
        <is>
          <t>'721443359</t>
        </is>
      </c>
      <c r="B863" t="inlineStr">
        <is>
          <t>SF5116616533397</t>
        </is>
      </c>
    </row>
    <row r="864">
      <c r="A864" t="inlineStr">
        <is>
          <t>'721443364</t>
        </is>
      </c>
      <c r="B864" t="inlineStr">
        <is>
          <t>SF5116616188188</t>
        </is>
      </c>
    </row>
    <row r="865">
      <c r="A865" t="inlineStr">
        <is>
          <t>'721443374</t>
        </is>
      </c>
      <c r="B865" t="inlineStr">
        <is>
          <t>SF5116616189429</t>
        </is>
      </c>
    </row>
    <row r="866">
      <c r="A866" t="inlineStr">
        <is>
          <t>'721444293</t>
        </is>
      </c>
      <c r="B866" t="inlineStr">
        <is>
          <t>SF5119018987783</t>
        </is>
      </c>
    </row>
    <row r="867">
      <c r="A867" t="inlineStr">
        <is>
          <t>'721444332</t>
        </is>
      </c>
      <c r="B867" t="inlineStr">
        <is>
          <t>SF5119018987747</t>
        </is>
      </c>
    </row>
    <row r="868">
      <c r="A868" t="inlineStr">
        <is>
          <t>'721444345</t>
        </is>
      </c>
      <c r="B868" t="inlineStr">
        <is>
          <t>SF5113427647346, SF5119115817520</t>
        </is>
      </c>
    </row>
    <row r="869">
      <c r="A869" t="inlineStr">
        <is>
          <t>'721444350</t>
        </is>
      </c>
      <c r="B869" t="inlineStr">
        <is>
          <t>SF5119115817732</t>
        </is>
      </c>
    </row>
    <row r="870">
      <c r="A870" t="inlineStr">
        <is>
          <t>'721444369</t>
        </is>
      </c>
      <c r="B870" t="inlineStr">
        <is>
          <t>SF5119115817318</t>
        </is>
      </c>
    </row>
    <row r="871">
      <c r="A871" t="inlineStr">
        <is>
          <t>'721444386</t>
        </is>
      </c>
      <c r="B871" t="inlineStr">
        <is>
          <t>SF5113427647415</t>
        </is>
      </c>
    </row>
    <row r="872">
      <c r="A872" t="inlineStr">
        <is>
          <t>'721445317</t>
        </is>
      </c>
      <c r="B872" t="inlineStr">
        <is>
          <t>SF5116616189235</t>
        </is>
      </c>
    </row>
    <row r="873">
      <c r="A873" t="inlineStr">
        <is>
          <t>'721445346</t>
        </is>
      </c>
      <c r="B873" t="inlineStr">
        <is>
          <t>SF5113427648534</t>
        </is>
      </c>
    </row>
    <row r="874">
      <c r="A874" t="inlineStr">
        <is>
          <t>'721445349</t>
        </is>
      </c>
      <c r="B874" t="inlineStr">
        <is>
          <t>SF5116616532416</t>
        </is>
      </c>
    </row>
    <row r="875">
      <c r="A875" t="inlineStr">
        <is>
          <t>'721445381</t>
        </is>
      </c>
      <c r="B875" t="inlineStr">
        <is>
          <t>SF5116616532170</t>
        </is>
      </c>
    </row>
    <row r="876">
      <c r="A876" t="inlineStr">
        <is>
          <t>'721446391</t>
        </is>
      </c>
      <c r="B876" t="inlineStr">
        <is>
          <t>SF5119115818093</t>
        </is>
      </c>
    </row>
    <row r="877">
      <c r="A877" t="inlineStr">
        <is>
          <t>'721446400</t>
        </is>
      </c>
      <c r="B877" t="inlineStr">
        <is>
          <t>SF5116616189040</t>
        </is>
      </c>
    </row>
    <row r="878">
      <c r="A878" t="inlineStr">
        <is>
          <t>'721447296</t>
        </is>
      </c>
      <c r="B878" t="inlineStr">
        <is>
          <t>SF5116616531721</t>
        </is>
      </c>
    </row>
    <row r="879">
      <c r="A879" t="inlineStr">
        <is>
          <t>'721447321</t>
        </is>
      </c>
      <c r="B879" t="inlineStr">
        <is>
          <t>SF5113427649187</t>
        </is>
      </c>
    </row>
    <row r="880">
      <c r="A880" t="inlineStr">
        <is>
          <t>'721447356</t>
        </is>
      </c>
      <c r="B880" t="inlineStr">
        <is>
          <t>SF5113427648164, SF5116616533014</t>
        </is>
      </c>
    </row>
    <row r="881">
      <c r="A881" t="inlineStr">
        <is>
          <t>'721447373</t>
        </is>
      </c>
      <c r="B881" t="inlineStr">
        <is>
          <t>SF5119115816995</t>
        </is>
      </c>
    </row>
    <row r="882">
      <c r="A882" t="inlineStr">
        <is>
          <t>'721448338</t>
        </is>
      </c>
      <c r="B882" t="inlineStr">
        <is>
          <t>SF5119018987465</t>
        </is>
      </c>
    </row>
    <row r="883">
      <c r="A883" t="inlineStr">
        <is>
          <t>'721448340</t>
        </is>
      </c>
      <c r="B883" t="inlineStr">
        <is>
          <t>SF5113427653659</t>
        </is>
      </c>
    </row>
    <row r="884">
      <c r="A884" t="inlineStr">
        <is>
          <t>'721448344</t>
        </is>
      </c>
      <c r="B884" t="inlineStr">
        <is>
          <t>SF5119115817820</t>
        </is>
      </c>
    </row>
    <row r="885">
      <c r="A885" t="inlineStr">
        <is>
          <t>'721448402</t>
        </is>
      </c>
      <c r="B885" t="inlineStr">
        <is>
          <t>SF5113427648146</t>
        </is>
      </c>
    </row>
    <row r="886">
      <c r="A886" t="inlineStr">
        <is>
          <t>'721449310</t>
        </is>
      </c>
      <c r="B886" t="inlineStr">
        <is>
          <t>SF5116616532365, SF5117718571062</t>
        </is>
      </c>
    </row>
    <row r="887">
      <c r="A887" t="inlineStr">
        <is>
          <t>'721449311</t>
        </is>
      </c>
      <c r="B887" t="inlineStr">
        <is>
          <t>SF5119018987378</t>
        </is>
      </c>
    </row>
    <row r="888">
      <c r="A888" t="inlineStr">
        <is>
          <t>'721449312</t>
        </is>
      </c>
      <c r="B888" t="inlineStr">
        <is>
          <t>SF5116616691107</t>
        </is>
      </c>
    </row>
    <row r="889">
      <c r="A889" t="inlineStr">
        <is>
          <t>'721449324</t>
        </is>
      </c>
      <c r="B889" t="inlineStr">
        <is>
          <t>SF5116616189110</t>
        </is>
      </c>
    </row>
    <row r="890">
      <c r="A890" t="inlineStr">
        <is>
          <t>'721449356</t>
        </is>
      </c>
      <c r="B890" t="inlineStr">
        <is>
          <t>SF5116616188346</t>
        </is>
      </c>
    </row>
    <row r="891">
      <c r="A891" t="inlineStr">
        <is>
          <t>'721449396</t>
        </is>
      </c>
      <c r="B891" t="inlineStr">
        <is>
          <t>SF5116616532310</t>
        </is>
      </c>
    </row>
    <row r="892">
      <c r="A892" t="inlineStr">
        <is>
          <t>'721452295</t>
        </is>
      </c>
      <c r="B892" t="inlineStr">
        <is>
          <t>SF5113427653746</t>
        </is>
      </c>
    </row>
    <row r="893">
      <c r="A893" t="inlineStr">
        <is>
          <t>'721452324</t>
        </is>
      </c>
      <c r="B893" t="inlineStr">
        <is>
          <t>SF5116616531864</t>
        </is>
      </c>
    </row>
    <row r="894">
      <c r="A894" t="inlineStr">
        <is>
          <t>'721452342</t>
        </is>
      </c>
      <c r="B894" t="inlineStr">
        <is>
          <t>SF5119018987835</t>
        </is>
      </c>
    </row>
    <row r="895">
      <c r="A895" t="inlineStr">
        <is>
          <t>'721452392</t>
        </is>
      </c>
      <c r="B895" t="inlineStr">
        <is>
          <t>SF5113427649062</t>
        </is>
      </c>
    </row>
    <row r="896">
      <c r="A896" t="inlineStr">
        <is>
          <t>'721454319</t>
        </is>
      </c>
      <c r="B896" t="inlineStr">
        <is>
          <t>SF5116616691222</t>
        </is>
      </c>
    </row>
    <row r="897">
      <c r="A897" t="inlineStr">
        <is>
          <t>'721480294</t>
        </is>
      </c>
      <c r="B897" t="inlineStr">
        <is>
          <t>SF5113427653100</t>
        </is>
      </c>
    </row>
    <row r="898">
      <c r="A898" t="inlineStr">
        <is>
          <t>'721480296</t>
        </is>
      </c>
      <c r="B898" t="inlineStr">
        <is>
          <t>SF5116616531998</t>
        </is>
      </c>
    </row>
    <row r="899">
      <c r="A899" t="inlineStr">
        <is>
          <t>'721483290</t>
        </is>
      </c>
      <c r="B899" t="inlineStr">
        <is>
          <t>SF5119018987941</t>
        </is>
      </c>
    </row>
    <row r="900">
      <c r="A900" t="inlineStr">
        <is>
          <t>'721487294</t>
        </is>
      </c>
      <c r="B900" t="inlineStr">
        <is>
          <t>SF5116616187951</t>
        </is>
      </c>
    </row>
    <row r="901">
      <c r="A901" t="inlineStr">
        <is>
          <t>'721489292</t>
        </is>
      </c>
      <c r="B901" t="inlineStr">
        <is>
          <t>SF5113427654104</t>
        </is>
      </c>
    </row>
    <row r="902">
      <c r="A902" t="inlineStr">
        <is>
          <t>'721490294</t>
        </is>
      </c>
      <c r="B902" t="inlineStr">
        <is>
          <t>SF5116616188715</t>
        </is>
      </c>
    </row>
    <row r="903">
      <c r="A903" t="inlineStr">
        <is>
          <t>'721491291</t>
        </is>
      </c>
      <c r="B903" t="inlineStr">
        <is>
          <t>SF5116616188258</t>
        </is>
      </c>
    </row>
    <row r="904">
      <c r="A904" t="inlineStr">
        <is>
          <t>'721494289</t>
        </is>
      </c>
      <c r="B904" t="inlineStr">
        <is>
          <t>SF5116616691152</t>
        </is>
      </c>
    </row>
    <row r="905">
      <c r="A905" t="inlineStr">
        <is>
          <t>'721497290</t>
        </is>
      </c>
      <c r="B905" t="inlineStr">
        <is>
          <t>SF5119115818020</t>
        </is>
      </c>
    </row>
    <row r="906">
      <c r="A906" t="inlineStr">
        <is>
          <t>'721497295</t>
        </is>
      </c>
      <c r="B906" t="inlineStr">
        <is>
          <t>SF5116616187863</t>
        </is>
      </c>
    </row>
    <row r="907">
      <c r="A907" t="inlineStr">
        <is>
          <t>'721499295</t>
        </is>
      </c>
      <c r="B907" t="inlineStr">
        <is>
          <t>SF5116616533227</t>
        </is>
      </c>
    </row>
    <row r="908">
      <c r="A908" t="inlineStr">
        <is>
          <t>'721499297</t>
        </is>
      </c>
      <c r="B908" t="inlineStr">
        <is>
          <t>SF5116616533536</t>
        </is>
      </c>
    </row>
    <row r="909">
      <c r="A909" t="inlineStr">
        <is>
          <t>'721502294</t>
        </is>
      </c>
      <c r="B909" t="inlineStr">
        <is>
          <t>SF5113427649035</t>
        </is>
      </c>
    </row>
    <row r="910">
      <c r="A910" t="inlineStr">
        <is>
          <t>'721512291</t>
        </is>
      </c>
      <c r="B910" t="inlineStr">
        <is>
          <t>SF5119018988714</t>
        </is>
      </c>
    </row>
    <row r="911">
      <c r="A911" t="inlineStr">
        <is>
          <t>'721512297</t>
        </is>
      </c>
      <c r="B911" t="inlineStr">
        <is>
          <t>SF5119115817645</t>
        </is>
      </c>
    </row>
    <row r="912">
      <c r="A912" t="inlineStr">
        <is>
          <t>'721512343</t>
        </is>
      </c>
      <c r="B912" t="inlineStr">
        <is>
          <t>SF5116616187748</t>
        </is>
      </c>
    </row>
    <row r="913">
      <c r="A913" t="inlineStr">
        <is>
          <t>'721512366</t>
        </is>
      </c>
      <c r="B913" t="inlineStr">
        <is>
          <t>SF5119115818039</t>
        </is>
      </c>
    </row>
    <row r="914">
      <c r="A914" t="inlineStr">
        <is>
          <t>'721512368</t>
        </is>
      </c>
      <c r="B914" t="inlineStr">
        <is>
          <t>SF5119115815724</t>
        </is>
      </c>
    </row>
    <row r="915">
      <c r="A915" t="inlineStr">
        <is>
          <t>'721512369</t>
        </is>
      </c>
      <c r="B915" t="inlineStr">
        <is>
          <t>SF5119115817866</t>
        </is>
      </c>
    </row>
    <row r="916">
      <c r="A916" t="inlineStr">
        <is>
          <t>'721512370</t>
        </is>
      </c>
      <c r="B916" t="inlineStr">
        <is>
          <t>SF5119115818057</t>
        </is>
      </c>
    </row>
    <row r="917">
      <c r="A917" t="inlineStr">
        <is>
          <t>'721512371</t>
        </is>
      </c>
      <c r="B917" t="inlineStr">
        <is>
          <t>SF5119018988080</t>
        </is>
      </c>
    </row>
    <row r="918">
      <c r="A918" t="inlineStr">
        <is>
          <t>'721512381</t>
        </is>
      </c>
      <c r="B918" t="inlineStr">
        <is>
          <t>SF5117916570605, SF5119115815858</t>
        </is>
      </c>
    </row>
    <row r="919">
      <c r="A919" t="inlineStr">
        <is>
          <t>'721512389</t>
        </is>
      </c>
      <c r="B919" t="inlineStr">
        <is>
          <t>SF5111128788450, SF5113427654510</t>
        </is>
      </c>
    </row>
    <row r="920">
      <c r="A920" t="inlineStr">
        <is>
          <t>'721512392</t>
        </is>
      </c>
      <c r="B920" t="inlineStr">
        <is>
          <t>SF5117916569233, SF5119115816931</t>
        </is>
      </c>
    </row>
    <row r="921">
      <c r="A921" t="inlineStr">
        <is>
          <t>'721514300</t>
        </is>
      </c>
      <c r="B921" t="inlineStr">
        <is>
          <t>SF5116616532692</t>
        </is>
      </c>
    </row>
    <row r="922">
      <c r="A922" t="inlineStr">
        <is>
          <t>'721514309</t>
        </is>
      </c>
      <c r="B922" t="inlineStr">
        <is>
          <t>SF5116616188585</t>
        </is>
      </c>
    </row>
    <row r="923">
      <c r="A923" t="inlineStr">
        <is>
          <t>'721514395</t>
        </is>
      </c>
      <c r="B923" t="inlineStr">
        <is>
          <t>SF5117719548707, SF5119018988566</t>
        </is>
      </c>
    </row>
    <row r="924">
      <c r="A924" t="inlineStr">
        <is>
          <t>'721514403</t>
        </is>
      </c>
      <c r="B924" t="inlineStr">
        <is>
          <t>SF5111128789446, SF5113427653677</t>
        </is>
      </c>
    </row>
    <row r="925">
      <c r="A925" t="inlineStr">
        <is>
          <t>'721515338</t>
        </is>
      </c>
      <c r="B925" t="inlineStr">
        <is>
          <t>SF5113427648437, SF5117718571114</t>
        </is>
      </c>
    </row>
    <row r="926">
      <c r="A926" t="inlineStr">
        <is>
          <t>'721515350</t>
        </is>
      </c>
      <c r="B926" t="inlineStr">
        <is>
          <t>SF5117719552148, SF5119018988936</t>
        </is>
      </c>
    </row>
    <row r="927">
      <c r="A927" t="inlineStr">
        <is>
          <t>'721515369</t>
        </is>
      </c>
      <c r="B927" t="inlineStr">
        <is>
          <t>SF5113427648155</t>
        </is>
      </c>
    </row>
    <row r="928">
      <c r="A928" t="inlineStr">
        <is>
          <t>'721515370</t>
        </is>
      </c>
      <c r="B928" t="inlineStr">
        <is>
          <t>SF5113427654070, SF5119018987623</t>
        </is>
      </c>
    </row>
    <row r="929">
      <c r="A929" t="inlineStr">
        <is>
          <t>'721515371</t>
        </is>
      </c>
      <c r="B929" t="inlineStr">
        <is>
          <t>SF5113427647919, SF5119115816331</t>
        </is>
      </c>
    </row>
    <row r="930">
      <c r="A930" t="inlineStr">
        <is>
          <t>'721515372</t>
        </is>
      </c>
      <c r="B930" t="inlineStr">
        <is>
          <t>SF5119115816940</t>
        </is>
      </c>
    </row>
    <row r="931">
      <c r="A931" t="inlineStr">
        <is>
          <t>'721515378</t>
        </is>
      </c>
      <c r="B931" t="inlineStr">
        <is>
          <t>SF5113427653270</t>
        </is>
      </c>
    </row>
    <row r="932">
      <c r="A932" t="inlineStr">
        <is>
          <t>'721516293</t>
        </is>
      </c>
      <c r="B932" t="inlineStr">
        <is>
          <t>SF5119018988478</t>
        </is>
      </c>
    </row>
    <row r="933">
      <c r="A933" t="inlineStr">
        <is>
          <t>'721516305</t>
        </is>
      </c>
      <c r="B933" t="inlineStr">
        <is>
          <t>SF5116616533184</t>
        </is>
      </c>
    </row>
    <row r="934">
      <c r="A934" t="inlineStr">
        <is>
          <t>'721516329</t>
        </is>
      </c>
      <c r="B934" t="inlineStr">
        <is>
          <t>SF5116616691277</t>
        </is>
      </c>
    </row>
    <row r="935">
      <c r="A935" t="inlineStr">
        <is>
          <t>'721516362</t>
        </is>
      </c>
      <c r="B935" t="inlineStr">
        <is>
          <t>SF5119115816049</t>
        </is>
      </c>
    </row>
    <row r="936">
      <c r="A936" t="inlineStr">
        <is>
          <t>'721516363</t>
        </is>
      </c>
      <c r="B936" t="inlineStr">
        <is>
          <t>SF5116616189332</t>
        </is>
      </c>
    </row>
    <row r="937">
      <c r="A937" t="inlineStr">
        <is>
          <t>'721516370</t>
        </is>
      </c>
      <c r="B937" t="inlineStr">
        <is>
          <t>SF5116616531730</t>
        </is>
      </c>
    </row>
    <row r="938">
      <c r="A938" t="inlineStr">
        <is>
          <t>'721516372</t>
        </is>
      </c>
      <c r="B938" t="inlineStr">
        <is>
          <t>SF5116616188830</t>
        </is>
      </c>
    </row>
    <row r="939">
      <c r="A939" t="inlineStr">
        <is>
          <t>'721516382</t>
        </is>
      </c>
      <c r="B939" t="inlineStr">
        <is>
          <t>SF5119115817672</t>
        </is>
      </c>
    </row>
    <row r="940">
      <c r="A940" t="inlineStr">
        <is>
          <t>'721516393</t>
        </is>
      </c>
      <c r="B940" t="inlineStr">
        <is>
          <t>SF5111128788114, SF5113427652972</t>
        </is>
      </c>
    </row>
    <row r="941">
      <c r="A941" t="inlineStr">
        <is>
          <t>'721517337</t>
        </is>
      </c>
      <c r="B941" t="inlineStr">
        <is>
          <t>SF5113427649132</t>
        </is>
      </c>
    </row>
    <row r="942">
      <c r="A942" t="inlineStr">
        <is>
          <t>'721517342</t>
        </is>
      </c>
      <c r="B942" t="inlineStr">
        <is>
          <t>SF5113427648807</t>
        </is>
      </c>
    </row>
    <row r="943">
      <c r="A943" t="inlineStr">
        <is>
          <t>'721517357</t>
        </is>
      </c>
      <c r="B943" t="inlineStr">
        <is>
          <t>SF5116616187979</t>
        </is>
      </c>
    </row>
    <row r="944">
      <c r="A944" t="inlineStr">
        <is>
          <t>'721517358</t>
        </is>
      </c>
      <c r="B944" t="inlineStr">
        <is>
          <t>SF5116616532161</t>
        </is>
      </c>
    </row>
    <row r="945">
      <c r="A945" t="inlineStr">
        <is>
          <t>'721517367</t>
        </is>
      </c>
      <c r="B945" t="inlineStr">
        <is>
          <t>SF5119018987932</t>
        </is>
      </c>
    </row>
    <row r="946">
      <c r="A946" t="inlineStr">
        <is>
          <t>'721517368</t>
        </is>
      </c>
      <c r="B946" t="inlineStr">
        <is>
          <t>SF5119115815946</t>
        </is>
      </c>
    </row>
    <row r="947">
      <c r="A947" t="inlineStr">
        <is>
          <t>'721517369</t>
        </is>
      </c>
      <c r="B947" t="inlineStr">
        <is>
          <t>SF5113427654131</t>
        </is>
      </c>
    </row>
    <row r="948">
      <c r="A948" t="inlineStr">
        <is>
          <t>'721517375</t>
        </is>
      </c>
      <c r="B948" t="inlineStr">
        <is>
          <t>SF5116616531952</t>
        </is>
      </c>
    </row>
    <row r="949">
      <c r="A949" t="inlineStr">
        <is>
          <t>'721517393</t>
        </is>
      </c>
      <c r="B949" t="inlineStr">
        <is>
          <t>SF5111128789030, SF5113427653313</t>
        </is>
      </c>
    </row>
    <row r="950">
      <c r="A950" t="inlineStr">
        <is>
          <t>'721517395</t>
        </is>
      </c>
      <c r="B950" t="inlineStr">
        <is>
          <t>SF5117916570040</t>
        </is>
      </c>
    </row>
    <row r="951">
      <c r="A951" t="inlineStr">
        <is>
          <t>'721517401</t>
        </is>
      </c>
      <c r="B951" t="inlineStr">
        <is>
          <t>SF5118416341679</t>
        </is>
      </c>
    </row>
    <row r="952">
      <c r="A952" t="inlineStr">
        <is>
          <t>'721518292</t>
        </is>
      </c>
      <c r="B952" t="inlineStr">
        <is>
          <t>SF5116616533069</t>
        </is>
      </c>
    </row>
    <row r="953">
      <c r="A953" t="inlineStr">
        <is>
          <t>'721518308</t>
        </is>
      </c>
      <c r="B953" t="inlineStr">
        <is>
          <t>SF5119115816368</t>
        </is>
      </c>
    </row>
    <row r="954">
      <c r="A954" t="inlineStr">
        <is>
          <t>'721518335</t>
        </is>
      </c>
      <c r="B954" t="inlineStr">
        <is>
          <t>SF5116616533306</t>
        </is>
      </c>
    </row>
    <row r="955">
      <c r="A955" t="inlineStr">
        <is>
          <t>'721518370</t>
        </is>
      </c>
      <c r="B955" t="inlineStr">
        <is>
          <t>SF5116616532831</t>
        </is>
      </c>
    </row>
    <row r="956">
      <c r="A956" t="inlineStr">
        <is>
          <t>'721518383</t>
        </is>
      </c>
      <c r="B956" t="inlineStr">
        <is>
          <t>SF5119115815894</t>
        </is>
      </c>
    </row>
    <row r="957">
      <c r="A957" t="inlineStr">
        <is>
          <t>'721518384</t>
        </is>
      </c>
      <c r="B957" t="inlineStr">
        <is>
          <t>SF5117719548692, SF5119018988469</t>
        </is>
      </c>
    </row>
    <row r="958">
      <c r="A958" t="inlineStr">
        <is>
          <t>'721518386</t>
        </is>
      </c>
      <c r="B958" t="inlineStr">
        <is>
          <t>SF5117719550634, SF5119018988681</t>
        </is>
      </c>
    </row>
    <row r="959">
      <c r="A959" t="inlineStr">
        <is>
          <t>'721519289</t>
        </is>
      </c>
      <c r="B959" t="inlineStr">
        <is>
          <t>SF5116616533554</t>
        </is>
      </c>
    </row>
    <row r="960">
      <c r="A960" t="inlineStr">
        <is>
          <t>'721519295</t>
        </is>
      </c>
      <c r="B960" t="inlineStr">
        <is>
          <t>SF5116616188673</t>
        </is>
      </c>
    </row>
    <row r="961">
      <c r="A961" t="inlineStr">
        <is>
          <t>'721519344</t>
        </is>
      </c>
      <c r="B961" t="inlineStr">
        <is>
          <t>SF5116616189553</t>
        </is>
      </c>
    </row>
    <row r="962">
      <c r="A962" t="inlineStr">
        <is>
          <t>'721519349</t>
        </is>
      </c>
      <c r="B962" t="inlineStr">
        <is>
          <t>SF5116616532674</t>
        </is>
      </c>
    </row>
    <row r="963">
      <c r="A963" t="inlineStr">
        <is>
          <t>'721519366</t>
        </is>
      </c>
      <c r="B963" t="inlineStr">
        <is>
          <t>SF5113427653904</t>
        </is>
      </c>
    </row>
    <row r="964">
      <c r="A964" t="inlineStr">
        <is>
          <t>'721519373</t>
        </is>
      </c>
      <c r="B964" t="inlineStr">
        <is>
          <t>SF5119115815830</t>
        </is>
      </c>
    </row>
    <row r="965">
      <c r="A965" t="inlineStr">
        <is>
          <t>'721520312</t>
        </is>
      </c>
      <c r="B965" t="inlineStr">
        <is>
          <t>SF5113427647760, SF5116616691019</t>
        </is>
      </c>
    </row>
    <row r="966">
      <c r="A966" t="inlineStr">
        <is>
          <t>'721520320</t>
        </is>
      </c>
      <c r="B966" t="inlineStr">
        <is>
          <t>SF5119018988441</t>
        </is>
      </c>
    </row>
    <row r="967">
      <c r="A967" t="inlineStr">
        <is>
          <t>'721520339</t>
        </is>
      </c>
      <c r="B967" t="inlineStr">
        <is>
          <t>SF5117718571026</t>
        </is>
      </c>
    </row>
    <row r="968">
      <c r="A968" t="inlineStr">
        <is>
          <t>'721520340</t>
        </is>
      </c>
      <c r="B968" t="inlineStr">
        <is>
          <t>SF5113427647724</t>
        </is>
      </c>
    </row>
    <row r="969">
      <c r="A969" t="inlineStr">
        <is>
          <t>'721520360</t>
        </is>
      </c>
      <c r="B969" t="inlineStr">
        <is>
          <t>SF5116616188751</t>
        </is>
      </c>
    </row>
    <row r="970">
      <c r="A970" t="inlineStr">
        <is>
          <t>'721520363</t>
        </is>
      </c>
      <c r="B970" t="inlineStr">
        <is>
          <t>SF5116616531758</t>
        </is>
      </c>
    </row>
    <row r="971">
      <c r="A971" t="inlineStr">
        <is>
          <t>'721520365</t>
        </is>
      </c>
      <c r="B971" t="inlineStr">
        <is>
          <t>SF5113427654380</t>
        </is>
      </c>
    </row>
    <row r="972">
      <c r="A972" t="inlineStr">
        <is>
          <t>'721520366</t>
        </is>
      </c>
      <c r="B972" t="inlineStr">
        <is>
          <t>SF5119115817239</t>
        </is>
      </c>
    </row>
    <row r="973">
      <c r="A973" t="inlineStr">
        <is>
          <t>'721520367</t>
        </is>
      </c>
      <c r="B973" t="inlineStr">
        <is>
          <t>SF5119018988044</t>
        </is>
      </c>
    </row>
    <row r="974">
      <c r="A974" t="inlineStr">
        <is>
          <t>'721520394</t>
        </is>
      </c>
      <c r="B974" t="inlineStr">
        <is>
          <t>SF5117719550307, SF5119018987474</t>
        </is>
      </c>
    </row>
    <row r="975">
      <c r="A975" t="inlineStr">
        <is>
          <t>'721521372</t>
        </is>
      </c>
      <c r="B975" t="inlineStr">
        <is>
          <t>SF5119115815991</t>
        </is>
      </c>
    </row>
    <row r="976">
      <c r="A976" t="inlineStr">
        <is>
          <t>'721521387</t>
        </is>
      </c>
      <c r="B976" t="inlineStr">
        <is>
          <t>SF5116616532134</t>
        </is>
      </c>
    </row>
    <row r="977">
      <c r="A977" t="inlineStr">
        <is>
          <t>'721521389</t>
        </is>
      </c>
      <c r="B977" t="inlineStr">
        <is>
          <t>SF5113427647812</t>
        </is>
      </c>
    </row>
    <row r="978">
      <c r="A978" t="inlineStr">
        <is>
          <t>'721521394</t>
        </is>
      </c>
      <c r="B978" t="inlineStr">
        <is>
          <t>SF5119018987899</t>
        </is>
      </c>
    </row>
    <row r="979">
      <c r="A979" t="inlineStr">
        <is>
          <t>'721521397</t>
        </is>
      </c>
      <c r="B979" t="inlineStr">
        <is>
          <t>SF5111128787147, SF5113427652927</t>
        </is>
      </c>
    </row>
    <row r="980">
      <c r="A980" t="inlineStr">
        <is>
          <t>'721521401</t>
        </is>
      </c>
      <c r="B980" t="inlineStr">
        <is>
          <t>SF5111128786849, SF5113427653889</t>
        </is>
      </c>
    </row>
    <row r="981">
      <c r="A981" t="inlineStr">
        <is>
          <t>'721522291</t>
        </is>
      </c>
      <c r="B981" t="inlineStr">
        <is>
          <t>SF5119115815706</t>
        </is>
      </c>
    </row>
    <row r="982">
      <c r="A982" t="inlineStr">
        <is>
          <t>'721522346</t>
        </is>
      </c>
      <c r="B982" t="inlineStr">
        <is>
          <t>SF5113427648834</t>
        </is>
      </c>
    </row>
    <row r="983">
      <c r="A983" t="inlineStr">
        <is>
          <t>'721522374</t>
        </is>
      </c>
      <c r="B983" t="inlineStr">
        <is>
          <t>SF5116616189077</t>
        </is>
      </c>
    </row>
    <row r="984">
      <c r="A984" t="inlineStr">
        <is>
          <t>'721522382</t>
        </is>
      </c>
      <c r="B984" t="inlineStr">
        <is>
          <t>SF5113427648455</t>
        </is>
      </c>
    </row>
    <row r="985">
      <c r="A985" t="inlineStr">
        <is>
          <t>'721522387</t>
        </is>
      </c>
      <c r="B985" t="inlineStr">
        <is>
          <t>SF5116616188090</t>
        </is>
      </c>
    </row>
    <row r="986">
      <c r="A986" t="inlineStr">
        <is>
          <t>'721522396</t>
        </is>
      </c>
      <c r="B986" t="inlineStr">
        <is>
          <t>SF5111128788026, SF5113427653507</t>
        </is>
      </c>
    </row>
    <row r="987">
      <c r="A987" t="inlineStr">
        <is>
          <t>'721522404</t>
        </is>
      </c>
      <c r="B987" t="inlineStr">
        <is>
          <t>SF5116616188955</t>
        </is>
      </c>
    </row>
    <row r="988">
      <c r="A988" t="inlineStr">
        <is>
          <t>'721522413</t>
        </is>
      </c>
      <c r="B988" t="inlineStr">
        <is>
          <t>SF5117916570156, SF5119115815760</t>
        </is>
      </c>
    </row>
    <row r="989">
      <c r="A989" t="inlineStr">
        <is>
          <t>'721522415</t>
        </is>
      </c>
      <c r="B989" t="inlineStr">
        <is>
          <t>SF5117719548743, SF5119018987641</t>
        </is>
      </c>
    </row>
    <row r="990">
      <c r="A990" t="inlineStr">
        <is>
          <t>'721522421</t>
        </is>
      </c>
      <c r="B990" t="inlineStr">
        <is>
          <t>SF5117916569190, SF5119115817248</t>
        </is>
      </c>
    </row>
    <row r="991">
      <c r="A991" t="inlineStr">
        <is>
          <t>'721523289</t>
        </is>
      </c>
      <c r="B991" t="inlineStr">
        <is>
          <t>SF5116616187845</t>
        </is>
      </c>
    </row>
    <row r="992">
      <c r="A992" t="inlineStr">
        <is>
          <t>'721523313</t>
        </is>
      </c>
      <c r="B992" t="inlineStr">
        <is>
          <t>SF5113427647885</t>
        </is>
      </c>
    </row>
    <row r="993">
      <c r="A993" t="inlineStr">
        <is>
          <t>'721523378</t>
        </is>
      </c>
      <c r="B993" t="inlineStr">
        <is>
          <t>SF5116616188594</t>
        </is>
      </c>
    </row>
    <row r="994">
      <c r="A994" t="inlineStr">
        <is>
          <t>'721523388</t>
        </is>
      </c>
      <c r="B994" t="inlineStr">
        <is>
          <t>SF5117719557893, SF5119018988575</t>
        </is>
      </c>
    </row>
    <row r="995">
      <c r="A995" t="inlineStr">
        <is>
          <t>'721523396</t>
        </is>
      </c>
      <c r="B995" t="inlineStr">
        <is>
          <t>SF5119018987880</t>
        </is>
      </c>
    </row>
    <row r="996">
      <c r="A996" t="inlineStr">
        <is>
          <t>'721523398</t>
        </is>
      </c>
      <c r="B996" t="inlineStr">
        <is>
          <t>SF5117916569181, SF5119115815919</t>
        </is>
      </c>
    </row>
    <row r="997">
      <c r="A997" t="inlineStr">
        <is>
          <t>'721523402</t>
        </is>
      </c>
      <c r="B997" t="inlineStr">
        <is>
          <t>SF5117916570101, SF5119115816686</t>
        </is>
      </c>
    </row>
    <row r="998">
      <c r="A998" t="inlineStr">
        <is>
          <t>'721524312</t>
        </is>
      </c>
      <c r="B998" t="inlineStr">
        <is>
          <t>SF5116616187836</t>
        </is>
      </c>
    </row>
    <row r="999">
      <c r="A999" t="inlineStr">
        <is>
          <t>'721524318</t>
        </is>
      </c>
      <c r="B999" t="inlineStr">
        <is>
          <t>SF5113427654399</t>
        </is>
      </c>
    </row>
    <row r="1000">
      <c r="A1000" t="inlineStr">
        <is>
          <t>'721524339</t>
        </is>
      </c>
      <c r="B1000" t="inlineStr">
        <is>
          <t>SF5116616532383, SF5119115817381</t>
        </is>
      </c>
    </row>
    <row r="1001">
      <c r="A1001" t="inlineStr">
        <is>
          <t>'721524345</t>
        </is>
      </c>
      <c r="B1001" t="inlineStr">
        <is>
          <t>SF5119018988927</t>
        </is>
      </c>
    </row>
    <row r="1002">
      <c r="A1002" t="inlineStr">
        <is>
          <t>'721524352</t>
        </is>
      </c>
      <c r="B1002" t="inlineStr">
        <is>
          <t>SF5113427648261</t>
        </is>
      </c>
    </row>
    <row r="1003">
      <c r="A1003" t="inlineStr">
        <is>
          <t>'721524359</t>
        </is>
      </c>
      <c r="B1003" t="inlineStr">
        <is>
          <t>SF5117916569145, SF5119115816525</t>
        </is>
      </c>
    </row>
    <row r="1004">
      <c r="A1004" t="inlineStr">
        <is>
          <t>'721524375</t>
        </is>
      </c>
      <c r="B1004" t="inlineStr">
        <is>
          <t>SF5113427648003</t>
        </is>
      </c>
    </row>
    <row r="1005">
      <c r="A1005" t="inlineStr">
        <is>
          <t>'721524380</t>
        </is>
      </c>
      <c r="B1005" t="inlineStr">
        <is>
          <t>SF5119018988248</t>
        </is>
      </c>
    </row>
    <row r="1006">
      <c r="A1006" t="inlineStr">
        <is>
          <t>'721525289</t>
        </is>
      </c>
      <c r="B1006" t="inlineStr">
        <is>
          <t>SF5113427654201</t>
        </is>
      </c>
    </row>
    <row r="1007">
      <c r="A1007" t="inlineStr">
        <is>
          <t>'721525291</t>
        </is>
      </c>
      <c r="B1007" t="inlineStr">
        <is>
          <t>SF5113427648243</t>
        </is>
      </c>
    </row>
    <row r="1008">
      <c r="A1008" t="inlineStr">
        <is>
          <t>'721525340</t>
        </is>
      </c>
      <c r="B1008" t="inlineStr">
        <is>
          <t>SF5116616188124</t>
        </is>
      </c>
    </row>
    <row r="1009">
      <c r="A1009" t="inlineStr">
        <is>
          <t>'721525382</t>
        </is>
      </c>
      <c r="B1009" t="inlineStr">
        <is>
          <t>SF5116616188424</t>
        </is>
      </c>
    </row>
    <row r="1010">
      <c r="A1010" t="inlineStr">
        <is>
          <t>'721525397</t>
        </is>
      </c>
      <c r="B1010" t="inlineStr">
        <is>
          <t>SF5113427654034</t>
        </is>
      </c>
    </row>
    <row r="1011">
      <c r="A1011" t="inlineStr">
        <is>
          <t>'721525415</t>
        </is>
      </c>
      <c r="B1011" t="inlineStr">
        <is>
          <t>SF5117916570978, SF5119115816677</t>
        </is>
      </c>
    </row>
    <row r="1012">
      <c r="A1012" t="inlineStr">
        <is>
          <t>'721525418</t>
        </is>
      </c>
      <c r="B1012" t="inlineStr">
        <is>
          <t>SF5113427653913</t>
        </is>
      </c>
    </row>
    <row r="1013">
      <c r="A1013" t="inlineStr">
        <is>
          <t>'721525420</t>
        </is>
      </c>
      <c r="B1013" t="inlineStr">
        <is>
          <t>SF5113427654292</t>
        </is>
      </c>
    </row>
    <row r="1014">
      <c r="A1014" t="inlineStr">
        <is>
          <t>'721525424</t>
        </is>
      </c>
      <c r="B1014" t="inlineStr">
        <is>
          <t>SF5111128786973, SF5113427648386</t>
        </is>
      </c>
    </row>
    <row r="1015">
      <c r="A1015" t="inlineStr">
        <is>
          <t>'721525425</t>
        </is>
      </c>
      <c r="B1015" t="inlineStr">
        <is>
          <t>SF5117916569297, SF5119115815964</t>
        </is>
      </c>
    </row>
    <row r="1016">
      <c r="A1016" t="inlineStr">
        <is>
          <t>'721526296</t>
        </is>
      </c>
      <c r="B1016" t="inlineStr">
        <is>
          <t>SF5116616189226</t>
        </is>
      </c>
    </row>
    <row r="1017">
      <c r="A1017" t="inlineStr">
        <is>
          <t>'721526348</t>
        </is>
      </c>
      <c r="B1017" t="inlineStr">
        <is>
          <t>SF5119115817750</t>
        </is>
      </c>
    </row>
    <row r="1018">
      <c r="A1018" t="inlineStr">
        <is>
          <t>'721526387</t>
        </is>
      </c>
      <c r="B1018" t="inlineStr">
        <is>
          <t>SF5117916570332, SF5119115816507</t>
        </is>
      </c>
    </row>
    <row r="1019">
      <c r="A1019" t="inlineStr">
        <is>
          <t>'721526397</t>
        </is>
      </c>
      <c r="B1019" t="inlineStr">
        <is>
          <t>SF5116616533111, SF5119018988363</t>
        </is>
      </c>
    </row>
    <row r="1020">
      <c r="A1020" t="inlineStr">
        <is>
          <t>'721526404</t>
        </is>
      </c>
      <c r="B1020" t="inlineStr">
        <is>
          <t>SF5117916569163, SF5119115816094</t>
        </is>
      </c>
    </row>
    <row r="1021">
      <c r="A1021" t="inlineStr">
        <is>
          <t>'721527297</t>
        </is>
      </c>
      <c r="B1021" t="inlineStr">
        <is>
          <t>SF5119018988787</t>
        </is>
      </c>
    </row>
    <row r="1022">
      <c r="A1022" t="inlineStr">
        <is>
          <t>'721527304</t>
        </is>
      </c>
      <c r="B1022" t="inlineStr">
        <is>
          <t>SF5119115818145</t>
        </is>
      </c>
    </row>
    <row r="1023">
      <c r="A1023" t="inlineStr">
        <is>
          <t>'721527306</t>
        </is>
      </c>
      <c r="B1023" t="inlineStr">
        <is>
          <t>SF5116616532470</t>
        </is>
      </c>
    </row>
    <row r="1024">
      <c r="A1024" t="inlineStr">
        <is>
          <t>'721527333</t>
        </is>
      </c>
      <c r="B1024" t="inlineStr">
        <is>
          <t>SF5119115817309</t>
        </is>
      </c>
    </row>
    <row r="1025">
      <c r="A1025" t="inlineStr">
        <is>
          <t>'721527349</t>
        </is>
      </c>
      <c r="B1025" t="inlineStr">
        <is>
          <t>SF5116616533041</t>
        </is>
      </c>
    </row>
    <row r="1026">
      <c r="A1026" t="inlineStr">
        <is>
          <t>'721527359</t>
        </is>
      </c>
      <c r="B1026" t="inlineStr">
        <is>
          <t>SF5119018988909</t>
        </is>
      </c>
    </row>
    <row r="1027">
      <c r="A1027" t="inlineStr">
        <is>
          <t>'721527368</t>
        </is>
      </c>
      <c r="B1027" t="inlineStr">
        <is>
          <t>SF5119018988796</t>
        </is>
      </c>
    </row>
    <row r="1028">
      <c r="A1028" t="inlineStr">
        <is>
          <t>'721527369</t>
        </is>
      </c>
      <c r="B1028" t="inlineStr">
        <is>
          <t>SF5113427648491</t>
        </is>
      </c>
    </row>
    <row r="1029">
      <c r="A1029" t="inlineStr">
        <is>
          <t>'721527374</t>
        </is>
      </c>
      <c r="B1029" t="inlineStr">
        <is>
          <t>SF5117916569303, SF5119115816298</t>
        </is>
      </c>
    </row>
    <row r="1030">
      <c r="A1030" t="inlineStr">
        <is>
          <t>'721527377</t>
        </is>
      </c>
      <c r="B1030" t="inlineStr">
        <is>
          <t>SF5119115818075</t>
        </is>
      </c>
    </row>
    <row r="1031">
      <c r="A1031" t="inlineStr">
        <is>
          <t>'721527382</t>
        </is>
      </c>
      <c r="B1031" t="inlineStr">
        <is>
          <t>SF5116616189387</t>
        </is>
      </c>
    </row>
    <row r="1032">
      <c r="A1032" t="inlineStr">
        <is>
          <t>'721528307</t>
        </is>
      </c>
      <c r="B1032" t="inlineStr">
        <is>
          <t>SF5117718571099</t>
        </is>
      </c>
    </row>
    <row r="1033">
      <c r="A1033" t="inlineStr">
        <is>
          <t>'721528308</t>
        </is>
      </c>
      <c r="B1033" t="inlineStr">
        <is>
          <t>SF5116616188706</t>
        </is>
      </c>
    </row>
    <row r="1034">
      <c r="A1034" t="inlineStr">
        <is>
          <t>'721528310</t>
        </is>
      </c>
      <c r="B1034" t="inlineStr">
        <is>
          <t>SF5116616189369</t>
        </is>
      </c>
    </row>
    <row r="1035">
      <c r="A1035" t="inlineStr">
        <is>
          <t>'721528317</t>
        </is>
      </c>
      <c r="B1035" t="inlineStr">
        <is>
          <t>SF5113427648904</t>
        </is>
      </c>
    </row>
    <row r="1036">
      <c r="A1036" t="inlineStr">
        <is>
          <t>'721528339</t>
        </is>
      </c>
      <c r="B1036" t="inlineStr">
        <is>
          <t>SF5116616691204</t>
        </is>
      </c>
    </row>
    <row r="1037">
      <c r="A1037" t="inlineStr">
        <is>
          <t>'721528357</t>
        </is>
      </c>
      <c r="B1037" t="inlineStr">
        <is>
          <t>SF5119115817909</t>
        </is>
      </c>
    </row>
    <row r="1038">
      <c r="A1038" t="inlineStr">
        <is>
          <t>'721528364</t>
        </is>
      </c>
      <c r="B1038" t="inlineStr">
        <is>
          <t>SF5116616532974</t>
        </is>
      </c>
    </row>
    <row r="1039">
      <c r="A1039" t="inlineStr">
        <is>
          <t>'721528377</t>
        </is>
      </c>
      <c r="B1039" t="inlineStr">
        <is>
          <t>SF5116616531776, SF5119115817557</t>
        </is>
      </c>
    </row>
    <row r="1040">
      <c r="A1040" t="inlineStr">
        <is>
          <t>'721528390</t>
        </is>
      </c>
      <c r="B1040" t="inlineStr">
        <is>
          <t>SF5119018987696</t>
        </is>
      </c>
    </row>
    <row r="1041">
      <c r="A1041" t="inlineStr">
        <is>
          <t>'721528399</t>
        </is>
      </c>
      <c r="B1041" t="inlineStr">
        <is>
          <t>SF5113427654501</t>
        </is>
      </c>
    </row>
    <row r="1042">
      <c r="A1042" t="inlineStr">
        <is>
          <t>'721528408</t>
        </is>
      </c>
      <c r="B1042" t="inlineStr">
        <is>
          <t>SF5111128786900, SF5111128786928, SF5113427648913</t>
        </is>
      </c>
    </row>
    <row r="1043">
      <c r="A1043" t="inlineStr">
        <is>
          <t>'721528413</t>
        </is>
      </c>
      <c r="B1043" t="inlineStr">
        <is>
          <t>SF5117916569358, SF5119115817026</t>
        </is>
      </c>
    </row>
    <row r="1044">
      <c r="A1044" t="inlineStr">
        <is>
          <t>'721528420</t>
        </is>
      </c>
      <c r="B1044" t="inlineStr">
        <is>
          <t>SF5111128786964, SF5113427654043</t>
        </is>
      </c>
    </row>
    <row r="1045">
      <c r="A1045" t="inlineStr">
        <is>
          <t>'721529331</t>
        </is>
      </c>
      <c r="B1045" t="inlineStr">
        <is>
          <t>SF5116616691310</t>
        </is>
      </c>
    </row>
    <row r="1046">
      <c r="A1046" t="inlineStr">
        <is>
          <t>'721529361</t>
        </is>
      </c>
      <c r="B1046" t="inlineStr">
        <is>
          <t>SF5119115817105</t>
        </is>
      </c>
    </row>
    <row r="1047">
      <c r="A1047" t="inlineStr">
        <is>
          <t>'721529369</t>
        </is>
      </c>
      <c r="B1047" t="inlineStr">
        <is>
          <t>SF5119115817293</t>
        </is>
      </c>
    </row>
    <row r="1048">
      <c r="A1048" t="inlineStr">
        <is>
          <t>'721529371</t>
        </is>
      </c>
      <c r="B1048" t="inlineStr">
        <is>
          <t>SF5116616532610</t>
        </is>
      </c>
    </row>
    <row r="1049">
      <c r="A1049" t="inlineStr">
        <is>
          <t>'721529388</t>
        </is>
      </c>
      <c r="B1049" t="inlineStr">
        <is>
          <t>SF5113427653931, SF5116616533236</t>
        </is>
      </c>
    </row>
    <row r="1050">
      <c r="A1050" t="inlineStr">
        <is>
          <t>'721529394</t>
        </is>
      </c>
      <c r="B1050" t="inlineStr">
        <is>
          <t>SF5119018988705</t>
        </is>
      </c>
    </row>
    <row r="1051">
      <c r="A1051" t="inlineStr">
        <is>
          <t>'721529397</t>
        </is>
      </c>
      <c r="B1051" t="inlineStr">
        <is>
          <t>SF5119115817802</t>
        </is>
      </c>
    </row>
    <row r="1052">
      <c r="A1052" t="inlineStr">
        <is>
          <t>'721529405</t>
        </is>
      </c>
      <c r="B1052" t="inlineStr">
        <is>
          <t>SF5119115816003</t>
        </is>
      </c>
    </row>
    <row r="1053">
      <c r="A1053" t="inlineStr">
        <is>
          <t>'721529410</t>
        </is>
      </c>
      <c r="B1053" t="inlineStr">
        <is>
          <t>SF5117916569436, SF5119115816446</t>
        </is>
      </c>
    </row>
    <row r="1054">
      <c r="A1054" t="inlineStr">
        <is>
          <t>'721529413</t>
        </is>
      </c>
      <c r="B1054" t="inlineStr">
        <is>
          <t>SF5111128788557, SF5113427648986</t>
        </is>
      </c>
    </row>
    <row r="1055">
      <c r="A1055" t="inlineStr">
        <is>
          <t>'721530372</t>
        </is>
      </c>
      <c r="B1055" t="inlineStr">
        <is>
          <t>SF5113427654256</t>
        </is>
      </c>
    </row>
    <row r="1056">
      <c r="A1056" t="inlineStr">
        <is>
          <t>'721530389</t>
        </is>
      </c>
      <c r="B1056" t="inlineStr">
        <is>
          <t>SF5116616532295</t>
        </is>
      </c>
    </row>
    <row r="1057">
      <c r="A1057" t="inlineStr">
        <is>
          <t>'721530398</t>
        </is>
      </c>
      <c r="B1057" t="inlineStr">
        <is>
          <t>SF5116616532559</t>
        </is>
      </c>
    </row>
    <row r="1058">
      <c r="A1058" t="inlineStr">
        <is>
          <t>'721530400</t>
        </is>
      </c>
      <c r="B1058" t="inlineStr">
        <is>
          <t>SF5119115817284</t>
        </is>
      </c>
    </row>
    <row r="1059">
      <c r="A1059" t="inlineStr">
        <is>
          <t>'721530405</t>
        </is>
      </c>
      <c r="B1059" t="inlineStr">
        <is>
          <t>SF5117916570086, SF5119115817584</t>
        </is>
      </c>
    </row>
    <row r="1060">
      <c r="A1060" t="inlineStr">
        <is>
          <t>'721531289</t>
        </is>
      </c>
      <c r="B1060" t="inlineStr">
        <is>
          <t>SF5113427654404</t>
        </is>
      </c>
    </row>
    <row r="1061">
      <c r="A1061" t="inlineStr">
        <is>
          <t>'721531310</t>
        </is>
      </c>
      <c r="B1061" t="inlineStr">
        <is>
          <t>SF5119018987429</t>
        </is>
      </c>
    </row>
    <row r="1062">
      <c r="A1062" t="inlineStr">
        <is>
          <t>'721531313</t>
        </is>
      </c>
      <c r="B1062" t="inlineStr">
        <is>
          <t>SF5116616531698</t>
        </is>
      </c>
    </row>
    <row r="1063">
      <c r="A1063" t="inlineStr">
        <is>
          <t>'721531373</t>
        </is>
      </c>
      <c r="B1063" t="inlineStr">
        <is>
          <t>SF5113427653012, SF5119115816791</t>
        </is>
      </c>
    </row>
    <row r="1064">
      <c r="A1064" t="inlineStr">
        <is>
          <t>'721531390</t>
        </is>
      </c>
      <c r="B1064" t="inlineStr">
        <is>
          <t>SF5113427648368</t>
        </is>
      </c>
    </row>
    <row r="1065">
      <c r="A1065" t="inlineStr">
        <is>
          <t>'721531395</t>
        </is>
      </c>
      <c r="B1065" t="inlineStr">
        <is>
          <t>SF5111128787059, SF5113427654098</t>
        </is>
      </c>
    </row>
    <row r="1066">
      <c r="A1066" t="inlineStr">
        <is>
          <t>'721531396</t>
        </is>
      </c>
      <c r="B1066" t="inlineStr">
        <is>
          <t>SF5117916570253, SF5119115815812</t>
        </is>
      </c>
    </row>
    <row r="1067">
      <c r="A1067" t="inlineStr">
        <is>
          <t>'721532310</t>
        </is>
      </c>
      <c r="B1067" t="inlineStr">
        <is>
          <t>SF5116616532019</t>
        </is>
      </c>
    </row>
    <row r="1068">
      <c r="A1068" t="inlineStr">
        <is>
          <t>'721532381</t>
        </is>
      </c>
      <c r="B1068" t="inlineStr">
        <is>
          <t>SF5116616189508</t>
        </is>
      </c>
    </row>
    <row r="1069">
      <c r="A1069" t="inlineStr">
        <is>
          <t>'721532396</t>
        </is>
      </c>
      <c r="B1069" t="inlineStr">
        <is>
          <t>SF5113427653464</t>
        </is>
      </c>
    </row>
    <row r="1070">
      <c r="A1070" t="inlineStr">
        <is>
          <t>'721533295</t>
        </is>
      </c>
      <c r="B1070" t="inlineStr">
        <is>
          <t>SF5119115817566</t>
        </is>
      </c>
    </row>
    <row r="1071">
      <c r="A1071" t="inlineStr">
        <is>
          <t>'721533375</t>
        </is>
      </c>
      <c r="B1071" t="inlineStr">
        <is>
          <t>SF5116616532143</t>
        </is>
      </c>
    </row>
    <row r="1072">
      <c r="A1072" t="inlineStr">
        <is>
          <t>'721533382</t>
        </is>
      </c>
      <c r="B1072" t="inlineStr">
        <is>
          <t>SF5119115817363</t>
        </is>
      </c>
    </row>
    <row r="1073">
      <c r="A1073" t="inlineStr">
        <is>
          <t>'721533402</t>
        </is>
      </c>
      <c r="B1073" t="inlineStr">
        <is>
          <t>SF5113427654016</t>
        </is>
      </c>
    </row>
    <row r="1074">
      <c r="A1074" t="inlineStr">
        <is>
          <t>'721534380</t>
        </is>
      </c>
      <c r="B1074" t="inlineStr">
        <is>
          <t>SF5116616532595</t>
        </is>
      </c>
    </row>
    <row r="1075">
      <c r="A1075" t="inlineStr">
        <is>
          <t>'721534383</t>
        </is>
      </c>
      <c r="B1075" t="inlineStr">
        <is>
          <t>SF5113427648085</t>
        </is>
      </c>
    </row>
    <row r="1076">
      <c r="A1076" t="inlineStr">
        <is>
          <t>'721534384</t>
        </is>
      </c>
      <c r="B1076" t="inlineStr">
        <is>
          <t>SF5113427653959</t>
        </is>
      </c>
    </row>
    <row r="1077">
      <c r="A1077" t="inlineStr">
        <is>
          <t>'721534385</t>
        </is>
      </c>
      <c r="B1077" t="inlineStr">
        <is>
          <t>SF5119018988502</t>
        </is>
      </c>
    </row>
    <row r="1078">
      <c r="A1078" t="inlineStr">
        <is>
          <t>'721534388</t>
        </is>
      </c>
      <c r="B1078" t="inlineStr">
        <is>
          <t>SF5116616532947</t>
        </is>
      </c>
    </row>
    <row r="1079">
      <c r="A1079" t="inlineStr">
        <is>
          <t>'721534390</t>
        </is>
      </c>
      <c r="B1079" t="inlineStr">
        <is>
          <t>SF5116616532259</t>
        </is>
      </c>
    </row>
    <row r="1080">
      <c r="A1080" t="inlineStr">
        <is>
          <t>'721534393</t>
        </is>
      </c>
      <c r="B1080" t="inlineStr">
        <is>
          <t>SF5119018988548</t>
        </is>
      </c>
    </row>
    <row r="1081">
      <c r="A1081" t="inlineStr">
        <is>
          <t>'721534400</t>
        </is>
      </c>
      <c r="B1081" t="inlineStr">
        <is>
          <t>SF5113427654247</t>
        </is>
      </c>
    </row>
    <row r="1082">
      <c r="A1082" t="inlineStr">
        <is>
          <t>'721534401</t>
        </is>
      </c>
      <c r="B1082" t="inlineStr">
        <is>
          <t>SF5116616189138</t>
        </is>
      </c>
    </row>
    <row r="1083">
      <c r="A1083" t="inlineStr">
        <is>
          <t>'721534402</t>
        </is>
      </c>
      <c r="B1083" t="inlineStr">
        <is>
          <t>SF5116616188249</t>
        </is>
      </c>
    </row>
    <row r="1084">
      <c r="A1084" t="inlineStr">
        <is>
          <t>'721535293</t>
        </is>
      </c>
      <c r="B1084" t="inlineStr">
        <is>
          <t>SF5116616188300</t>
        </is>
      </c>
    </row>
    <row r="1085">
      <c r="A1085" t="inlineStr">
        <is>
          <t>'721535323</t>
        </is>
      </c>
      <c r="B1085" t="inlineStr">
        <is>
          <t>SF5113427653234</t>
        </is>
      </c>
    </row>
    <row r="1086">
      <c r="A1086" t="inlineStr">
        <is>
          <t>'721535330</t>
        </is>
      </c>
      <c r="B1086" t="inlineStr">
        <is>
          <t>SF5116616188027</t>
        </is>
      </c>
    </row>
    <row r="1087">
      <c r="A1087" t="inlineStr">
        <is>
          <t>'721535331</t>
        </is>
      </c>
      <c r="B1087" t="inlineStr">
        <is>
          <t>SF5116616532965</t>
        </is>
      </c>
    </row>
    <row r="1088">
      <c r="A1088" t="inlineStr">
        <is>
          <t>'721535383</t>
        </is>
      </c>
      <c r="B1088" t="inlineStr">
        <is>
          <t>SF5119115817414</t>
        </is>
      </c>
    </row>
    <row r="1089">
      <c r="A1089" t="inlineStr">
        <is>
          <t>'721535392</t>
        </is>
      </c>
      <c r="B1089" t="inlineStr">
        <is>
          <t>SF5117719548725, SF5119018987447</t>
        </is>
      </c>
    </row>
    <row r="1090">
      <c r="A1090" t="inlineStr">
        <is>
          <t>'721536291</t>
        </is>
      </c>
      <c r="B1090" t="inlineStr">
        <is>
          <t>SF5113427654238</t>
        </is>
      </c>
    </row>
    <row r="1091">
      <c r="A1091" t="inlineStr">
        <is>
          <t>'721536293</t>
        </is>
      </c>
      <c r="B1091" t="inlineStr">
        <is>
          <t>SF5113427649178</t>
        </is>
      </c>
    </row>
    <row r="1092">
      <c r="A1092" t="inlineStr">
        <is>
          <t>'721536320</t>
        </is>
      </c>
      <c r="B1092" t="inlineStr">
        <is>
          <t>SF5116616188115</t>
        </is>
      </c>
    </row>
    <row r="1093">
      <c r="A1093" t="inlineStr">
        <is>
          <t>'721536377</t>
        </is>
      </c>
      <c r="B1093" t="inlineStr">
        <is>
          <t>SF5119018988390</t>
        </is>
      </c>
    </row>
    <row r="1094">
      <c r="A1094" t="inlineStr">
        <is>
          <t>'721536385</t>
        </is>
      </c>
      <c r="B1094" t="inlineStr">
        <is>
          <t>SF5116616189492</t>
        </is>
      </c>
    </row>
    <row r="1095">
      <c r="A1095" t="inlineStr">
        <is>
          <t>'721536386</t>
        </is>
      </c>
      <c r="B1095" t="inlineStr">
        <is>
          <t>SF5113427653755</t>
        </is>
      </c>
    </row>
    <row r="1096">
      <c r="A1096" t="inlineStr">
        <is>
          <t>'721536410</t>
        </is>
      </c>
      <c r="B1096" t="inlineStr">
        <is>
          <t>SF5111128787950, SF5113427653686</t>
        </is>
      </c>
    </row>
    <row r="1097">
      <c r="A1097" t="inlineStr">
        <is>
          <t>'721537292</t>
        </is>
      </c>
      <c r="B1097" t="inlineStr">
        <is>
          <t>SF5116616188106</t>
        </is>
      </c>
    </row>
    <row r="1098">
      <c r="A1098" t="inlineStr">
        <is>
          <t>'721537300</t>
        </is>
      </c>
      <c r="B1098" t="inlineStr">
        <is>
          <t>SF5113427653491</t>
        </is>
      </c>
    </row>
    <row r="1099">
      <c r="A1099" t="inlineStr">
        <is>
          <t>'721537305</t>
        </is>
      </c>
      <c r="B1099" t="inlineStr">
        <is>
          <t>SF5116616532091</t>
        </is>
      </c>
    </row>
    <row r="1100">
      <c r="A1100" t="inlineStr">
        <is>
          <t>'721537343</t>
        </is>
      </c>
      <c r="B1100" t="inlineStr">
        <is>
          <t>SF5113427649071</t>
        </is>
      </c>
    </row>
    <row r="1101">
      <c r="A1101" t="inlineStr">
        <is>
          <t>'721537356</t>
        </is>
      </c>
      <c r="B1101" t="inlineStr">
        <is>
          <t>SF5119115817354</t>
        </is>
      </c>
    </row>
    <row r="1102">
      <c r="A1102" t="inlineStr">
        <is>
          <t>'721537363</t>
        </is>
      </c>
      <c r="B1102" t="inlineStr">
        <is>
          <t>SF5116616533402</t>
        </is>
      </c>
    </row>
    <row r="1103">
      <c r="A1103" t="inlineStr">
        <is>
          <t>'721537367</t>
        </is>
      </c>
      <c r="B1103" t="inlineStr">
        <is>
          <t>SF5116616531703</t>
        </is>
      </c>
    </row>
    <row r="1104">
      <c r="A1104" t="inlineStr">
        <is>
          <t>'721537376</t>
        </is>
      </c>
      <c r="B1104" t="inlineStr">
        <is>
          <t>SF5113427653455</t>
        </is>
      </c>
    </row>
    <row r="1105">
      <c r="A1105" t="inlineStr">
        <is>
          <t>'721537383</t>
        </is>
      </c>
      <c r="B1105" t="inlineStr">
        <is>
          <t>SF5116616531882</t>
        </is>
      </c>
    </row>
    <row r="1106">
      <c r="A1106" t="inlineStr">
        <is>
          <t>'721537394</t>
        </is>
      </c>
      <c r="B1106" t="inlineStr">
        <is>
          <t>SF5111128788105, SF5113427653191</t>
        </is>
      </c>
    </row>
    <row r="1107">
      <c r="A1107" t="inlineStr">
        <is>
          <t>'721537399</t>
        </is>
      </c>
      <c r="B1107" t="inlineStr">
        <is>
          <t>SF5117719548770, SF5119018987562</t>
        </is>
      </c>
    </row>
    <row r="1108">
      <c r="A1108" t="inlineStr">
        <is>
          <t>'721538291</t>
        </is>
      </c>
      <c r="B1108" t="inlineStr">
        <is>
          <t>SF5116616532638</t>
        </is>
      </c>
    </row>
    <row r="1109">
      <c r="A1109" t="inlineStr">
        <is>
          <t>'721538311</t>
        </is>
      </c>
      <c r="B1109" t="inlineStr">
        <is>
          <t>SF5116616188364</t>
        </is>
      </c>
    </row>
    <row r="1110">
      <c r="A1110" t="inlineStr">
        <is>
          <t>'721538332</t>
        </is>
      </c>
      <c r="B1110" t="inlineStr">
        <is>
          <t>SF5113427647319</t>
        </is>
      </c>
    </row>
    <row r="1111">
      <c r="A1111" t="inlineStr">
        <is>
          <t>'721538366</t>
        </is>
      </c>
      <c r="B1111" t="inlineStr">
        <is>
          <t>SF5116616189517</t>
        </is>
      </c>
    </row>
    <row r="1112">
      <c r="A1112" t="inlineStr">
        <is>
          <t>'721538379</t>
        </is>
      </c>
      <c r="B1112" t="inlineStr">
        <is>
          <t>SF5117718571141</t>
        </is>
      </c>
    </row>
    <row r="1113">
      <c r="A1113" t="inlineStr">
        <is>
          <t>'721538382</t>
        </is>
      </c>
      <c r="B1113" t="inlineStr">
        <is>
          <t>SF5116616531800</t>
        </is>
      </c>
    </row>
    <row r="1114">
      <c r="A1114" t="inlineStr">
        <is>
          <t>'721538390</t>
        </is>
      </c>
      <c r="B1114" t="inlineStr">
        <is>
          <t>SF5116616189526</t>
        </is>
      </c>
    </row>
    <row r="1115">
      <c r="A1115" t="inlineStr">
        <is>
          <t>'721538393</t>
        </is>
      </c>
      <c r="B1115" t="inlineStr">
        <is>
          <t>SF5111128788008, SF5113427653304</t>
        </is>
      </c>
    </row>
    <row r="1116">
      <c r="A1116" t="inlineStr">
        <is>
          <t>'721538394</t>
        </is>
      </c>
      <c r="B1116" t="inlineStr">
        <is>
          <t>SF5119018988071</t>
        </is>
      </c>
    </row>
    <row r="1117">
      <c r="A1117" t="inlineStr">
        <is>
          <t>'721538395</t>
        </is>
      </c>
      <c r="B1117" t="inlineStr">
        <is>
          <t>SF5119115817857</t>
        </is>
      </c>
    </row>
    <row r="1118">
      <c r="A1118" t="inlineStr">
        <is>
          <t>'721538397</t>
        </is>
      </c>
      <c r="B1118" t="inlineStr">
        <is>
          <t>SF5116616188549</t>
        </is>
      </c>
    </row>
    <row r="1119">
      <c r="A1119" t="inlineStr">
        <is>
          <t>'721538412</t>
        </is>
      </c>
      <c r="B1119" t="inlineStr">
        <is>
          <t>SF5119018988450</t>
        </is>
      </c>
    </row>
    <row r="1120">
      <c r="A1120" t="inlineStr">
        <is>
          <t>'721539323</t>
        </is>
      </c>
      <c r="B1120" t="inlineStr">
        <is>
          <t>SF5113427653922</t>
        </is>
      </c>
    </row>
    <row r="1121">
      <c r="A1121" t="inlineStr">
        <is>
          <t>'721539350</t>
        </is>
      </c>
      <c r="B1121" t="inlineStr">
        <is>
          <t>SF5119018987853</t>
        </is>
      </c>
    </row>
    <row r="1122">
      <c r="A1122" t="inlineStr">
        <is>
          <t>'721539366</t>
        </is>
      </c>
      <c r="B1122" t="inlineStr">
        <is>
          <t>SF5113427648270</t>
        </is>
      </c>
    </row>
    <row r="1123">
      <c r="A1123" t="inlineStr">
        <is>
          <t>'721539368</t>
        </is>
      </c>
      <c r="B1123" t="inlineStr">
        <is>
          <t>SF5119115816904</t>
        </is>
      </c>
    </row>
    <row r="1124">
      <c r="A1124" t="inlineStr">
        <is>
          <t>'721539379</t>
        </is>
      </c>
      <c r="B1124" t="inlineStr">
        <is>
          <t>SF5119115817266</t>
        </is>
      </c>
    </row>
    <row r="1125">
      <c r="A1125" t="inlineStr">
        <is>
          <t>'721539380</t>
        </is>
      </c>
      <c r="B1125" t="inlineStr">
        <is>
          <t>SF5119115817487</t>
        </is>
      </c>
    </row>
    <row r="1126">
      <c r="A1126" t="inlineStr">
        <is>
          <t>'721539388</t>
        </is>
      </c>
      <c r="B1126" t="inlineStr">
        <is>
          <t>SF5117916570387, SF5119115815973</t>
        </is>
      </c>
    </row>
    <row r="1127">
      <c r="A1127" t="inlineStr">
        <is>
          <t>'721539391</t>
        </is>
      </c>
      <c r="B1127" t="inlineStr">
        <is>
          <t>SF5111128788035, SF5113427653525</t>
        </is>
      </c>
    </row>
    <row r="1128">
      <c r="A1128" t="inlineStr">
        <is>
          <t>'721540299</t>
        </is>
      </c>
      <c r="B1128" t="inlineStr">
        <is>
          <t>SF5119115817257</t>
        </is>
      </c>
    </row>
    <row r="1129">
      <c r="A1129" t="inlineStr">
        <is>
          <t>'721540329</t>
        </is>
      </c>
      <c r="B1129" t="inlineStr">
        <is>
          <t>SF5119115816816</t>
        </is>
      </c>
    </row>
    <row r="1130">
      <c r="A1130" t="inlineStr">
        <is>
          <t>'721540366</t>
        </is>
      </c>
      <c r="B1130" t="inlineStr">
        <is>
          <t>SF5119018988017</t>
        </is>
      </c>
    </row>
    <row r="1131">
      <c r="A1131" t="inlineStr">
        <is>
          <t>'721540368</t>
        </is>
      </c>
      <c r="B1131" t="inlineStr">
        <is>
          <t>SF5119018988239</t>
        </is>
      </c>
    </row>
    <row r="1132">
      <c r="A1132" t="inlineStr">
        <is>
          <t>'721540375</t>
        </is>
      </c>
      <c r="B1132" t="inlineStr">
        <is>
          <t>SF5119018988423</t>
        </is>
      </c>
    </row>
    <row r="1133">
      <c r="A1133" t="inlineStr">
        <is>
          <t>'721540376</t>
        </is>
      </c>
      <c r="B1133" t="inlineStr">
        <is>
          <t>SF5116616188628</t>
        </is>
      </c>
    </row>
    <row r="1134">
      <c r="A1134" t="inlineStr">
        <is>
          <t>'721540384</t>
        </is>
      </c>
      <c r="B1134" t="inlineStr">
        <is>
          <t>SF5119018987817</t>
        </is>
      </c>
    </row>
    <row r="1135">
      <c r="A1135" t="inlineStr">
        <is>
          <t>'721540398</t>
        </is>
      </c>
      <c r="B1135" t="inlineStr">
        <is>
          <t>SF5119115816076</t>
        </is>
      </c>
    </row>
    <row r="1136">
      <c r="A1136" t="inlineStr">
        <is>
          <t>'721540401</t>
        </is>
      </c>
      <c r="B1136" t="inlineStr">
        <is>
          <t>SF5118416341536</t>
        </is>
      </c>
    </row>
    <row r="1137">
      <c r="A1137" t="inlineStr">
        <is>
          <t>'721542300</t>
        </is>
      </c>
      <c r="B1137" t="inlineStr">
        <is>
          <t>SF5116616187960</t>
        </is>
      </c>
    </row>
    <row r="1138">
      <c r="A1138" t="inlineStr">
        <is>
          <t>'721542311</t>
        </is>
      </c>
      <c r="B1138" t="inlineStr">
        <is>
          <t>SF5113427653164</t>
        </is>
      </c>
    </row>
    <row r="1139">
      <c r="A1139" t="inlineStr">
        <is>
          <t>'721542326</t>
        </is>
      </c>
      <c r="B1139" t="inlineStr">
        <is>
          <t>SF5119115816119</t>
        </is>
      </c>
    </row>
    <row r="1140">
      <c r="A1140" t="inlineStr">
        <is>
          <t>'721542349</t>
        </is>
      </c>
      <c r="B1140" t="inlineStr">
        <is>
          <t>SF5117916570280, SF5119115815821</t>
        </is>
      </c>
    </row>
    <row r="1141">
      <c r="A1141" t="inlineStr">
        <is>
          <t>'721542359</t>
        </is>
      </c>
      <c r="B1141" t="inlineStr">
        <is>
          <t>SF5116616532886</t>
        </is>
      </c>
    </row>
    <row r="1142">
      <c r="A1142" t="inlineStr">
        <is>
          <t>'721542374</t>
        </is>
      </c>
      <c r="B1142" t="inlineStr">
        <is>
          <t>SF5113427653719</t>
        </is>
      </c>
    </row>
    <row r="1143">
      <c r="A1143" t="inlineStr">
        <is>
          <t>'721542378</t>
        </is>
      </c>
      <c r="B1143" t="inlineStr">
        <is>
          <t>SF5116616188406</t>
        </is>
      </c>
    </row>
    <row r="1144">
      <c r="A1144" t="inlineStr">
        <is>
          <t>'721542385</t>
        </is>
      </c>
      <c r="B1144" t="inlineStr">
        <is>
          <t>SF5119115817345</t>
        </is>
      </c>
    </row>
    <row r="1145">
      <c r="A1145" t="inlineStr">
        <is>
          <t>'721542395</t>
        </is>
      </c>
      <c r="B1145" t="inlineStr">
        <is>
          <t>SF5117719551675, SF5119018988496</t>
        </is>
      </c>
    </row>
    <row r="1146">
      <c r="A1146" t="inlineStr">
        <is>
          <t>'721542400</t>
        </is>
      </c>
      <c r="B1146" t="inlineStr">
        <is>
          <t>SF5117719548938, SF5119018987826</t>
        </is>
      </c>
    </row>
    <row r="1147">
      <c r="A1147" t="inlineStr">
        <is>
          <t>'724456</t>
        </is>
      </c>
      <c r="B1147" t="inlineStr">
        <is>
          <t>SF5113427653852</t>
        </is>
      </c>
    </row>
    <row r="1148">
      <c r="A1148" t="inlineStr">
        <is>
          <t>'737574</t>
        </is>
      </c>
      <c r="B1148" t="inlineStr">
        <is>
          <t>SF5116616187766</t>
        </is>
      </c>
    </row>
    <row r="1149">
      <c r="A1149" t="inlineStr">
        <is>
          <t>'744184</t>
        </is>
      </c>
      <c r="B1149" t="inlineStr">
        <is>
          <t>SF5117718571035</t>
        </is>
      </c>
    </row>
    <row r="1150">
      <c r="A1150" t="inlineStr">
        <is>
          <t>'744191</t>
        </is>
      </c>
      <c r="B1150" t="inlineStr">
        <is>
          <t>SF5113427648012, SF5116616691046</t>
        </is>
      </c>
    </row>
    <row r="1151">
      <c r="A1151" t="inlineStr">
        <is>
          <t>'750746</t>
        </is>
      </c>
      <c r="B1151" t="inlineStr">
        <is>
          <t>SF5116616532125, SF5119115817496</t>
        </is>
      </c>
    </row>
    <row r="1152">
      <c r="A1152" t="inlineStr">
        <is>
          <t>'754000</t>
        </is>
      </c>
      <c r="B1152" t="inlineStr">
        <is>
          <t>SF5116616188691</t>
        </is>
      </c>
    </row>
    <row r="1153">
      <c r="A1153" t="inlineStr">
        <is>
          <t>'757299</t>
        </is>
      </c>
      <c r="B1153" t="inlineStr">
        <is>
          <t>SF5116616188045</t>
        </is>
      </c>
    </row>
    <row r="1154">
      <c r="A1154" t="inlineStr">
        <is>
          <t>'763864</t>
        </is>
      </c>
      <c r="B1154" t="inlineStr">
        <is>
          <t>SF5116616188276</t>
        </is>
      </c>
    </row>
    <row r="1155">
      <c r="A1155" t="inlineStr">
        <is>
          <t>'767160</t>
        </is>
      </c>
      <c r="B1155" t="inlineStr">
        <is>
          <t>SF5113427648377</t>
        </is>
      </c>
    </row>
    <row r="1156">
      <c r="A1156" t="inlineStr">
        <is>
          <t>'793439</t>
        </is>
      </c>
      <c r="B1156" t="inlineStr">
        <is>
          <t>SF5119115817963</t>
        </is>
      </c>
    </row>
    <row r="1157">
      <c r="A1157" t="inlineStr">
        <is>
          <t>'823020</t>
        </is>
      </c>
      <c r="B1157" t="inlineStr">
        <is>
          <t>SF5113427648677</t>
        </is>
      </c>
    </row>
    <row r="1158">
      <c r="A1158" t="inlineStr">
        <is>
          <t>'84021139</t>
        </is>
      </c>
      <c r="B1158" t="inlineStr">
        <is>
          <t>SF5119115815849</t>
        </is>
      </c>
    </row>
    <row r="1159">
      <c r="A1159" t="inlineStr">
        <is>
          <t>'97200919</t>
        </is>
      </c>
      <c r="B1159" t="inlineStr">
        <is>
          <t>SF5119115816207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2026-07-08T03:17:00Z</dcterms:created>
  <dcterms:modified xsi:type="dcterms:W3CDTF">2026-07-08T06:11:42Z</dcterms:modified>
  <cp:lastModifiedBy>Francis LIU</cp:lastModifiedBy>
</cp:coreProperties>
</file>

<file path=docProps/custom.xml><?xml version="1.0" encoding="utf-8"?>
<Properties xmlns:vt="http://schemas.openxmlformats.org/officeDocument/2006/docPropsVTypes" xmlns="http://schemas.openxmlformats.org/officeDocument/2006/custom-properties">
  <property name="s" fmtid="{D5CDD505-2E9C-101B-9397-08002B2CF9AE}" pid="2">
    <vt:lpwstr>9ffd8f4c7a4e436c9d07b829b818a4eb</vt:lpwstr>
  </property>
  <property name="ICV" fmtid="{D5CDD505-2E9C-101B-9397-08002B2CF9AE}" pid="3">
    <vt:lpwstr>3DFE5FF07EFA4DA080FF8FCB3460BB4D_12</vt:lpwstr>
  </property>
  <property name="KSOProductBuildVer" fmtid="{D5CDD505-2E9C-101B-9397-08002B2CF9AE}" pid="4">
    <vt:lpwstr>2052-12.1.0.26895</vt:lpwstr>
  </property>
  <property name="CalculationRule" fmtid="{D5CDD505-2E9C-101B-9397-08002B2CF9AE}" pid="5">
    <vt:i4>0</vt:i4>
  </property>
</Properties>
</file>