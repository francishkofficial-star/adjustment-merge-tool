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訂貨預測" sheetId="1" r:id="rId1"/>
    <sheet name="每日發貨明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<sst xmlns="http://schemas.openxmlformats.org/spreadsheetml/2006/main" count="148" uniqueCount="119">
  <si>
    <t>VIC POS機 — 物料訂貨預測報告</t>
  </si>
  <si>
    <t>📊 POS機每日發貨統計</t>
  </si>
  <si>
    <t>最新庫存日期</t>
  </si>
  <si>
    <t>2026-06-09</t>
  </si>
  <si>
    <t>歷史工作日數</t>
  </si>
  <si>
    <t>63 天</t>
  </si>
  <si>
    <t>預測日發貨率(近30天)</t>
  </si>
  <si>
    <t>19.8 台/天</t>
  </si>
  <si>
    <t>全期日均發貨</t>
  </si>
  <si>
    <t>22.2 台/天</t>
  </si>
  <si>
    <t>近14天日均</t>
  </si>
  <si>
    <t>19.7 台/天</t>
  </si>
  <si>
    <t>近30天日均</t>
  </si>
  <si>
    <t>最高單日發貨</t>
  </si>
  <si>
    <t>129 台</t>
  </si>
  <si>
    <t>最低單日發貨</t>
  </si>
  <si>
    <t>5 台</t>
  </si>
  <si>
    <t>標準差</t>
  </si>
  <si>
    <t>17.6</t>
  </si>
  <si>
    <t>30天基礎需求</t>
  </si>
  <si>
    <t>593 件</t>
  </si>
  <si>
    <t>安全庫存緩衝(1.5σ)</t>
  </si>
  <si>
    <t>145 件</t>
  </si>
  <si>
    <t>30天總需求</t>
  </si>
  <si>
    <t>738 件</t>
  </si>
  <si>
    <t>📦 各物料建議訂貨量（覆蓋30天 + 安全庫存）</t>
  </si>
  <si>
    <t>物料</t>
  </si>
  <si>
    <t>當前庫存</t>
  </si>
  <si>
    <t>可用天數</t>
  </si>
  <si>
    <t>30天預測需求</t>
  </si>
  <si>
    <t>需補貨量</t>
  </si>
  <si>
    <t>建議訂貨量</t>
  </si>
  <si>
    <t>庫存狀態</t>
  </si>
  <si>
    <t/>
  </si>
  <si>
    <t>大膠袋</t>
  </si>
  <si>
    <t>⚡ 建議補貨</t>
  </si>
  <si>
    <t>小膠袋</t>
  </si>
  <si>
    <t>機紙</t>
  </si>
  <si>
    <t>封簽</t>
  </si>
  <si>
    <t>門貼</t>
  </si>
  <si>
    <t>✅ 庫存充足</t>
  </si>
  <si>
    <t>優惠貼</t>
  </si>
  <si>
    <t>海報</t>
  </si>
  <si>
    <t>📅 月度POS機發貨統計</t>
  </si>
  <si>
    <t>月份</t>
  </si>
  <si>
    <t>月總發貨(台)</t>
  </si>
  <si>
    <t>日均發貨(台)</t>
  </si>
  <si>
    <t>最高日發貨(台)</t>
  </si>
  <si>
    <t>工作天數</t>
  </si>
  <si>
    <t>2026-03</t>
  </si>
  <si>
    <t>2026-04</t>
  </si>
  <si>
    <t>2026-05</t>
  </si>
  <si>
    <t>2026-06</t>
  </si>
  <si>
    <t>日期</t>
  </si>
  <si>
    <t>今日發貨量(台)</t>
  </si>
  <si>
    <t>7日移動均值</t>
  </si>
  <si>
    <t>14日移動均值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</si>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</sst>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b/>
      <sz val="12"/>
      <color rgb="FFFFFFFF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POS機每日發貨量趨勢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每日發貨明細!$B$1</c:f>
              <c:strCache>
                <c:ptCount val="1"/>
                <c:pt idx="0">
                  <c:v>今日發貨量(台)</c:v>
                </c:pt>
              </c:strCache>
            </c:strRef>
          </c:tx>
          <c:spPr>
            <a:ln w="4762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每日發貨明細!$B$2:$B$64</c:f>
              <c:numCache>
                <c:formatCode>General</c:formatCode>
                <c:ptCount val="63"/>
                <c:pt idx="0">
                  <c:v>24</c:v>
                </c:pt>
                <c:pt idx="1">
                  <c:v>25</c:v>
                </c:pt>
                <c:pt idx="2">
                  <c:v>32</c:v>
                </c:pt>
                <c:pt idx="3">
                  <c:v>40</c:v>
                </c:pt>
                <c:pt idx="4">
                  <c:v>23</c:v>
                </c:pt>
                <c:pt idx="5">
                  <c:v>17</c:v>
                </c:pt>
                <c:pt idx="6">
                  <c:v>58</c:v>
                </c:pt>
                <c:pt idx="7">
                  <c:v>43</c:v>
                </c:pt>
                <c:pt idx="8">
                  <c:v>22</c:v>
                </c:pt>
                <c:pt idx="9">
                  <c:v>10</c:v>
                </c:pt>
                <c:pt idx="10">
                  <c:v>27</c:v>
                </c:pt>
                <c:pt idx="11">
                  <c:v>11</c:v>
                </c:pt>
                <c:pt idx="12">
                  <c:v>14</c:v>
                </c:pt>
                <c:pt idx="13">
                  <c:v>8</c:v>
                </c:pt>
                <c:pt idx="14">
                  <c:v>5</c:v>
                </c:pt>
                <c:pt idx="15">
                  <c:v>9</c:v>
                </c:pt>
                <c:pt idx="16">
                  <c:v>22</c:v>
                </c:pt>
                <c:pt idx="17">
                  <c:v>13</c:v>
                </c:pt>
                <c:pt idx="18">
                  <c:v>26</c:v>
                </c:pt>
                <c:pt idx="19">
                  <c:v>12</c:v>
                </c:pt>
                <c:pt idx="20">
                  <c:v>17</c:v>
                </c:pt>
                <c:pt idx="21">
                  <c:v>18</c:v>
                </c:pt>
                <c:pt idx="22">
                  <c:v>18</c:v>
                </c:pt>
                <c:pt idx="23">
                  <c:v>48</c:v>
                </c:pt>
                <c:pt idx="24">
                  <c:v>129</c:v>
                </c:pt>
                <c:pt idx="25">
                  <c:v>29</c:v>
                </c:pt>
                <c:pt idx="26">
                  <c:v>21</c:v>
                </c:pt>
                <c:pt idx="27">
                  <c:v>19</c:v>
                </c:pt>
                <c:pt idx="28">
                  <c:v>20</c:v>
                </c:pt>
                <c:pt idx="29">
                  <c:v>13</c:v>
                </c:pt>
                <c:pt idx="30">
                  <c:v>11</c:v>
                </c:pt>
                <c:pt idx="31">
                  <c:v>5</c:v>
                </c:pt>
                <c:pt idx="32">
                  <c:v>19</c:v>
                </c:pt>
                <c:pt idx="33">
                  <c:v>12</c:v>
                </c:pt>
                <c:pt idx="34">
                  <c:v>15</c:v>
                </c:pt>
                <c:pt idx="35">
                  <c:v>16</c:v>
                </c:pt>
                <c:pt idx="36">
                  <c:v>27</c:v>
                </c:pt>
                <c:pt idx="37">
                  <c:v>13</c:v>
                </c:pt>
                <c:pt idx="38">
                  <c:v>7</c:v>
                </c:pt>
                <c:pt idx="39">
                  <c:v>10</c:v>
                </c:pt>
                <c:pt idx="40">
                  <c:v>15</c:v>
                </c:pt>
                <c:pt idx="41">
                  <c:v>19</c:v>
                </c:pt>
                <c:pt idx="42">
                  <c:v>25</c:v>
                </c:pt>
                <c:pt idx="43">
                  <c:v>34</c:v>
                </c:pt>
                <c:pt idx="44">
                  <c:v>18</c:v>
                </c:pt>
                <c:pt idx="45">
                  <c:v>15</c:v>
                </c:pt>
                <c:pt idx="46">
                  <c:v>61</c:v>
                </c:pt>
                <c:pt idx="47">
                  <c:v>13</c:v>
                </c:pt>
                <c:pt idx="48">
                  <c:v>17</c:v>
                </c:pt>
                <c:pt idx="49">
                  <c:v>20</c:v>
                </c:pt>
                <c:pt idx="50">
                  <c:v>11</c:v>
                </c:pt>
                <c:pt idx="51">
                  <c:v>17</c:v>
                </c:pt>
                <c:pt idx="52">
                  <c:v>8</c:v>
                </c:pt>
                <c:pt idx="53">
                  <c:v>15</c:v>
                </c:pt>
                <c:pt idx="54">
                  <c:v>22</c:v>
                </c:pt>
                <c:pt idx="55">
                  <c:v>33</c:v>
                </c:pt>
                <c:pt idx="56">
                  <c:v>27</c:v>
                </c:pt>
                <c:pt idx="57">
                  <c:v>29</c:v>
                </c:pt>
                <c:pt idx="58">
                  <c:v>17</c:v>
                </c:pt>
                <c:pt idx="59">
                  <c:v>16</c:v>
                </c:pt>
                <c:pt idx="60">
                  <c:v>18</c:v>
                </c:pt>
                <c:pt idx="61">
                  <c:v>14</c:v>
                </c:pt>
                <c:pt idx="62">
                  <c:v>29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每日發貨明細!$D$1</c:f>
              <c:strCache>
                <c:ptCount val="1"/>
                <c:pt idx="0">
                  <c:v>14日移動均值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每日發貨明細!$D$2:$D$64</c:f>
              <c:numCache>
                <c:formatCode>General</c:formatCode>
                <c:ptCount val="63"/>
                <c:pt idx="13">
                  <c:v>25.3</c:v>
                </c:pt>
                <c:pt idx="14">
                  <c:v>23.9</c:v>
                </c:pt>
                <c:pt idx="15">
                  <c:v>22.8</c:v>
                </c:pt>
                <c:pt idx="16">
                  <c:v>22.1</c:v>
                </c:pt>
                <c:pt idx="17">
                  <c:v>20.1</c:v>
                </c:pt>
                <c:pt idx="18">
                  <c:v>20.4</c:v>
                </c:pt>
                <c:pt idx="19">
                  <c:v>20</c:v>
                </c:pt>
                <c:pt idx="20">
                  <c:v>17.1</c:v>
                </c:pt>
                <c:pt idx="21">
                  <c:v>15.3</c:v>
                </c:pt>
                <c:pt idx="22">
                  <c:v>15</c:v>
                </c:pt>
                <c:pt idx="23">
                  <c:v>17.7</c:v>
                </c:pt>
                <c:pt idx="24">
                  <c:v>25</c:v>
                </c:pt>
                <c:pt idx="25">
                  <c:v>26.3</c:v>
                </c:pt>
                <c:pt idx="26">
                  <c:v>26.8</c:v>
                </c:pt>
                <c:pt idx="27">
                  <c:v>27.6</c:v>
                </c:pt>
                <c:pt idx="28">
                  <c:v>28.6</c:v>
                </c:pt>
                <c:pt idx="29">
                  <c:v>28.9</c:v>
                </c:pt>
                <c:pt idx="30">
                  <c:v>28.1</c:v>
                </c:pt>
                <c:pt idx="31">
                  <c:v>27.6</c:v>
                </c:pt>
                <c:pt idx="32">
                  <c:v>27.1</c:v>
                </c:pt>
                <c:pt idx="33">
                  <c:v>27.1</c:v>
                </c:pt>
                <c:pt idx="34">
                  <c:v>26.9</c:v>
                </c:pt>
                <c:pt idx="35">
                  <c:v>26.8</c:v>
                </c:pt>
                <c:pt idx="36">
                  <c:v>27.4</c:v>
                </c:pt>
                <c:pt idx="37">
                  <c:v>24.9</c:v>
                </c:pt>
                <c:pt idx="38">
                  <c:v>16.2</c:v>
                </c:pt>
                <c:pt idx="39">
                  <c:v>14.9</c:v>
                </c:pt>
                <c:pt idx="40">
                  <c:v>14.4</c:v>
                </c:pt>
                <c:pt idx="41">
                  <c:v>14.4</c:v>
                </c:pt>
                <c:pt idx="42">
                  <c:v>14.8</c:v>
                </c:pt>
                <c:pt idx="43">
                  <c:v>16.3</c:v>
                </c:pt>
                <c:pt idx="44">
                  <c:v>16.8</c:v>
                </c:pt>
                <c:pt idx="45">
                  <c:v>17.5</c:v>
                </c:pt>
                <c:pt idx="46">
                  <c:v>20.5</c:v>
                </c:pt>
                <c:pt idx="47">
                  <c:v>20.6</c:v>
                </c:pt>
                <c:pt idx="48">
                  <c:v>20.7</c:v>
                </c:pt>
                <c:pt idx="49">
                  <c:v>21</c:v>
                </c:pt>
                <c:pt idx="50">
                  <c:v>19.9</c:v>
                </c:pt>
                <c:pt idx="51">
                  <c:v>20.1</c:v>
                </c:pt>
                <c:pt idx="52">
                  <c:v>20.2</c:v>
                </c:pt>
                <c:pt idx="53">
                  <c:v>20.6</c:v>
                </c:pt>
                <c:pt idx="54">
                  <c:v>21.1</c:v>
                </c:pt>
                <c:pt idx="55">
                  <c:v>22.1</c:v>
                </c:pt>
                <c:pt idx="56">
                  <c:v>22.2</c:v>
                </c:pt>
                <c:pt idx="57">
                  <c:v>21.9</c:v>
                </c:pt>
                <c:pt idx="58">
                  <c:v>21.8</c:v>
                </c:pt>
                <c:pt idx="59">
                  <c:v>21.9</c:v>
                </c:pt>
                <c:pt idx="60">
                  <c:v>18.8</c:v>
                </c:pt>
                <c:pt idx="61">
                  <c:v>18.9</c:v>
                </c:pt>
                <c:pt idx="62">
                  <c:v>19.7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發貨量（台）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351d6b-df8e-40d9-9146-a477acff08d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1</xdr:row>
      <xdr:rowOff>0</xdr:rowOff>
    </xdr:from>
    <xdr:ext cx="8640000" cy="5040000"/>
    <xdr:graphicFrame>
      <xdr:nvGraphicFramePr>
        <xdr:cNvPr id="2" name="Chart 1"/>
        <xdr:cNvGraphicFramePr/>
      </xdr:nvGraphicFramePr>
      <xdr:xfrm>
        <a:off x="4540250" y="177800"/>
        <a:ext cx="8639810" cy="5039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H23" sqref="A23:H26"/>
    </sheetView>
  </sheetViews>
  <sheetFormatPr defaultColWidth="9" defaultRowHeight="14" outlineLevelCol="7"/>
  <cols>
    <col min="1" max="2" width="12" customWidth="1"/>
    <col min="3" max="3" width="10" customWidth="1"/>
    <col min="4" max="4" width="14" customWidth="1"/>
    <col min="5" max="5" width="12" customWidth="1"/>
    <col min="6" max="7" width="14" customWidth="1"/>
    <col min="8" max="8" width="10" customWidth="1"/>
  </cols>
  <sheetData>
    <row r="1" ht="32" customHeight="1" spans="1:8">
      <c r="A1" s="2" t="s">
        <v>0</v>
      </c>
    </row>
    <row r="3" ht="22" customHeight="1" spans="1:8">
      <c r="A3" s="3" t="s">
        <v>1</v>
      </c>
    </row>
    <row r="4" ht="18" customHeight="1" spans="1:8">
      <c r="A4" s="1" t="s">
        <v>2</v>
      </c>
      <c r="B4" s="4" t="s">
        <v>3</v>
      </c>
      <c r="C4" s="1" t="s">
        <v>4</v>
      </c>
      <c r="D4" s="4" t="s">
        <v>5</v>
      </c>
      <c r="E4" s="1" t="s">
        <v>6</v>
      </c>
      <c r="F4" s="4" t="s">
        <v>7</v>
      </c>
    </row>
    <row r="5" ht="18" customHeight="1" spans="1:8">
      <c r="A5" s="1" t="s">
        <v>8</v>
      </c>
      <c r="B5" s="4" t="s">
        <v>9</v>
      </c>
      <c r="C5" s="1" t="s">
        <v>10</v>
      </c>
      <c r="D5" s="4" t="s">
        <v>11</v>
      </c>
      <c r="E5" s="1" t="s">
        <v>12</v>
      </c>
      <c r="F5" s="4" t="s">
        <v>7</v>
      </c>
    </row>
    <row r="6" ht="18" customHeight="1" spans="1:8">
      <c r="A6" s="1" t="s">
        <v>13</v>
      </c>
      <c r="B6" s="4" t="s">
        <v>14</v>
      </c>
      <c r="C6" s="1" t="s">
        <v>15</v>
      </c>
      <c r="D6" s="4" t="s">
        <v>16</v>
      </c>
      <c r="E6" s="1" t="s">
        <v>17</v>
      </c>
      <c r="F6" s="4" t="s">
        <v>18</v>
      </c>
    </row>
    <row r="7" ht="18" customHeight="1" spans="1:8">
      <c r="A7" s="1" t="s">
        <v>19</v>
      </c>
      <c r="B7" s="4" t="s">
        <v>20</v>
      </c>
      <c r="C7" s="1" t="s">
        <v>21</v>
      </c>
      <c r="D7" s="4" t="s">
        <v>22</v>
      </c>
      <c r="E7" s="1" t="s">
        <v>23</v>
      </c>
      <c r="F7" s="4" t="s">
        <v>24</v>
      </c>
    </row>
    <row r="10" ht="22" customHeight="1" spans="1:8">
      <c r="A10" s="5" t="s">
        <v>25</v>
      </c>
    </row>
    <row r="11" ht="20" customHeight="1" spans="1:8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32</v>
      </c>
      <c r="H11" s="1" t="s">
        <v>33</v>
      </c>
    </row>
    <row r="12" ht="20" customHeight="1" spans="1:8">
      <c r="A12" s="6" t="s">
        <v>34</v>
      </c>
      <c r="B12" s="6">
        <v>201</v>
      </c>
      <c r="C12" s="6">
        <v>10</v>
      </c>
      <c r="D12" s="6">
        <v>738</v>
      </c>
      <c r="E12" s="6">
        <v>537</v>
      </c>
      <c r="F12" s="7">
        <v>550</v>
      </c>
      <c r="G12" s="6" t="s">
        <v>35</v>
      </c>
      <c r="H12" s="6" t="s">
        <v>33</v>
      </c>
    </row>
    <row r="13" ht="20" customHeight="1" spans="1:8">
      <c r="A13" s="6" t="s">
        <v>36</v>
      </c>
      <c r="B13" s="6">
        <v>209</v>
      </c>
      <c r="C13" s="6">
        <v>11</v>
      </c>
      <c r="D13" s="6">
        <v>738</v>
      </c>
      <c r="E13" s="6">
        <v>529</v>
      </c>
      <c r="F13" s="7">
        <v>550</v>
      </c>
      <c r="G13" s="6" t="s">
        <v>35</v>
      </c>
      <c r="H13" s="6" t="s">
        <v>33</v>
      </c>
    </row>
    <row r="14" ht="20" customHeight="1" spans="1:8">
      <c r="A14" s="6" t="s">
        <v>37</v>
      </c>
      <c r="B14" s="6">
        <v>201</v>
      </c>
      <c r="C14" s="6">
        <v>10</v>
      </c>
      <c r="D14" s="6">
        <v>738</v>
      </c>
      <c r="E14" s="6">
        <v>537</v>
      </c>
      <c r="F14" s="7">
        <v>550</v>
      </c>
      <c r="G14" s="6" t="s">
        <v>35</v>
      </c>
      <c r="H14" s="6" t="s">
        <v>33</v>
      </c>
    </row>
    <row r="15" ht="20" customHeight="1" spans="1:8">
      <c r="A15" s="6" t="s">
        <v>38</v>
      </c>
      <c r="B15" s="6">
        <v>255</v>
      </c>
      <c r="C15" s="6">
        <v>13</v>
      </c>
      <c r="D15" s="6">
        <v>738</v>
      </c>
      <c r="E15" s="6">
        <v>483</v>
      </c>
      <c r="F15" s="7">
        <v>500</v>
      </c>
      <c r="G15" s="6" t="s">
        <v>35</v>
      </c>
      <c r="H15" s="6" t="s">
        <v>33</v>
      </c>
    </row>
    <row r="16" ht="20" customHeight="1" spans="1:8">
      <c r="A16" s="8" t="s">
        <v>39</v>
      </c>
      <c r="B16" s="8">
        <v>410</v>
      </c>
      <c r="C16" s="8">
        <v>21</v>
      </c>
      <c r="D16" s="8">
        <v>738</v>
      </c>
      <c r="E16" s="8">
        <v>328</v>
      </c>
      <c r="F16" s="9">
        <v>350</v>
      </c>
      <c r="G16" s="8" t="s">
        <v>40</v>
      </c>
      <c r="H16" s="8" t="s">
        <v>33</v>
      </c>
    </row>
    <row r="17" ht="20" customHeight="1" spans="1:8">
      <c r="A17" s="6" t="s">
        <v>41</v>
      </c>
      <c r="B17" s="6">
        <v>201</v>
      </c>
      <c r="C17" s="6">
        <v>10</v>
      </c>
      <c r="D17" s="6">
        <v>738</v>
      </c>
      <c r="E17" s="6">
        <v>537</v>
      </c>
      <c r="F17" s="7">
        <v>550</v>
      </c>
      <c r="G17" s="6" t="s">
        <v>35</v>
      </c>
      <c r="H17" s="6" t="s">
        <v>33</v>
      </c>
    </row>
    <row r="18" ht="20" customHeight="1" spans="1:8">
      <c r="A18" s="6" t="s">
        <v>42</v>
      </c>
      <c r="B18" s="6">
        <v>233</v>
      </c>
      <c r="C18" s="6">
        <v>12</v>
      </c>
      <c r="D18" s="6">
        <v>738</v>
      </c>
      <c r="E18" s="6">
        <v>505</v>
      </c>
      <c r="F18" s="7">
        <v>550</v>
      </c>
      <c r="G18" s="6" t="s">
        <v>35</v>
      </c>
      <c r="H18" s="6" t="s">
        <v>33</v>
      </c>
    </row>
    <row r="21" ht="22" customHeight="1" spans="1:8">
      <c r="A21" s="3" t="s">
        <v>43</v>
      </c>
    </row>
    <row r="22" ht="20" customHeight="1" spans="1:8">
      <c r="A22" s="1" t="s">
        <v>44</v>
      </c>
      <c r="B22" s="1" t="s">
        <v>45</v>
      </c>
      <c r="C22" s="1" t="s">
        <v>46</v>
      </c>
      <c r="D22" s="1" t="s">
        <v>47</v>
      </c>
      <c r="E22" s="1" t="s">
        <v>48</v>
      </c>
      <c r="F22" s="1" t="s">
        <v>33</v>
      </c>
      <c r="G22" s="1" t="s">
        <v>33</v>
      </c>
      <c r="H22" s="1" t="s">
        <v>33</v>
      </c>
    </row>
    <row r="23" ht="18" customHeight="1" spans="1:8">
      <c r="A23" s="4" t="s">
        <v>49</v>
      </c>
      <c r="B23" s="4">
        <v>403</v>
      </c>
      <c r="C23" s="4">
        <v>22.4</v>
      </c>
      <c r="D23" s="4">
        <v>58</v>
      </c>
      <c r="E23" s="4">
        <v>18</v>
      </c>
      <c r="F23" s="10" t="s">
        <v>33</v>
      </c>
      <c r="G23" s="10" t="s">
        <v>33</v>
      </c>
      <c r="H23" s="10" t="s">
        <v>33</v>
      </c>
    </row>
    <row r="24" ht="18" customHeight="1" spans="1:8">
      <c r="A24" s="4" t="s">
        <v>50</v>
      </c>
      <c r="B24" s="4">
        <v>475</v>
      </c>
      <c r="C24" s="4">
        <v>25</v>
      </c>
      <c r="D24" s="4">
        <v>129</v>
      </c>
      <c r="E24" s="4">
        <v>19</v>
      </c>
      <c r="F24" s="10" t="s">
        <v>33</v>
      </c>
      <c r="G24" s="10" t="s">
        <v>33</v>
      </c>
      <c r="H24" s="10" t="s">
        <v>33</v>
      </c>
    </row>
    <row r="25" ht="18" customHeight="1" spans="1:8">
      <c r="A25" s="4" t="s">
        <v>51</v>
      </c>
      <c r="B25" s="4">
        <v>373</v>
      </c>
      <c r="C25" s="4">
        <v>19.6</v>
      </c>
      <c r="D25" s="4">
        <v>61</v>
      </c>
      <c r="E25" s="4">
        <v>19</v>
      </c>
      <c r="F25" s="10" t="s">
        <v>33</v>
      </c>
      <c r="G25" s="10" t="s">
        <v>33</v>
      </c>
      <c r="H25" s="10" t="s">
        <v>33</v>
      </c>
    </row>
    <row r="26" ht="18" customHeight="1" spans="1:8">
      <c r="A26" s="4" t="s">
        <v>52</v>
      </c>
      <c r="B26" s="4">
        <v>150</v>
      </c>
      <c r="C26" s="4">
        <v>21.4</v>
      </c>
      <c r="D26" s="4">
        <v>29</v>
      </c>
      <c r="E26" s="4">
        <v>7</v>
      </c>
      <c r="F26" s="10" t="s">
        <v>33</v>
      </c>
      <c r="G26" s="10" t="s">
        <v>33</v>
      </c>
      <c r="H26" s="10" t="s">
        <v>33</v>
      </c>
    </row>
  </sheetData>
  <mergeCells count="4">
    <mergeCell ref="A1:H1"/>
    <mergeCell ref="A3:H3"/>
    <mergeCell ref="A10:H10"/>
    <mergeCell ref="A21:H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workbookViewId="0">
      <selection activeCell="A1" sqref="A1"/>
    </sheetView>
  </sheetViews>
  <sheetFormatPr defaultColWidth="9" defaultRowHeight="14" outlineLevelCol="3"/>
  <cols>
    <col min="1" max="4" width="14" customWidth="1"/>
  </cols>
  <sheetData>
    <row r="1" spans="1:4">
      <c r="A1" s="1" t="s">
        <v>53</v>
      </c>
      <c r="B1" s="1" t="s">
        <v>54</v>
      </c>
      <c r="C1" s="1" t="s">
        <v>55</v>
      </c>
      <c r="D1" s="1" t="s">
        <v>56</v>
      </c>
    </row>
    <row r="2" ht="16" customHeight="1" spans="1:4">
      <c r="A2" t="s">
        <v>57</v>
      </c>
      <c r="B2">
        <v>24</v>
      </c>
    </row>
    <row r="3" ht="16" customHeight="1" spans="1:4">
      <c r="A3" t="s">
        <v>58</v>
      </c>
      <c r="B3">
        <v>25</v>
      </c>
    </row>
    <row r="4" ht="16" customHeight="1" spans="1:4">
      <c r="A4" t="s">
        <v>59</v>
      </c>
      <c r="B4">
        <v>32</v>
      </c>
    </row>
    <row r="5" ht="16" customHeight="1" spans="1:4">
      <c r="A5" t="s">
        <v>60</v>
      </c>
      <c r="B5">
        <v>40</v>
      </c>
    </row>
    <row r="6" ht="16" customHeight="1" spans="1:4">
      <c r="A6" t="s">
        <v>61</v>
      </c>
      <c r="B6">
        <v>23</v>
      </c>
    </row>
    <row r="7" ht="16" customHeight="1" spans="1:4">
      <c r="A7" t="s">
        <v>62</v>
      </c>
      <c r="B7">
        <v>17</v>
      </c>
    </row>
    <row r="8" ht="16" customHeight="1" spans="1:4">
      <c r="A8" t="s">
        <v>63</v>
      </c>
      <c r="B8">
        <v>58</v>
      </c>
      <c r="C8">
        <f t="shared" ref="C8:C64" si="0">ROUND(AVERAGE(B2:B8),1)</f>
        <v>31.3</v>
      </c>
    </row>
    <row r="9" ht="16" customHeight="1" spans="1:4">
      <c r="A9" t="s">
        <v>64</v>
      </c>
      <c r="B9">
        <v>43</v>
      </c>
      <c r="C9">
        <f t="shared" si="0"/>
        <v>34</v>
      </c>
    </row>
    <row r="10" ht="16" customHeight="1" spans="1:4">
      <c r="A10" t="s">
        <v>65</v>
      </c>
      <c r="B10">
        <v>22</v>
      </c>
      <c r="C10">
        <f t="shared" si="0"/>
        <v>33.6</v>
      </c>
    </row>
    <row r="11" ht="16" customHeight="1" spans="1:4">
      <c r="A11" t="s">
        <v>66</v>
      </c>
      <c r="B11">
        <v>10</v>
      </c>
      <c r="C11">
        <f t="shared" si="0"/>
        <v>30.4</v>
      </c>
    </row>
    <row r="12" ht="16" customHeight="1" spans="1:4">
      <c r="A12" t="s">
        <v>67</v>
      </c>
      <c r="B12">
        <v>27</v>
      </c>
      <c r="C12">
        <f t="shared" si="0"/>
        <v>28.6</v>
      </c>
    </row>
    <row r="13" ht="16" customHeight="1" spans="1:4">
      <c r="A13" t="s">
        <v>68</v>
      </c>
      <c r="B13">
        <v>11</v>
      </c>
      <c r="C13">
        <f t="shared" si="0"/>
        <v>26.9</v>
      </c>
    </row>
    <row r="14" ht="16" customHeight="1" spans="1:4">
      <c r="A14" t="s">
        <v>69</v>
      </c>
      <c r="B14">
        <v>14</v>
      </c>
      <c r="C14">
        <f t="shared" si="0"/>
        <v>26.4</v>
      </c>
    </row>
    <row r="15" ht="16" customHeight="1" spans="1:4">
      <c r="A15" t="s">
        <v>70</v>
      </c>
      <c r="B15">
        <v>8</v>
      </c>
      <c r="C15">
        <f t="shared" si="0"/>
        <v>19.3</v>
      </c>
      <c r="D15">
        <f t="shared" ref="D15:D64" si="1">ROUND(AVERAGE(B2:B15),1)</f>
        <v>25.3</v>
      </c>
    </row>
    <row r="16" ht="16" customHeight="1" spans="1:4">
      <c r="A16" t="s">
        <v>71</v>
      </c>
      <c r="B16">
        <v>5</v>
      </c>
      <c r="C16">
        <f t="shared" si="0"/>
        <v>13.9</v>
      </c>
      <c r="D16">
        <f t="shared" si="1"/>
        <v>23.9</v>
      </c>
    </row>
    <row r="17" ht="16" customHeight="1" spans="1:4">
      <c r="A17" t="s">
        <v>72</v>
      </c>
      <c r="B17">
        <v>9</v>
      </c>
      <c r="C17">
        <f t="shared" si="0"/>
        <v>12</v>
      </c>
      <c r="D17">
        <f t="shared" si="1"/>
        <v>22.8</v>
      </c>
    </row>
    <row r="18" ht="16" customHeight="1" spans="1:4">
      <c r="A18" t="s">
        <v>73</v>
      </c>
      <c r="B18">
        <v>22</v>
      </c>
      <c r="C18">
        <f t="shared" si="0"/>
        <v>13.7</v>
      </c>
      <c r="D18">
        <f t="shared" si="1"/>
        <v>22.1</v>
      </c>
    </row>
    <row r="19" ht="16" customHeight="1" spans="1:4">
      <c r="A19" t="s">
        <v>74</v>
      </c>
      <c r="B19">
        <v>13</v>
      </c>
      <c r="C19">
        <f t="shared" si="0"/>
        <v>11.7</v>
      </c>
      <c r="D19">
        <f t="shared" si="1"/>
        <v>20.1</v>
      </c>
    </row>
    <row r="20" ht="16" customHeight="1" spans="1:4">
      <c r="A20" t="s">
        <v>75</v>
      </c>
      <c r="B20">
        <v>26</v>
      </c>
      <c r="C20">
        <f t="shared" si="0"/>
        <v>13.9</v>
      </c>
      <c r="D20">
        <f t="shared" si="1"/>
        <v>20.4</v>
      </c>
    </row>
    <row r="21" ht="16" customHeight="1" spans="1:4">
      <c r="A21" t="s">
        <v>76</v>
      </c>
      <c r="B21">
        <v>12</v>
      </c>
      <c r="C21">
        <f t="shared" si="0"/>
        <v>13.6</v>
      </c>
      <c r="D21">
        <f t="shared" si="1"/>
        <v>20</v>
      </c>
    </row>
    <row r="22" ht="16" customHeight="1" spans="1:4">
      <c r="A22" t="s">
        <v>77</v>
      </c>
      <c r="B22">
        <v>17</v>
      </c>
      <c r="C22">
        <f t="shared" si="0"/>
        <v>14.9</v>
      </c>
      <c r="D22">
        <f t="shared" si="1"/>
        <v>17.1</v>
      </c>
    </row>
    <row r="23" ht="16" customHeight="1" spans="1:4">
      <c r="A23" t="s">
        <v>78</v>
      </c>
      <c r="B23">
        <v>18</v>
      </c>
      <c r="C23">
        <f t="shared" si="0"/>
        <v>16.7</v>
      </c>
      <c r="D23">
        <f t="shared" si="1"/>
        <v>15.3</v>
      </c>
    </row>
    <row r="24" ht="16" customHeight="1" spans="1:4">
      <c r="A24" t="s">
        <v>79</v>
      </c>
      <c r="B24">
        <v>18</v>
      </c>
      <c r="C24">
        <f t="shared" si="0"/>
        <v>18</v>
      </c>
      <c r="D24">
        <f t="shared" si="1"/>
        <v>15</v>
      </c>
    </row>
    <row r="25" ht="16" customHeight="1" spans="1:4">
      <c r="A25" t="s">
        <v>80</v>
      </c>
      <c r="B25">
        <v>48</v>
      </c>
      <c r="C25">
        <f t="shared" si="0"/>
        <v>21.7</v>
      </c>
      <c r="D25">
        <f t="shared" si="1"/>
        <v>17.7</v>
      </c>
    </row>
    <row r="26" ht="16" customHeight="1" spans="1:4">
      <c r="A26" t="s">
        <v>81</v>
      </c>
      <c r="B26">
        <v>129</v>
      </c>
      <c r="C26">
        <f t="shared" si="0"/>
        <v>38.3</v>
      </c>
      <c r="D26">
        <f t="shared" si="1"/>
        <v>25</v>
      </c>
    </row>
    <row r="27" ht="16" customHeight="1" spans="1:4">
      <c r="A27" t="s">
        <v>82</v>
      </c>
      <c r="B27">
        <v>29</v>
      </c>
      <c r="C27">
        <f t="shared" si="0"/>
        <v>38.7</v>
      </c>
      <c r="D27">
        <f t="shared" si="1"/>
        <v>26.3</v>
      </c>
    </row>
    <row r="28" ht="16" customHeight="1" spans="1:4">
      <c r="A28" t="s">
        <v>83</v>
      </c>
      <c r="B28">
        <v>21</v>
      </c>
      <c r="C28">
        <f t="shared" si="0"/>
        <v>40</v>
      </c>
      <c r="D28">
        <f t="shared" si="1"/>
        <v>26.8</v>
      </c>
    </row>
    <row r="29" ht="16" customHeight="1" spans="1:4">
      <c r="A29" t="s">
        <v>84</v>
      </c>
      <c r="B29">
        <v>19</v>
      </c>
      <c r="C29">
        <f t="shared" si="0"/>
        <v>40.3</v>
      </c>
      <c r="D29">
        <f t="shared" si="1"/>
        <v>27.6</v>
      </c>
    </row>
    <row r="30" ht="16" customHeight="1" spans="1:4">
      <c r="A30" t="s">
        <v>85</v>
      </c>
      <c r="B30">
        <v>20</v>
      </c>
      <c r="C30">
        <f t="shared" si="0"/>
        <v>40.6</v>
      </c>
      <c r="D30">
        <f t="shared" si="1"/>
        <v>28.6</v>
      </c>
    </row>
    <row r="31" ht="16" customHeight="1" spans="1:4">
      <c r="A31" t="s">
        <v>86</v>
      </c>
      <c r="B31">
        <v>13</v>
      </c>
      <c r="C31">
        <f t="shared" si="0"/>
        <v>39.9</v>
      </c>
      <c r="D31">
        <f t="shared" si="1"/>
        <v>28.9</v>
      </c>
    </row>
    <row r="32" ht="16" customHeight="1" spans="1:4">
      <c r="A32" t="s">
        <v>87</v>
      </c>
      <c r="B32">
        <v>11</v>
      </c>
      <c r="C32">
        <f t="shared" si="0"/>
        <v>34.6</v>
      </c>
      <c r="D32">
        <f t="shared" si="1"/>
        <v>28.1</v>
      </c>
    </row>
    <row r="33" ht="16" customHeight="1" spans="1:4">
      <c r="A33" t="s">
        <v>88</v>
      </c>
      <c r="B33">
        <v>5</v>
      </c>
      <c r="C33">
        <f t="shared" si="0"/>
        <v>16.9</v>
      </c>
      <c r="D33">
        <f t="shared" si="1"/>
        <v>27.6</v>
      </c>
    </row>
    <row r="34" ht="16" customHeight="1" spans="1:4">
      <c r="A34" t="s">
        <v>89</v>
      </c>
      <c r="B34">
        <v>19</v>
      </c>
      <c r="C34">
        <f t="shared" si="0"/>
        <v>15.4</v>
      </c>
      <c r="D34">
        <f t="shared" si="1"/>
        <v>27.1</v>
      </c>
    </row>
    <row r="35" ht="16" customHeight="1" spans="1:4">
      <c r="A35" t="s">
        <v>90</v>
      </c>
      <c r="B35">
        <v>12</v>
      </c>
      <c r="C35">
        <f t="shared" si="0"/>
        <v>14.1</v>
      </c>
      <c r="D35">
        <f t="shared" si="1"/>
        <v>27.1</v>
      </c>
    </row>
    <row r="36" ht="16" customHeight="1" spans="1:4">
      <c r="A36" t="s">
        <v>91</v>
      </c>
      <c r="B36">
        <v>15</v>
      </c>
      <c r="C36">
        <f t="shared" si="0"/>
        <v>13.6</v>
      </c>
      <c r="D36">
        <f t="shared" si="1"/>
        <v>26.9</v>
      </c>
    </row>
    <row r="37" ht="16" customHeight="1" spans="1:4">
      <c r="A37" t="s">
        <v>92</v>
      </c>
      <c r="B37">
        <v>16</v>
      </c>
      <c r="C37">
        <f t="shared" si="0"/>
        <v>13</v>
      </c>
      <c r="D37">
        <f t="shared" si="1"/>
        <v>26.8</v>
      </c>
    </row>
    <row r="38" ht="16" customHeight="1" spans="1:4">
      <c r="A38" t="s">
        <v>93</v>
      </c>
      <c r="B38">
        <v>27</v>
      </c>
      <c r="C38">
        <f t="shared" si="0"/>
        <v>15</v>
      </c>
      <c r="D38">
        <f t="shared" si="1"/>
        <v>27.4</v>
      </c>
    </row>
    <row r="39" ht="16" customHeight="1" spans="1:4">
      <c r="A39" t="s">
        <v>94</v>
      </c>
      <c r="B39">
        <v>13</v>
      </c>
      <c r="C39">
        <f t="shared" si="0"/>
        <v>15.3</v>
      </c>
      <c r="D39">
        <f t="shared" si="1"/>
        <v>24.9</v>
      </c>
    </row>
    <row r="40" ht="16" customHeight="1" spans="1:4">
      <c r="A40" t="s">
        <v>95</v>
      </c>
      <c r="B40">
        <v>7</v>
      </c>
      <c r="C40">
        <f t="shared" si="0"/>
        <v>15.6</v>
      </c>
      <c r="D40">
        <f t="shared" si="1"/>
        <v>16.2</v>
      </c>
    </row>
    <row r="41" ht="16" customHeight="1" spans="1:4">
      <c r="A41" t="s">
        <v>96</v>
      </c>
      <c r="B41">
        <v>10</v>
      </c>
      <c r="C41">
        <f t="shared" si="0"/>
        <v>14.3</v>
      </c>
      <c r="D41">
        <f t="shared" si="1"/>
        <v>14.9</v>
      </c>
    </row>
    <row r="42" ht="16" customHeight="1" spans="1:4">
      <c r="A42" t="s">
        <v>97</v>
      </c>
      <c r="B42">
        <v>15</v>
      </c>
      <c r="C42">
        <f t="shared" si="0"/>
        <v>14.7</v>
      </c>
      <c r="D42">
        <f t="shared" si="1"/>
        <v>14.4</v>
      </c>
    </row>
    <row r="43" ht="16" customHeight="1" spans="1:4">
      <c r="A43" t="s">
        <v>98</v>
      </c>
      <c r="B43">
        <v>19</v>
      </c>
      <c r="C43">
        <f t="shared" si="0"/>
        <v>15.3</v>
      </c>
      <c r="D43">
        <f t="shared" si="1"/>
        <v>14.4</v>
      </c>
    </row>
    <row r="44" ht="16" customHeight="1" spans="1:4">
      <c r="A44" t="s">
        <v>99</v>
      </c>
      <c r="B44">
        <v>25</v>
      </c>
      <c r="C44">
        <f t="shared" si="0"/>
        <v>16.6</v>
      </c>
      <c r="D44">
        <f t="shared" si="1"/>
        <v>14.8</v>
      </c>
    </row>
    <row r="45" ht="16" customHeight="1" spans="1:4">
      <c r="A45" t="s">
        <v>100</v>
      </c>
      <c r="B45">
        <v>34</v>
      </c>
      <c r="C45">
        <f t="shared" si="0"/>
        <v>17.6</v>
      </c>
      <c r="D45">
        <f t="shared" si="1"/>
        <v>16.3</v>
      </c>
    </row>
    <row r="46" ht="16" customHeight="1" spans="1:4">
      <c r="A46" t="s">
        <v>101</v>
      </c>
      <c r="B46">
        <v>18</v>
      </c>
      <c r="C46">
        <f t="shared" si="0"/>
        <v>18.3</v>
      </c>
      <c r="D46">
        <f t="shared" si="1"/>
        <v>16.8</v>
      </c>
    </row>
    <row r="47" ht="16" customHeight="1" spans="1:4">
      <c r="A47" t="s">
        <v>102</v>
      </c>
      <c r="B47">
        <v>15</v>
      </c>
      <c r="C47">
        <f t="shared" si="0"/>
        <v>19.4</v>
      </c>
      <c r="D47">
        <f t="shared" si="1"/>
        <v>17.5</v>
      </c>
    </row>
    <row r="48" ht="16" customHeight="1" spans="1:4">
      <c r="A48" t="s">
        <v>103</v>
      </c>
      <c r="B48">
        <v>61</v>
      </c>
      <c r="C48">
        <f t="shared" si="0"/>
        <v>26.7</v>
      </c>
      <c r="D48">
        <f t="shared" si="1"/>
        <v>20.5</v>
      </c>
    </row>
    <row r="49" ht="16" customHeight="1" spans="1:4">
      <c r="A49" t="s">
        <v>104</v>
      </c>
      <c r="B49">
        <v>13</v>
      </c>
      <c r="C49">
        <f t="shared" si="0"/>
        <v>26.4</v>
      </c>
      <c r="D49">
        <f t="shared" si="1"/>
        <v>20.6</v>
      </c>
    </row>
    <row r="50" ht="16" customHeight="1" spans="1:4">
      <c r="A50" t="s">
        <v>105</v>
      </c>
      <c r="B50">
        <v>17</v>
      </c>
      <c r="C50">
        <f t="shared" si="0"/>
        <v>26.1</v>
      </c>
      <c r="D50">
        <f t="shared" si="1"/>
        <v>20.7</v>
      </c>
    </row>
    <row r="51" ht="16" customHeight="1" spans="1:4">
      <c r="A51" t="s">
        <v>106</v>
      </c>
      <c r="B51">
        <v>20</v>
      </c>
      <c r="C51">
        <f t="shared" si="0"/>
        <v>25.4</v>
      </c>
      <c r="D51">
        <f t="shared" si="1"/>
        <v>21</v>
      </c>
    </row>
    <row r="52" ht="16" customHeight="1" spans="1:4">
      <c r="A52" t="s">
        <v>107</v>
      </c>
      <c r="B52">
        <v>11</v>
      </c>
      <c r="C52">
        <f t="shared" si="0"/>
        <v>22.1</v>
      </c>
      <c r="D52">
        <f t="shared" si="1"/>
        <v>19.9</v>
      </c>
    </row>
    <row r="53" ht="16" customHeight="1" spans="1:4">
      <c r="A53" t="s">
        <v>108</v>
      </c>
      <c r="B53">
        <v>17</v>
      </c>
      <c r="C53">
        <f t="shared" si="0"/>
        <v>22</v>
      </c>
      <c r="D53">
        <f t="shared" si="1"/>
        <v>20.1</v>
      </c>
    </row>
    <row r="54" ht="16" customHeight="1" spans="1:4">
      <c r="A54" t="s">
        <v>109</v>
      </c>
      <c r="B54">
        <v>8</v>
      </c>
      <c r="C54">
        <f t="shared" si="0"/>
        <v>21</v>
      </c>
      <c r="D54">
        <f t="shared" si="1"/>
        <v>20.2</v>
      </c>
    </row>
    <row r="55" ht="16" customHeight="1" spans="1:4">
      <c r="A55" t="s">
        <v>110</v>
      </c>
      <c r="B55">
        <v>15</v>
      </c>
      <c r="C55">
        <f t="shared" si="0"/>
        <v>14.4</v>
      </c>
      <c r="D55">
        <f t="shared" si="1"/>
        <v>20.6</v>
      </c>
    </row>
    <row r="56" ht="16" customHeight="1" spans="1:4">
      <c r="A56" t="s">
        <v>111</v>
      </c>
      <c r="B56">
        <v>22</v>
      </c>
      <c r="C56">
        <f t="shared" si="0"/>
        <v>15.7</v>
      </c>
      <c r="D56">
        <f t="shared" si="1"/>
        <v>21.1</v>
      </c>
    </row>
    <row r="57" ht="16" customHeight="1" spans="1:4">
      <c r="A57" t="s">
        <v>112</v>
      </c>
      <c r="B57">
        <v>33</v>
      </c>
      <c r="C57">
        <f t="shared" si="0"/>
        <v>18</v>
      </c>
      <c r="D57">
        <f t="shared" si="1"/>
        <v>22.1</v>
      </c>
    </row>
    <row r="58" ht="16" customHeight="1" spans="1:4">
      <c r="A58" t="s">
        <v>113</v>
      </c>
      <c r="B58">
        <v>27</v>
      </c>
      <c r="C58">
        <f t="shared" si="0"/>
        <v>19</v>
      </c>
      <c r="D58">
        <f t="shared" si="1"/>
        <v>22.2</v>
      </c>
    </row>
    <row r="59" ht="16" customHeight="1" spans="1:4">
      <c r="A59" t="s">
        <v>114</v>
      </c>
      <c r="B59">
        <v>29</v>
      </c>
      <c r="C59">
        <f t="shared" si="0"/>
        <v>21.6</v>
      </c>
      <c r="D59">
        <f t="shared" si="1"/>
        <v>21.9</v>
      </c>
    </row>
    <row r="60" ht="16" customHeight="1" spans="1:4">
      <c r="A60" t="s">
        <v>115</v>
      </c>
      <c r="B60">
        <v>17</v>
      </c>
      <c r="C60">
        <f t="shared" si="0"/>
        <v>21.6</v>
      </c>
      <c r="D60">
        <f t="shared" si="1"/>
        <v>21.8</v>
      </c>
    </row>
    <row r="61" ht="16" customHeight="1" spans="1:4">
      <c r="A61" t="s">
        <v>116</v>
      </c>
      <c r="B61">
        <v>16</v>
      </c>
      <c r="C61">
        <f t="shared" si="0"/>
        <v>22.7</v>
      </c>
      <c r="D61">
        <f t="shared" si="1"/>
        <v>21.9</v>
      </c>
    </row>
    <row r="62" ht="16" customHeight="1" spans="1:4">
      <c r="A62" t="s">
        <v>117</v>
      </c>
      <c r="B62">
        <v>18</v>
      </c>
      <c r="C62">
        <f t="shared" si="0"/>
        <v>23.1</v>
      </c>
      <c r="D62">
        <f t="shared" si="1"/>
        <v>18.8</v>
      </c>
    </row>
    <row r="63" ht="16" customHeight="1" spans="1:4">
      <c r="A63" t="s">
        <v>118</v>
      </c>
      <c r="B63">
        <v>14</v>
      </c>
      <c r="C63">
        <f t="shared" si="0"/>
        <v>22</v>
      </c>
      <c r="D63">
        <f t="shared" si="1"/>
        <v>18.9</v>
      </c>
    </row>
    <row r="64" ht="16" customHeight="1" spans="1:4">
      <c r="A64" t="s">
        <v>3</v>
      </c>
      <c r="B64">
        <v>29</v>
      </c>
      <c r="C64">
        <f t="shared" si="0"/>
        <v>21.4</v>
      </c>
      <c r="D64">
        <f t="shared" si="1"/>
        <v>19.7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訂貨預測</vt:lpstr>
      <vt:lpstr>每日發貨明細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LIU</cp:lastModifiedBy>
  <dcterms:created xsi:type="dcterms:W3CDTF">2026-06-09T08:21:00Z</dcterms:created>
  <dcterms:modified xsi:type="dcterms:W3CDTF">2026-06-10T01:49:56Z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A833461591094B8AAE89C1E8FD3ABDFE_12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